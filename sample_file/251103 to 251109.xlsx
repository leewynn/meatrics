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9841043542612/Ruon Automation/Sale data/"/>
    </mc:Choice>
  </mc:AlternateContent>
  <xr:revisionPtr revIDLastSave="6" documentId="8_{85DCEB1A-F58A-4D05-B6F7-FA7B587E3D71}" xr6:coauthVersionLast="47" xr6:coauthVersionMax="47" xr10:uidLastSave="{30944D12-E243-49D2-85F7-FA46BF112373}"/>
  <bookViews>
    <workbookView xWindow="-120" yWindow="-120" windowWidth="29040" windowHeight="15840" xr2:uid="{9DC3848E-448A-47A8-95FE-85D85F16C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C32" i="1"/>
  <c r="D32" i="1"/>
  <c r="D5972" i="1" s="1"/>
  <c r="E32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C74" i="1"/>
  <c r="D74" i="1"/>
  <c r="F74" i="1" s="1"/>
  <c r="E74" i="1"/>
  <c r="E5972" i="1" s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C87" i="1"/>
  <c r="D87" i="1"/>
  <c r="F87" i="1" s="1"/>
  <c r="E87" i="1"/>
  <c r="F92" i="1"/>
  <c r="G92" i="1"/>
  <c r="F93" i="1"/>
  <c r="G93" i="1"/>
  <c r="F94" i="1"/>
  <c r="G94" i="1"/>
  <c r="F95" i="1"/>
  <c r="G95" i="1"/>
  <c r="F96" i="1"/>
  <c r="G96" i="1"/>
  <c r="F97" i="1"/>
  <c r="G97" i="1"/>
  <c r="C99" i="1"/>
  <c r="D99" i="1"/>
  <c r="E99" i="1"/>
  <c r="F99" i="1" s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C136" i="1"/>
  <c r="D136" i="1"/>
  <c r="F136" i="1" s="1"/>
  <c r="E136" i="1"/>
  <c r="F141" i="1"/>
  <c r="G141" i="1"/>
  <c r="F142" i="1"/>
  <c r="G142" i="1"/>
  <c r="F143" i="1"/>
  <c r="G143" i="1"/>
  <c r="C145" i="1"/>
  <c r="D145" i="1"/>
  <c r="E145" i="1"/>
  <c r="F145" i="1" s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C162" i="1"/>
  <c r="D162" i="1"/>
  <c r="G162" i="1" s="1"/>
  <c r="E162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C176" i="1"/>
  <c r="D176" i="1"/>
  <c r="E176" i="1"/>
  <c r="F176" i="1" s="1"/>
  <c r="F181" i="1"/>
  <c r="G181" i="1"/>
  <c r="C183" i="1"/>
  <c r="D183" i="1"/>
  <c r="F183" i="1" s="1"/>
  <c r="E183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C196" i="1"/>
  <c r="C5972" i="1" s="1"/>
  <c r="D196" i="1"/>
  <c r="G196" i="1" s="1"/>
  <c r="E196" i="1"/>
  <c r="F196" i="1"/>
  <c r="F201" i="1"/>
  <c r="G201" i="1"/>
  <c r="F202" i="1"/>
  <c r="G202" i="1"/>
  <c r="F203" i="1"/>
  <c r="G203" i="1"/>
  <c r="C205" i="1"/>
  <c r="D205" i="1"/>
  <c r="F205" i="1" s="1"/>
  <c r="E205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C243" i="1"/>
  <c r="D243" i="1"/>
  <c r="F243" i="1" s="1"/>
  <c r="E243" i="1"/>
  <c r="G243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C256" i="1"/>
  <c r="D256" i="1"/>
  <c r="G256" i="1" s="1"/>
  <c r="E256" i="1"/>
  <c r="F256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C276" i="1"/>
  <c r="D276" i="1"/>
  <c r="G276" i="1" s="1"/>
  <c r="E276" i="1"/>
  <c r="F276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C338" i="1"/>
  <c r="D338" i="1"/>
  <c r="G338" i="1" s="1"/>
  <c r="E338" i="1"/>
  <c r="F338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C428" i="1"/>
  <c r="D428" i="1"/>
  <c r="F428" i="1" s="1"/>
  <c r="E428" i="1"/>
  <c r="G428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C502" i="1"/>
  <c r="D502" i="1"/>
  <c r="F502" i="1" s="1"/>
  <c r="E502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C574" i="1"/>
  <c r="D574" i="1"/>
  <c r="F574" i="1" s="1"/>
  <c r="E574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C645" i="1"/>
  <c r="D645" i="1"/>
  <c r="G645" i="1" s="1"/>
  <c r="E645" i="1"/>
  <c r="F650" i="1"/>
  <c r="G650" i="1"/>
  <c r="C652" i="1"/>
  <c r="D652" i="1"/>
  <c r="E652" i="1"/>
  <c r="F652" i="1" s="1"/>
  <c r="G652" i="1"/>
  <c r="F657" i="1"/>
  <c r="G657" i="1"/>
  <c r="F658" i="1"/>
  <c r="G658" i="1"/>
  <c r="C660" i="1"/>
  <c r="D660" i="1"/>
  <c r="F660" i="1" s="1"/>
  <c r="E660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C676" i="1"/>
  <c r="D676" i="1"/>
  <c r="F676" i="1" s="1"/>
  <c r="E676" i="1"/>
  <c r="G676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C692" i="1"/>
  <c r="D692" i="1"/>
  <c r="G692" i="1" s="1"/>
  <c r="E692" i="1"/>
  <c r="F692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C721" i="1"/>
  <c r="D721" i="1"/>
  <c r="F721" i="1" s="1"/>
  <c r="E721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C736" i="1"/>
  <c r="D736" i="1"/>
  <c r="G736" i="1" s="1"/>
  <c r="E736" i="1"/>
  <c r="F736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C771" i="1"/>
  <c r="D771" i="1"/>
  <c r="F771" i="1" s="1"/>
  <c r="E771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C793" i="1"/>
  <c r="D793" i="1"/>
  <c r="G793" i="1" s="1"/>
  <c r="E793" i="1"/>
  <c r="F798" i="1"/>
  <c r="G798" i="1"/>
  <c r="F799" i="1"/>
  <c r="G799" i="1"/>
  <c r="F800" i="1"/>
  <c r="G800" i="1"/>
  <c r="F801" i="1"/>
  <c r="G801" i="1"/>
  <c r="C803" i="1"/>
  <c r="D803" i="1"/>
  <c r="F803" i="1" s="1"/>
  <c r="E803" i="1"/>
  <c r="G803" i="1"/>
  <c r="F808" i="1"/>
  <c r="G808" i="1"/>
  <c r="C810" i="1"/>
  <c r="D810" i="1"/>
  <c r="E810" i="1"/>
  <c r="F810" i="1"/>
  <c r="G810" i="1"/>
  <c r="F815" i="1"/>
  <c r="G815" i="1"/>
  <c r="F816" i="1"/>
  <c r="G816" i="1"/>
  <c r="F817" i="1"/>
  <c r="G817" i="1"/>
  <c r="F818" i="1"/>
  <c r="G818" i="1"/>
  <c r="F819" i="1"/>
  <c r="G819" i="1"/>
  <c r="C821" i="1"/>
  <c r="D821" i="1"/>
  <c r="F821" i="1" s="1"/>
  <c r="E821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C847" i="1"/>
  <c r="D847" i="1"/>
  <c r="E847" i="1"/>
  <c r="F847" i="1"/>
  <c r="G847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C871" i="1"/>
  <c r="D871" i="1"/>
  <c r="F871" i="1" s="1"/>
  <c r="E871" i="1"/>
  <c r="G871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C905" i="1"/>
  <c r="D905" i="1"/>
  <c r="G905" i="1" s="1"/>
  <c r="E905" i="1"/>
  <c r="F905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C955" i="1"/>
  <c r="D955" i="1"/>
  <c r="F955" i="1" s="1"/>
  <c r="E955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C985" i="1"/>
  <c r="D985" i="1"/>
  <c r="F985" i="1" s="1"/>
  <c r="E985" i="1"/>
  <c r="F990" i="1"/>
  <c r="G990" i="1"/>
  <c r="F991" i="1"/>
  <c r="G991" i="1"/>
  <c r="F992" i="1"/>
  <c r="G992" i="1"/>
  <c r="F993" i="1"/>
  <c r="G993" i="1"/>
  <c r="C995" i="1"/>
  <c r="D995" i="1"/>
  <c r="F995" i="1" s="1"/>
  <c r="E995" i="1"/>
  <c r="F1000" i="1"/>
  <c r="G1000" i="1"/>
  <c r="F1001" i="1"/>
  <c r="G1001" i="1"/>
  <c r="F1002" i="1"/>
  <c r="G1002" i="1"/>
  <c r="F1003" i="1"/>
  <c r="G1003" i="1"/>
  <c r="C1005" i="1"/>
  <c r="D1005" i="1"/>
  <c r="G1005" i="1" s="1"/>
  <c r="E1005" i="1"/>
  <c r="F1005" i="1"/>
  <c r="F1010" i="1"/>
  <c r="G1010" i="1"/>
  <c r="F1011" i="1"/>
  <c r="G1011" i="1"/>
  <c r="F1012" i="1"/>
  <c r="G1012" i="1"/>
  <c r="C1014" i="1"/>
  <c r="D1014" i="1"/>
  <c r="F1014" i="1" s="1"/>
  <c r="E1014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C1053" i="1"/>
  <c r="D1053" i="1"/>
  <c r="F1053" i="1" s="1"/>
  <c r="E1053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C1084" i="1"/>
  <c r="D1084" i="1"/>
  <c r="F1084" i="1" s="1"/>
  <c r="E1084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C1116" i="1"/>
  <c r="D1116" i="1"/>
  <c r="E1116" i="1"/>
  <c r="F1116" i="1"/>
  <c r="G1116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C1145" i="1"/>
  <c r="D1145" i="1"/>
  <c r="F1145" i="1" s="1"/>
  <c r="E1145" i="1"/>
  <c r="F1150" i="1"/>
  <c r="G1150" i="1"/>
  <c r="C1152" i="1"/>
  <c r="D1152" i="1"/>
  <c r="G1152" i="1" s="1"/>
  <c r="E1152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C1177" i="1"/>
  <c r="D1177" i="1"/>
  <c r="F1177" i="1" s="1"/>
  <c r="E1177" i="1"/>
  <c r="G1177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C1200" i="1"/>
  <c r="D1200" i="1"/>
  <c r="F1200" i="1" s="1"/>
  <c r="E1200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C1221" i="1"/>
  <c r="D1221" i="1"/>
  <c r="F1221" i="1" s="1"/>
  <c r="E1221" i="1"/>
  <c r="F1226" i="1"/>
  <c r="G1226" i="1"/>
  <c r="F1227" i="1"/>
  <c r="G1227" i="1"/>
  <c r="F1228" i="1"/>
  <c r="G1228" i="1"/>
  <c r="F1229" i="1"/>
  <c r="G1229" i="1"/>
  <c r="C1231" i="1"/>
  <c r="D1231" i="1"/>
  <c r="F1231" i="1" s="1"/>
  <c r="E1231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C1260" i="1"/>
  <c r="D1260" i="1"/>
  <c r="E1260" i="1"/>
  <c r="F1260" i="1" s="1"/>
  <c r="G1260" i="1"/>
  <c r="F1265" i="1"/>
  <c r="G1265" i="1"/>
  <c r="F1266" i="1"/>
  <c r="G1266" i="1"/>
  <c r="F1267" i="1"/>
  <c r="G1267" i="1"/>
  <c r="C1269" i="1"/>
  <c r="D1269" i="1"/>
  <c r="G1269" i="1" s="1"/>
  <c r="E1269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C1292" i="1"/>
  <c r="D1292" i="1"/>
  <c r="G1292" i="1" s="1"/>
  <c r="E1292" i="1"/>
  <c r="F1292" i="1" s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C1315" i="1"/>
  <c r="D1315" i="1"/>
  <c r="G1315" i="1" s="1"/>
  <c r="E1315" i="1"/>
  <c r="F1320" i="1"/>
  <c r="G1320" i="1"/>
  <c r="C1322" i="1"/>
  <c r="D1322" i="1"/>
  <c r="F1322" i="1" s="1"/>
  <c r="E1322" i="1"/>
  <c r="G1322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C1338" i="1"/>
  <c r="D1338" i="1"/>
  <c r="E1338" i="1"/>
  <c r="F1338" i="1"/>
  <c r="G1338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C1352" i="1"/>
  <c r="D1352" i="1"/>
  <c r="F1352" i="1" s="1"/>
  <c r="E1352" i="1"/>
  <c r="F1357" i="1"/>
  <c r="G1357" i="1"/>
  <c r="F1358" i="1"/>
  <c r="G1358" i="1"/>
  <c r="F1359" i="1"/>
  <c r="G1359" i="1"/>
  <c r="F1360" i="1"/>
  <c r="G1360" i="1"/>
  <c r="F1361" i="1"/>
  <c r="G1361" i="1"/>
  <c r="C1363" i="1"/>
  <c r="D1363" i="1"/>
  <c r="E1363" i="1"/>
  <c r="F1363" i="1"/>
  <c r="G1363" i="1"/>
  <c r="F1368" i="1"/>
  <c r="G1368" i="1"/>
  <c r="C1370" i="1"/>
  <c r="D1370" i="1"/>
  <c r="E1370" i="1"/>
  <c r="F1370" i="1" s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C1385" i="1"/>
  <c r="D1385" i="1"/>
  <c r="E1385" i="1"/>
  <c r="F1385" i="1"/>
  <c r="G1385" i="1"/>
  <c r="F1390" i="1"/>
  <c r="G1390" i="1"/>
  <c r="F1391" i="1"/>
  <c r="G1391" i="1"/>
  <c r="C1393" i="1"/>
  <c r="D1393" i="1"/>
  <c r="F1393" i="1" s="1"/>
  <c r="E1393" i="1"/>
  <c r="F1398" i="1"/>
  <c r="G1398" i="1"/>
  <c r="F1399" i="1"/>
  <c r="G1399" i="1"/>
  <c r="F1400" i="1"/>
  <c r="G1400" i="1"/>
  <c r="C1402" i="1"/>
  <c r="D1402" i="1"/>
  <c r="F1402" i="1" s="1"/>
  <c r="E1402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C1437" i="1"/>
  <c r="D1437" i="1"/>
  <c r="F1437" i="1" s="1"/>
  <c r="E1437" i="1"/>
  <c r="G1437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C1480" i="1"/>
  <c r="D1480" i="1"/>
  <c r="G1480" i="1" s="1"/>
  <c r="E1480" i="1"/>
  <c r="F1480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C1561" i="1"/>
  <c r="D1561" i="1"/>
  <c r="F1561" i="1" s="1"/>
  <c r="E1561" i="1"/>
  <c r="G1561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C1614" i="1"/>
  <c r="D1614" i="1"/>
  <c r="F1614" i="1" s="1"/>
  <c r="E1614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C1636" i="1"/>
  <c r="D1636" i="1"/>
  <c r="F1636" i="1" s="1"/>
  <c r="E1636" i="1"/>
  <c r="F1641" i="1"/>
  <c r="G1641" i="1"/>
  <c r="F1642" i="1"/>
  <c r="G1642" i="1"/>
  <c r="F1643" i="1"/>
  <c r="G1643" i="1"/>
  <c r="F1644" i="1"/>
  <c r="G1644" i="1"/>
  <c r="C1646" i="1"/>
  <c r="D1646" i="1"/>
  <c r="G1646" i="1" s="1"/>
  <c r="E1646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C1661" i="1"/>
  <c r="D1661" i="1"/>
  <c r="F1661" i="1" s="1"/>
  <c r="E1661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C1689" i="1"/>
  <c r="D1689" i="1"/>
  <c r="G1689" i="1" s="1"/>
  <c r="E1689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C1711" i="1"/>
  <c r="D1711" i="1"/>
  <c r="F1711" i="1" s="1"/>
  <c r="E1711" i="1"/>
  <c r="G1711" i="1"/>
  <c r="F1716" i="1"/>
  <c r="G1716" i="1"/>
  <c r="F1717" i="1"/>
  <c r="G1717" i="1"/>
  <c r="F1718" i="1"/>
  <c r="G1718" i="1"/>
  <c r="C1720" i="1"/>
  <c r="D1720" i="1"/>
  <c r="G1720" i="1" s="1"/>
  <c r="E1720" i="1"/>
  <c r="F1725" i="1"/>
  <c r="G1725" i="1"/>
  <c r="C1727" i="1"/>
  <c r="D1727" i="1"/>
  <c r="F1727" i="1" s="1"/>
  <c r="E1727" i="1"/>
  <c r="G1727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C1742" i="1"/>
  <c r="D1742" i="1"/>
  <c r="G1742" i="1" s="1"/>
  <c r="E1742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C1760" i="1"/>
  <c r="D1760" i="1"/>
  <c r="F1760" i="1" s="1"/>
  <c r="E1760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C1787" i="1"/>
  <c r="D1787" i="1"/>
  <c r="F1787" i="1" s="1"/>
  <c r="E1787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C1808" i="1"/>
  <c r="D1808" i="1"/>
  <c r="G1808" i="1" s="1"/>
  <c r="E1808" i="1"/>
  <c r="F1808" i="1" s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C1853" i="1"/>
  <c r="D1853" i="1"/>
  <c r="G1853" i="1" s="1"/>
  <c r="E1853" i="1"/>
  <c r="F1853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C1881" i="1"/>
  <c r="D1881" i="1"/>
  <c r="F1881" i="1" s="1"/>
  <c r="E1881" i="1"/>
  <c r="F1886" i="1"/>
  <c r="G1886" i="1"/>
  <c r="C1888" i="1"/>
  <c r="D1888" i="1"/>
  <c r="F1888" i="1" s="1"/>
  <c r="E1888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C1900" i="1"/>
  <c r="D1900" i="1"/>
  <c r="F1900" i="1" s="1"/>
  <c r="E1900" i="1"/>
  <c r="F1905" i="1"/>
  <c r="G1905" i="1"/>
  <c r="F1906" i="1"/>
  <c r="G1906" i="1"/>
  <c r="C1908" i="1"/>
  <c r="D1908" i="1"/>
  <c r="E1908" i="1"/>
  <c r="F1908" i="1" s="1"/>
  <c r="G1908" i="1"/>
  <c r="F1913" i="1"/>
  <c r="G1913" i="1"/>
  <c r="F1914" i="1"/>
  <c r="G1914" i="1"/>
  <c r="F1915" i="1"/>
  <c r="G1915" i="1"/>
  <c r="C1917" i="1"/>
  <c r="D1917" i="1"/>
  <c r="E1917" i="1"/>
  <c r="F1917" i="1" s="1"/>
  <c r="G1917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C1930" i="1"/>
  <c r="D1930" i="1"/>
  <c r="E1930" i="1"/>
  <c r="F1930" i="1"/>
  <c r="G1930" i="1"/>
  <c r="F1935" i="1"/>
  <c r="G1935" i="1"/>
  <c r="C1937" i="1"/>
  <c r="D1937" i="1"/>
  <c r="E1937" i="1"/>
  <c r="F1937" i="1"/>
  <c r="G1937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C1966" i="1"/>
  <c r="D1966" i="1"/>
  <c r="F1966" i="1" s="1"/>
  <c r="E1966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C2004" i="1"/>
  <c r="D2004" i="1"/>
  <c r="E2004" i="1"/>
  <c r="F2004" i="1"/>
  <c r="G2004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C2026" i="1"/>
  <c r="D2026" i="1"/>
  <c r="G2026" i="1" s="1"/>
  <c r="E2026" i="1"/>
  <c r="F2026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C2042" i="1"/>
  <c r="D2042" i="1"/>
  <c r="F2042" i="1" s="1"/>
  <c r="E2042" i="1"/>
  <c r="F2047" i="1"/>
  <c r="G2047" i="1"/>
  <c r="F2048" i="1"/>
  <c r="G2048" i="1"/>
  <c r="F2049" i="1"/>
  <c r="G2049" i="1"/>
  <c r="F2050" i="1"/>
  <c r="G2050" i="1"/>
  <c r="C2052" i="1"/>
  <c r="D2052" i="1"/>
  <c r="F2052" i="1" s="1"/>
  <c r="E2052" i="1"/>
  <c r="F2057" i="1"/>
  <c r="G2057" i="1"/>
  <c r="F2058" i="1"/>
  <c r="G2058" i="1"/>
  <c r="C2060" i="1"/>
  <c r="D2060" i="1"/>
  <c r="E2060" i="1"/>
  <c r="F2060" i="1"/>
  <c r="G2060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C2075" i="1"/>
  <c r="D2075" i="1"/>
  <c r="E2075" i="1"/>
  <c r="F2075" i="1"/>
  <c r="G2075" i="1"/>
  <c r="F2080" i="1"/>
  <c r="G2080" i="1"/>
  <c r="F2081" i="1"/>
  <c r="G2081" i="1"/>
  <c r="F2082" i="1"/>
  <c r="G2082" i="1"/>
  <c r="F2083" i="1"/>
  <c r="G2083" i="1"/>
  <c r="F2084" i="1"/>
  <c r="G2084" i="1"/>
  <c r="C2086" i="1"/>
  <c r="D2086" i="1"/>
  <c r="E2086" i="1"/>
  <c r="F2086" i="1" s="1"/>
  <c r="F2091" i="1"/>
  <c r="G2091" i="1"/>
  <c r="F2092" i="1"/>
  <c r="G2092" i="1"/>
  <c r="F2093" i="1"/>
  <c r="G2093" i="1"/>
  <c r="F2094" i="1"/>
  <c r="G2094" i="1"/>
  <c r="C2096" i="1"/>
  <c r="D2096" i="1"/>
  <c r="F2096" i="1" s="1"/>
  <c r="E2096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C2109" i="1"/>
  <c r="D2109" i="1"/>
  <c r="F2109" i="1" s="1"/>
  <c r="E2109" i="1"/>
  <c r="G2109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C2121" i="1"/>
  <c r="D2121" i="1"/>
  <c r="F2121" i="1" s="1"/>
  <c r="E2121" i="1"/>
  <c r="F2126" i="1"/>
  <c r="G2126" i="1"/>
  <c r="F2127" i="1"/>
  <c r="G2127" i="1"/>
  <c r="F2128" i="1"/>
  <c r="G2128" i="1"/>
  <c r="C2130" i="1"/>
  <c r="D2130" i="1"/>
  <c r="G2130" i="1" s="1"/>
  <c r="E2130" i="1"/>
  <c r="F2130" i="1" s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C2153" i="1"/>
  <c r="D2153" i="1"/>
  <c r="G2153" i="1" s="1"/>
  <c r="E2153" i="1"/>
  <c r="F2153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C2169" i="1"/>
  <c r="D2169" i="1"/>
  <c r="F2169" i="1" s="1"/>
  <c r="E2169" i="1"/>
  <c r="G2169" i="1"/>
  <c r="F2174" i="1"/>
  <c r="G2174" i="1"/>
  <c r="C2176" i="1"/>
  <c r="D2176" i="1"/>
  <c r="G2176" i="1" s="1"/>
  <c r="E2176" i="1"/>
  <c r="F2176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C2193" i="1"/>
  <c r="D2193" i="1"/>
  <c r="F2193" i="1" s="1"/>
  <c r="E2193" i="1"/>
  <c r="F2198" i="1"/>
  <c r="G2198" i="1"/>
  <c r="C2200" i="1"/>
  <c r="D2200" i="1"/>
  <c r="G2200" i="1" s="1"/>
  <c r="E2200" i="1"/>
  <c r="F2205" i="1"/>
  <c r="G2205" i="1"/>
  <c r="C2207" i="1"/>
  <c r="D2207" i="1"/>
  <c r="F2207" i="1" s="1"/>
  <c r="E2207" i="1"/>
  <c r="G2207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C2268" i="1"/>
  <c r="D2268" i="1"/>
  <c r="G2268" i="1" s="1"/>
  <c r="E2268" i="1"/>
  <c r="F2268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C2280" i="1"/>
  <c r="D2280" i="1"/>
  <c r="F2280" i="1" s="1"/>
  <c r="E2280" i="1"/>
  <c r="G2280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C2304" i="1"/>
  <c r="D2304" i="1"/>
  <c r="G2304" i="1" s="1"/>
  <c r="E2304" i="1"/>
  <c r="F2309" i="1"/>
  <c r="G2309" i="1"/>
  <c r="F2310" i="1"/>
  <c r="G2310" i="1"/>
  <c r="C2312" i="1"/>
  <c r="D2312" i="1"/>
  <c r="E2312" i="1"/>
  <c r="F2312" i="1" s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C2325" i="1"/>
  <c r="D2325" i="1"/>
  <c r="F2325" i="1" s="1"/>
  <c r="E2325" i="1"/>
  <c r="F2330" i="1"/>
  <c r="G2330" i="1"/>
  <c r="F2331" i="1"/>
  <c r="G2331" i="1"/>
  <c r="C2333" i="1"/>
  <c r="D2333" i="1"/>
  <c r="F2333" i="1" s="1"/>
  <c r="E2333" i="1"/>
  <c r="G2333" i="1"/>
  <c r="F2338" i="1"/>
  <c r="G2338" i="1"/>
  <c r="C2340" i="1"/>
  <c r="D2340" i="1"/>
  <c r="E2340" i="1"/>
  <c r="F2340" i="1"/>
  <c r="G2340" i="1"/>
  <c r="F2345" i="1"/>
  <c r="G2345" i="1"/>
  <c r="C2347" i="1"/>
  <c r="D2347" i="1"/>
  <c r="E2347" i="1"/>
  <c r="F2347" i="1" s="1"/>
  <c r="F2352" i="1"/>
  <c r="G2352" i="1"/>
  <c r="C2354" i="1"/>
  <c r="D2354" i="1"/>
  <c r="F2354" i="1" s="1"/>
  <c r="E2354" i="1"/>
  <c r="F2359" i="1"/>
  <c r="G2359" i="1"/>
  <c r="F2360" i="1"/>
  <c r="G2360" i="1"/>
  <c r="C2362" i="1"/>
  <c r="D2362" i="1"/>
  <c r="F2362" i="1" s="1"/>
  <c r="E2362" i="1"/>
  <c r="G2362" i="1"/>
  <c r="F2367" i="1"/>
  <c r="G2367" i="1"/>
  <c r="C2369" i="1"/>
  <c r="D2369" i="1"/>
  <c r="E2369" i="1"/>
  <c r="F2369" i="1"/>
  <c r="G2369" i="1"/>
  <c r="F2374" i="1"/>
  <c r="G2374" i="1"/>
  <c r="C2376" i="1"/>
  <c r="D2376" i="1"/>
  <c r="E2376" i="1"/>
  <c r="F2376" i="1" s="1"/>
  <c r="F2381" i="1"/>
  <c r="G2381" i="1"/>
  <c r="F2382" i="1"/>
  <c r="G2382" i="1"/>
  <c r="F2383" i="1"/>
  <c r="G2383" i="1"/>
  <c r="F2384" i="1"/>
  <c r="G2384" i="1"/>
  <c r="F2385" i="1"/>
  <c r="G2385" i="1"/>
  <c r="C2387" i="1"/>
  <c r="D2387" i="1"/>
  <c r="G2387" i="1" s="1"/>
  <c r="E2387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C2406" i="1"/>
  <c r="D2406" i="1"/>
  <c r="F2406" i="1" s="1"/>
  <c r="E2406" i="1"/>
  <c r="G2406" i="1"/>
  <c r="F2411" i="1"/>
  <c r="G2411" i="1"/>
  <c r="C2413" i="1"/>
  <c r="D2413" i="1"/>
  <c r="E2413" i="1"/>
  <c r="F2413" i="1"/>
  <c r="G2413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C2437" i="1"/>
  <c r="D2437" i="1"/>
  <c r="F2437" i="1" s="1"/>
  <c r="E2437" i="1"/>
  <c r="G2437" i="1"/>
  <c r="F2442" i="1"/>
  <c r="G2442" i="1"/>
  <c r="F2443" i="1"/>
  <c r="G2443" i="1"/>
  <c r="F2444" i="1"/>
  <c r="G2444" i="1"/>
  <c r="F2445" i="1"/>
  <c r="G2445" i="1"/>
  <c r="F2446" i="1"/>
  <c r="G2446" i="1"/>
  <c r="C2448" i="1"/>
  <c r="D2448" i="1"/>
  <c r="F2448" i="1" s="1"/>
  <c r="E2448" i="1"/>
  <c r="F2453" i="1"/>
  <c r="G2453" i="1"/>
  <c r="F2454" i="1"/>
  <c r="G2454" i="1"/>
  <c r="C2456" i="1"/>
  <c r="D2456" i="1"/>
  <c r="F2456" i="1" s="1"/>
  <c r="E2456" i="1"/>
  <c r="G2456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C2471" i="1"/>
  <c r="D2471" i="1"/>
  <c r="G2471" i="1" s="1"/>
  <c r="E2471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C2492" i="1"/>
  <c r="D2492" i="1"/>
  <c r="F2492" i="1" s="1"/>
  <c r="E2492" i="1"/>
  <c r="F2497" i="1"/>
  <c r="G2497" i="1"/>
  <c r="F2498" i="1"/>
  <c r="G2498" i="1"/>
  <c r="F2499" i="1"/>
  <c r="G2499" i="1"/>
  <c r="F2500" i="1"/>
  <c r="G2500" i="1"/>
  <c r="C2502" i="1"/>
  <c r="D2502" i="1"/>
  <c r="G2502" i="1" s="1"/>
  <c r="E2502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C2518" i="1"/>
  <c r="D2518" i="1"/>
  <c r="F2518" i="1" s="1"/>
  <c r="E2518" i="1"/>
  <c r="G2518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C2542" i="1"/>
  <c r="D2542" i="1"/>
  <c r="G2542" i="1" s="1"/>
  <c r="E2542" i="1"/>
  <c r="F2547" i="1"/>
  <c r="G2547" i="1"/>
  <c r="F2548" i="1"/>
  <c r="G2548" i="1"/>
  <c r="C2550" i="1"/>
  <c r="D2550" i="1"/>
  <c r="F2550" i="1" s="1"/>
  <c r="E2550" i="1"/>
  <c r="G2550" i="1" s="1"/>
  <c r="F2555" i="1"/>
  <c r="G2555" i="1"/>
  <c r="F2556" i="1"/>
  <c r="G2556" i="1"/>
  <c r="F2557" i="1"/>
  <c r="G2557" i="1"/>
  <c r="C2559" i="1"/>
  <c r="D2559" i="1"/>
  <c r="G2559" i="1" s="1"/>
  <c r="E2559" i="1"/>
  <c r="F2559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C2572" i="1"/>
  <c r="D2572" i="1"/>
  <c r="F2572" i="1" s="1"/>
  <c r="E2572" i="1"/>
  <c r="G2572" i="1" s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C2601" i="1"/>
  <c r="D2601" i="1"/>
  <c r="E2601" i="1"/>
  <c r="F2601" i="1"/>
  <c r="G2601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C2616" i="1"/>
  <c r="D2616" i="1"/>
  <c r="F2616" i="1" s="1"/>
  <c r="E2616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C2629" i="1"/>
  <c r="D2629" i="1"/>
  <c r="G2629" i="1" s="1"/>
  <c r="E2629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C2648" i="1"/>
  <c r="D2648" i="1"/>
  <c r="F2648" i="1" s="1"/>
  <c r="E2648" i="1"/>
  <c r="G2648" i="1"/>
  <c r="F2653" i="1"/>
  <c r="G2653" i="1"/>
  <c r="F2654" i="1"/>
  <c r="G2654" i="1"/>
  <c r="F2655" i="1"/>
  <c r="G2655" i="1"/>
  <c r="C2657" i="1"/>
  <c r="D2657" i="1"/>
  <c r="G2657" i="1" s="1"/>
  <c r="E2657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C2669" i="1"/>
  <c r="D2669" i="1"/>
  <c r="F2669" i="1" s="1"/>
  <c r="E2669" i="1"/>
  <c r="F2674" i="1"/>
  <c r="G2674" i="1"/>
  <c r="F2675" i="1"/>
  <c r="G2675" i="1"/>
  <c r="C2677" i="1"/>
  <c r="D2677" i="1"/>
  <c r="E2677" i="1"/>
  <c r="G2677" i="1" s="1"/>
  <c r="F2677" i="1"/>
  <c r="F2682" i="1"/>
  <c r="G2682" i="1"/>
  <c r="F2683" i="1"/>
  <c r="G2683" i="1"/>
  <c r="F2684" i="1"/>
  <c r="G2684" i="1"/>
  <c r="F2685" i="1"/>
  <c r="G2685" i="1"/>
  <c r="F2686" i="1"/>
  <c r="G2686" i="1"/>
  <c r="C2688" i="1"/>
  <c r="D2688" i="1"/>
  <c r="F2688" i="1" s="1"/>
  <c r="E2688" i="1"/>
  <c r="F2693" i="1"/>
  <c r="G2693" i="1"/>
  <c r="F2694" i="1"/>
  <c r="G2694" i="1"/>
  <c r="F2695" i="1"/>
  <c r="G2695" i="1"/>
  <c r="F2696" i="1"/>
  <c r="G2696" i="1"/>
  <c r="C2698" i="1"/>
  <c r="D2698" i="1"/>
  <c r="G2698" i="1" s="1"/>
  <c r="E2698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C2712" i="1"/>
  <c r="D2712" i="1"/>
  <c r="G2712" i="1" s="1"/>
  <c r="E2712" i="1"/>
  <c r="F2712" i="1" s="1"/>
  <c r="F2717" i="1"/>
  <c r="G2717" i="1"/>
  <c r="F2718" i="1"/>
  <c r="G2718" i="1"/>
  <c r="F2719" i="1"/>
  <c r="G2719" i="1"/>
  <c r="F2720" i="1"/>
  <c r="G2720" i="1"/>
  <c r="C2722" i="1"/>
  <c r="D2722" i="1"/>
  <c r="F2722" i="1" s="1"/>
  <c r="E2722" i="1"/>
  <c r="F2727" i="1"/>
  <c r="G2727" i="1"/>
  <c r="F2728" i="1"/>
  <c r="G2728" i="1"/>
  <c r="C2730" i="1"/>
  <c r="D2730" i="1"/>
  <c r="E2730" i="1"/>
  <c r="F2730" i="1" s="1"/>
  <c r="G2730" i="1"/>
  <c r="F2735" i="1"/>
  <c r="G2735" i="1"/>
  <c r="F2736" i="1"/>
  <c r="G2736" i="1"/>
  <c r="F2737" i="1"/>
  <c r="G2737" i="1"/>
  <c r="F2738" i="1"/>
  <c r="G2738" i="1"/>
  <c r="C2740" i="1"/>
  <c r="D2740" i="1"/>
  <c r="G2740" i="1" s="1"/>
  <c r="E2740" i="1"/>
  <c r="F2740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C2763" i="1"/>
  <c r="D2763" i="1"/>
  <c r="G2763" i="1" s="1"/>
  <c r="E2763" i="1"/>
  <c r="F2763" i="1"/>
  <c r="F2768" i="1"/>
  <c r="G2768" i="1"/>
  <c r="F2769" i="1"/>
  <c r="G2769" i="1"/>
  <c r="F2770" i="1"/>
  <c r="G2770" i="1"/>
  <c r="C2772" i="1"/>
  <c r="D2772" i="1"/>
  <c r="F2772" i="1" s="1"/>
  <c r="E2772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C2794" i="1"/>
  <c r="D2794" i="1"/>
  <c r="G2794" i="1" s="1"/>
  <c r="E2794" i="1"/>
  <c r="F2794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C2830" i="1"/>
  <c r="D2830" i="1"/>
  <c r="F2830" i="1" s="1"/>
  <c r="E2830" i="1"/>
  <c r="F2835" i="1"/>
  <c r="G2835" i="1"/>
  <c r="F2836" i="1"/>
  <c r="G2836" i="1"/>
  <c r="C2838" i="1"/>
  <c r="D2838" i="1"/>
  <c r="E2838" i="1"/>
  <c r="F2838" i="1" s="1"/>
  <c r="G2838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C2853" i="1"/>
  <c r="D2853" i="1"/>
  <c r="G2853" i="1" s="1"/>
  <c r="E2853" i="1"/>
  <c r="F2858" i="1"/>
  <c r="G2858" i="1"/>
  <c r="F2859" i="1"/>
  <c r="G2859" i="1"/>
  <c r="F2860" i="1"/>
  <c r="G2860" i="1"/>
  <c r="F2861" i="1"/>
  <c r="G2861" i="1"/>
  <c r="C2863" i="1"/>
  <c r="D2863" i="1"/>
  <c r="F2863" i="1" s="1"/>
  <c r="E2863" i="1"/>
  <c r="G2863" i="1"/>
  <c r="F2868" i="1"/>
  <c r="G2868" i="1"/>
  <c r="F2869" i="1"/>
  <c r="G2869" i="1"/>
  <c r="F2870" i="1"/>
  <c r="G2870" i="1"/>
  <c r="F2871" i="1"/>
  <c r="G2871" i="1"/>
  <c r="F2872" i="1"/>
  <c r="G2872" i="1"/>
  <c r="C2874" i="1"/>
  <c r="D2874" i="1"/>
  <c r="F2874" i="1" s="1"/>
  <c r="E2874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C2908" i="1"/>
  <c r="D2908" i="1"/>
  <c r="F2908" i="1" s="1"/>
  <c r="E2908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C2928" i="1"/>
  <c r="D2928" i="1"/>
  <c r="E2928" i="1"/>
  <c r="F2928" i="1"/>
  <c r="G2928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C2942" i="1"/>
  <c r="D2942" i="1"/>
  <c r="F2942" i="1" s="1"/>
  <c r="E2942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C2961" i="1"/>
  <c r="D2961" i="1"/>
  <c r="G2961" i="1" s="1"/>
  <c r="E2961" i="1"/>
  <c r="F2966" i="1"/>
  <c r="G2966" i="1"/>
  <c r="F2967" i="1"/>
  <c r="G2967" i="1"/>
  <c r="C2969" i="1"/>
  <c r="D2969" i="1"/>
  <c r="E2969" i="1"/>
  <c r="F2969" i="1" s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C2991" i="1"/>
  <c r="D2991" i="1"/>
  <c r="F2991" i="1" s="1"/>
  <c r="E2991" i="1"/>
  <c r="F2996" i="1"/>
  <c r="G2996" i="1"/>
  <c r="F2997" i="1"/>
  <c r="G2997" i="1"/>
  <c r="C2999" i="1"/>
  <c r="D2999" i="1"/>
  <c r="E2999" i="1"/>
  <c r="F2999" i="1"/>
  <c r="G2999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C3019" i="1"/>
  <c r="D3019" i="1"/>
  <c r="F3019" i="1" s="1"/>
  <c r="E3019" i="1"/>
  <c r="F3024" i="1"/>
  <c r="G3024" i="1"/>
  <c r="C3026" i="1"/>
  <c r="D3026" i="1"/>
  <c r="F3026" i="1" s="1"/>
  <c r="E3026" i="1"/>
  <c r="F3031" i="1"/>
  <c r="G3031" i="1"/>
  <c r="F3032" i="1"/>
  <c r="G3032" i="1"/>
  <c r="F3033" i="1"/>
  <c r="G3033" i="1"/>
  <c r="C3035" i="1"/>
  <c r="D3035" i="1"/>
  <c r="F3035" i="1" s="1"/>
  <c r="E3035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C3048" i="1"/>
  <c r="D3048" i="1"/>
  <c r="F3048" i="1" s="1"/>
  <c r="E3048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C3071" i="1"/>
  <c r="D3071" i="1"/>
  <c r="E3071" i="1"/>
  <c r="F3071" i="1"/>
  <c r="G3071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C3090" i="1"/>
  <c r="D3090" i="1"/>
  <c r="E3090" i="1"/>
  <c r="F3090" i="1" s="1"/>
  <c r="F3095" i="1"/>
  <c r="G3095" i="1"/>
  <c r="F3096" i="1"/>
  <c r="G3096" i="1"/>
  <c r="F3097" i="1"/>
  <c r="G3097" i="1"/>
  <c r="C3099" i="1"/>
  <c r="D3099" i="1"/>
  <c r="E3099" i="1"/>
  <c r="F3099" i="1"/>
  <c r="G3099" i="1"/>
  <c r="F3104" i="1"/>
  <c r="G3104" i="1"/>
  <c r="C3106" i="1"/>
  <c r="D3106" i="1"/>
  <c r="E3106" i="1"/>
  <c r="F3106" i="1" s="1"/>
  <c r="F3111" i="1"/>
  <c r="G3111" i="1"/>
  <c r="F3112" i="1"/>
  <c r="G3112" i="1"/>
  <c r="F3113" i="1"/>
  <c r="G3113" i="1"/>
  <c r="C3115" i="1"/>
  <c r="D3115" i="1"/>
  <c r="E3115" i="1"/>
  <c r="F3115" i="1"/>
  <c r="G3115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C3128" i="1"/>
  <c r="D3128" i="1"/>
  <c r="E3128" i="1"/>
  <c r="F3128" i="1" s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C3146" i="1"/>
  <c r="D3146" i="1"/>
  <c r="E3146" i="1"/>
  <c r="F3146" i="1"/>
  <c r="G3146" i="1"/>
  <c r="F3151" i="1"/>
  <c r="G3151" i="1"/>
  <c r="C3153" i="1"/>
  <c r="D3153" i="1"/>
  <c r="E3153" i="1"/>
  <c r="F3153" i="1" s="1"/>
  <c r="F3158" i="1"/>
  <c r="G3158" i="1"/>
  <c r="F3159" i="1"/>
  <c r="G3159" i="1"/>
  <c r="F3160" i="1"/>
  <c r="G3160" i="1"/>
  <c r="F3161" i="1"/>
  <c r="G3161" i="1"/>
  <c r="F3162" i="1"/>
  <c r="G3162" i="1"/>
  <c r="F3163" i="1"/>
  <c r="G3163" i="1"/>
  <c r="C3165" i="1"/>
  <c r="D3165" i="1"/>
  <c r="E3165" i="1"/>
  <c r="F3165" i="1"/>
  <c r="G3165" i="1"/>
  <c r="F3170" i="1"/>
  <c r="G3170" i="1"/>
  <c r="F3171" i="1"/>
  <c r="G3171" i="1"/>
  <c r="F3172" i="1"/>
  <c r="G3172" i="1"/>
  <c r="F3173" i="1"/>
  <c r="G3173" i="1"/>
  <c r="F3174" i="1"/>
  <c r="G3174" i="1"/>
  <c r="F3175" i="1"/>
  <c r="G3175" i="1"/>
  <c r="F3176" i="1"/>
  <c r="G3176" i="1"/>
  <c r="C3178" i="1"/>
  <c r="D3178" i="1"/>
  <c r="E3178" i="1"/>
  <c r="F3178" i="1" s="1"/>
  <c r="F3183" i="1"/>
  <c r="G3183" i="1"/>
  <c r="F3184" i="1"/>
  <c r="G3184" i="1"/>
  <c r="F3185" i="1"/>
  <c r="G3185" i="1"/>
  <c r="F3186" i="1"/>
  <c r="G3186" i="1"/>
  <c r="F3187" i="1"/>
  <c r="G3187" i="1"/>
  <c r="F3188" i="1"/>
  <c r="G3188" i="1"/>
  <c r="F3189" i="1"/>
  <c r="G3189" i="1"/>
  <c r="F3190" i="1"/>
  <c r="G3190" i="1"/>
  <c r="F3191" i="1"/>
  <c r="G3191" i="1"/>
  <c r="F3192" i="1"/>
  <c r="G3192" i="1"/>
  <c r="F3193" i="1"/>
  <c r="G3193" i="1"/>
  <c r="F3194" i="1"/>
  <c r="G3194" i="1"/>
  <c r="F3195" i="1"/>
  <c r="G3195" i="1"/>
  <c r="F3196" i="1"/>
  <c r="G3196" i="1"/>
  <c r="F3197" i="1"/>
  <c r="G3197" i="1"/>
  <c r="F3198" i="1"/>
  <c r="G3198" i="1"/>
  <c r="F3199" i="1"/>
  <c r="G3199" i="1"/>
  <c r="F3200" i="1"/>
  <c r="G3200" i="1"/>
  <c r="F3201" i="1"/>
  <c r="G3201" i="1"/>
  <c r="F3202" i="1"/>
  <c r="G3202" i="1"/>
  <c r="F3203" i="1"/>
  <c r="G3203" i="1"/>
  <c r="F3204" i="1"/>
  <c r="G3204" i="1"/>
  <c r="C3206" i="1"/>
  <c r="D3206" i="1"/>
  <c r="F3206" i="1" s="1"/>
  <c r="E3206" i="1"/>
  <c r="F3211" i="1"/>
  <c r="G3211" i="1"/>
  <c r="F3212" i="1"/>
  <c r="G3212" i="1"/>
  <c r="F3213" i="1"/>
  <c r="G3213" i="1"/>
  <c r="F3214" i="1"/>
  <c r="G3214" i="1"/>
  <c r="F3215" i="1"/>
  <c r="G3215" i="1"/>
  <c r="F3216" i="1"/>
  <c r="G3216" i="1"/>
  <c r="F3217" i="1"/>
  <c r="G3217" i="1"/>
  <c r="F3218" i="1"/>
  <c r="G3218" i="1"/>
  <c r="F3219" i="1"/>
  <c r="G3219" i="1"/>
  <c r="F3220" i="1"/>
  <c r="G3220" i="1"/>
  <c r="F3221" i="1"/>
  <c r="G3221" i="1"/>
  <c r="F3222" i="1"/>
  <c r="G3222" i="1"/>
  <c r="F3223" i="1"/>
  <c r="G3223" i="1"/>
  <c r="F3224" i="1"/>
  <c r="G3224" i="1"/>
  <c r="F3225" i="1"/>
  <c r="G3225" i="1"/>
  <c r="F3226" i="1"/>
  <c r="G3226" i="1"/>
  <c r="F3227" i="1"/>
  <c r="G3227" i="1"/>
  <c r="F3228" i="1"/>
  <c r="G3228" i="1"/>
  <c r="F3229" i="1"/>
  <c r="G3229" i="1"/>
  <c r="F3230" i="1"/>
  <c r="G3230" i="1"/>
  <c r="F3231" i="1"/>
  <c r="G3231" i="1"/>
  <c r="F3232" i="1"/>
  <c r="G3232" i="1"/>
  <c r="F3233" i="1"/>
  <c r="G3233" i="1"/>
  <c r="C3235" i="1"/>
  <c r="D3235" i="1"/>
  <c r="F3235" i="1" s="1"/>
  <c r="E3235" i="1"/>
  <c r="G3235" i="1"/>
  <c r="F3240" i="1"/>
  <c r="G3240" i="1"/>
  <c r="F3241" i="1"/>
  <c r="G3241" i="1"/>
  <c r="F3242" i="1"/>
  <c r="G3242" i="1"/>
  <c r="F3243" i="1"/>
  <c r="G3243" i="1"/>
  <c r="F3244" i="1"/>
  <c r="G3244" i="1"/>
  <c r="F3245" i="1"/>
  <c r="G3245" i="1"/>
  <c r="F3246" i="1"/>
  <c r="G3246" i="1"/>
  <c r="F3247" i="1"/>
  <c r="G3247" i="1"/>
  <c r="F3248" i="1"/>
  <c r="G3248" i="1"/>
  <c r="F3249" i="1"/>
  <c r="G3249" i="1"/>
  <c r="F3250" i="1"/>
  <c r="G3250" i="1"/>
  <c r="F3251" i="1"/>
  <c r="G3251" i="1"/>
  <c r="F3252" i="1"/>
  <c r="G3252" i="1"/>
  <c r="F3253" i="1"/>
  <c r="G3253" i="1"/>
  <c r="F3254" i="1"/>
  <c r="G3254" i="1"/>
  <c r="F3255" i="1"/>
  <c r="G3255" i="1"/>
  <c r="F3256" i="1"/>
  <c r="G3256" i="1"/>
  <c r="F3257" i="1"/>
  <c r="G3257" i="1"/>
  <c r="F3258" i="1"/>
  <c r="G3258" i="1"/>
  <c r="F3259" i="1"/>
  <c r="G3259" i="1"/>
  <c r="F3260" i="1"/>
  <c r="G3260" i="1"/>
  <c r="C3262" i="1"/>
  <c r="D3262" i="1"/>
  <c r="G3262" i="1" s="1"/>
  <c r="E3262" i="1"/>
  <c r="F3267" i="1"/>
  <c r="G3267" i="1"/>
  <c r="F3268" i="1"/>
  <c r="G3268" i="1"/>
  <c r="C3270" i="1"/>
  <c r="D3270" i="1"/>
  <c r="E3270" i="1"/>
  <c r="F3270" i="1" s="1"/>
  <c r="F3275" i="1"/>
  <c r="G3275" i="1"/>
  <c r="F3276" i="1"/>
  <c r="G3276" i="1"/>
  <c r="F3277" i="1"/>
  <c r="G3277" i="1"/>
  <c r="F3278" i="1"/>
  <c r="G3278" i="1"/>
  <c r="F3279" i="1"/>
  <c r="G3279" i="1"/>
  <c r="F3280" i="1"/>
  <c r="G3280" i="1"/>
  <c r="F3281" i="1"/>
  <c r="G3281" i="1"/>
  <c r="F3282" i="1"/>
  <c r="G3282" i="1"/>
  <c r="F3283" i="1"/>
  <c r="G3283" i="1"/>
  <c r="F3284" i="1"/>
  <c r="G3284" i="1"/>
  <c r="F3285" i="1"/>
  <c r="G3285" i="1"/>
  <c r="F3286" i="1"/>
  <c r="G3286" i="1"/>
  <c r="F3287" i="1"/>
  <c r="G3287" i="1"/>
  <c r="F3288" i="1"/>
  <c r="G3288" i="1"/>
  <c r="C3290" i="1"/>
  <c r="D3290" i="1"/>
  <c r="G3290" i="1" s="1"/>
  <c r="E3290" i="1"/>
  <c r="F3295" i="1"/>
  <c r="G3295" i="1"/>
  <c r="F3296" i="1"/>
  <c r="G3296" i="1"/>
  <c r="F3297" i="1"/>
  <c r="G3297" i="1"/>
  <c r="F3298" i="1"/>
  <c r="G3298" i="1"/>
  <c r="F3299" i="1"/>
  <c r="G3299" i="1"/>
  <c r="F3300" i="1"/>
  <c r="G3300" i="1"/>
  <c r="F3301" i="1"/>
  <c r="G3301" i="1"/>
  <c r="F3302" i="1"/>
  <c r="G3302" i="1"/>
  <c r="F3303" i="1"/>
  <c r="G3303" i="1"/>
  <c r="F3304" i="1"/>
  <c r="G3304" i="1"/>
  <c r="C3306" i="1"/>
  <c r="D3306" i="1"/>
  <c r="F3306" i="1" s="1"/>
  <c r="E3306" i="1"/>
  <c r="G3306" i="1"/>
  <c r="F3311" i="1"/>
  <c r="G3311" i="1"/>
  <c r="F3312" i="1"/>
  <c r="G3312" i="1"/>
  <c r="F3313" i="1"/>
  <c r="G3313" i="1"/>
  <c r="F3314" i="1"/>
  <c r="G3314" i="1"/>
  <c r="F3315" i="1"/>
  <c r="G3315" i="1"/>
  <c r="F3316" i="1"/>
  <c r="G3316" i="1"/>
  <c r="F3317" i="1"/>
  <c r="G3317" i="1"/>
  <c r="F3318" i="1"/>
  <c r="G3318" i="1"/>
  <c r="C3320" i="1"/>
  <c r="D3320" i="1"/>
  <c r="F3320" i="1" s="1"/>
  <c r="E3320" i="1"/>
  <c r="F3325" i="1"/>
  <c r="G3325" i="1"/>
  <c r="F3326" i="1"/>
  <c r="G3326" i="1"/>
  <c r="C3328" i="1"/>
  <c r="D3328" i="1"/>
  <c r="F3328" i="1" s="1"/>
  <c r="E3328" i="1"/>
  <c r="G3328" i="1"/>
  <c r="F3333" i="1"/>
  <c r="G3333" i="1"/>
  <c r="C3335" i="1"/>
  <c r="D3335" i="1"/>
  <c r="E3335" i="1"/>
  <c r="F3335" i="1"/>
  <c r="G3335" i="1"/>
  <c r="F3340" i="1"/>
  <c r="G3340" i="1"/>
  <c r="C3342" i="1"/>
  <c r="D3342" i="1"/>
  <c r="E3342" i="1"/>
  <c r="F3342" i="1" s="1"/>
  <c r="F3347" i="1"/>
  <c r="G3347" i="1"/>
  <c r="F3348" i="1"/>
  <c r="G3348" i="1"/>
  <c r="F3349" i="1"/>
  <c r="G3349" i="1"/>
  <c r="F3350" i="1"/>
  <c r="G3350" i="1"/>
  <c r="F3351" i="1"/>
  <c r="G3351" i="1"/>
  <c r="F3352" i="1"/>
  <c r="G3352" i="1"/>
  <c r="F3353" i="1"/>
  <c r="G3353" i="1"/>
  <c r="F3354" i="1"/>
  <c r="G3354" i="1"/>
  <c r="F3355" i="1"/>
  <c r="G3355" i="1"/>
  <c r="F3356" i="1"/>
  <c r="G3356" i="1"/>
  <c r="F3357" i="1"/>
  <c r="G3357" i="1"/>
  <c r="F3358" i="1"/>
  <c r="G3358" i="1"/>
  <c r="C3360" i="1"/>
  <c r="D3360" i="1"/>
  <c r="E3360" i="1"/>
  <c r="F3360" i="1"/>
  <c r="G3360" i="1"/>
  <c r="F3365" i="1"/>
  <c r="G3365" i="1"/>
  <c r="F3366" i="1"/>
  <c r="G3366" i="1"/>
  <c r="F3367" i="1"/>
  <c r="G3367" i="1"/>
  <c r="F3368" i="1"/>
  <c r="G3368" i="1"/>
  <c r="F3369" i="1"/>
  <c r="G3369" i="1"/>
  <c r="F3370" i="1"/>
  <c r="G3370" i="1"/>
  <c r="F3371" i="1"/>
  <c r="G3371" i="1"/>
  <c r="F3372" i="1"/>
  <c r="G3372" i="1"/>
  <c r="F3373" i="1"/>
  <c r="G3373" i="1"/>
  <c r="F3374" i="1"/>
  <c r="G3374" i="1"/>
  <c r="F3375" i="1"/>
  <c r="G3375" i="1"/>
  <c r="C3377" i="1"/>
  <c r="D3377" i="1"/>
  <c r="F3377" i="1" s="1"/>
  <c r="E3377" i="1"/>
  <c r="F3382" i="1"/>
  <c r="G3382" i="1"/>
  <c r="F3383" i="1"/>
  <c r="G3383" i="1"/>
  <c r="F3384" i="1"/>
  <c r="G3384" i="1"/>
  <c r="F3385" i="1"/>
  <c r="G3385" i="1"/>
  <c r="F3386" i="1"/>
  <c r="G3386" i="1"/>
  <c r="F3387" i="1"/>
  <c r="G3387" i="1"/>
  <c r="F3388" i="1"/>
  <c r="G3388" i="1"/>
  <c r="C3390" i="1"/>
  <c r="D3390" i="1"/>
  <c r="G3390" i="1" s="1"/>
  <c r="E3390" i="1"/>
  <c r="F3395" i="1"/>
  <c r="G3395" i="1"/>
  <c r="F3396" i="1"/>
  <c r="G3396" i="1"/>
  <c r="F3397" i="1"/>
  <c r="G3397" i="1"/>
  <c r="F3398" i="1"/>
  <c r="G3398" i="1"/>
  <c r="F3399" i="1"/>
  <c r="G3399" i="1"/>
  <c r="F3400" i="1"/>
  <c r="G3400" i="1"/>
  <c r="F3401" i="1"/>
  <c r="G3401" i="1"/>
  <c r="F3402" i="1"/>
  <c r="G3402" i="1"/>
  <c r="F3403" i="1"/>
  <c r="G3403" i="1"/>
  <c r="F3404" i="1"/>
  <c r="G3404" i="1"/>
  <c r="F3405" i="1"/>
  <c r="G3405" i="1"/>
  <c r="F3406" i="1"/>
  <c r="G3406" i="1"/>
  <c r="F3407" i="1"/>
  <c r="G3407" i="1"/>
  <c r="F3408" i="1"/>
  <c r="G3408" i="1"/>
  <c r="F3409" i="1"/>
  <c r="G3409" i="1"/>
  <c r="F3410" i="1"/>
  <c r="G3410" i="1"/>
  <c r="F3411" i="1"/>
  <c r="G3411" i="1"/>
  <c r="F3412" i="1"/>
  <c r="G3412" i="1"/>
  <c r="F3413" i="1"/>
  <c r="G3413" i="1"/>
  <c r="F3414" i="1"/>
  <c r="G3414" i="1"/>
  <c r="F3415" i="1"/>
  <c r="G3415" i="1"/>
  <c r="F3416" i="1"/>
  <c r="G3416" i="1"/>
  <c r="F3417" i="1"/>
  <c r="G3417" i="1"/>
  <c r="F3418" i="1"/>
  <c r="G3418" i="1"/>
  <c r="F3419" i="1"/>
  <c r="G3419" i="1"/>
  <c r="F3420" i="1"/>
  <c r="G3420" i="1"/>
  <c r="F3421" i="1"/>
  <c r="G3421" i="1"/>
  <c r="F3422" i="1"/>
  <c r="G3422" i="1"/>
  <c r="F3423" i="1"/>
  <c r="G3423" i="1"/>
  <c r="F3424" i="1"/>
  <c r="G3424" i="1"/>
  <c r="F3425" i="1"/>
  <c r="G3425" i="1"/>
  <c r="F3426" i="1"/>
  <c r="G3426" i="1"/>
  <c r="F3427" i="1"/>
  <c r="G3427" i="1"/>
  <c r="F3428" i="1"/>
  <c r="G3428" i="1"/>
  <c r="F3429" i="1"/>
  <c r="G3429" i="1"/>
  <c r="F3430" i="1"/>
  <c r="G3430" i="1"/>
  <c r="F3431" i="1"/>
  <c r="G3431" i="1"/>
  <c r="F3432" i="1"/>
  <c r="G3432" i="1"/>
  <c r="C3434" i="1"/>
  <c r="D3434" i="1"/>
  <c r="E3434" i="1"/>
  <c r="F3434" i="1" s="1"/>
  <c r="F3439" i="1"/>
  <c r="G3439" i="1"/>
  <c r="F3440" i="1"/>
  <c r="G3440" i="1"/>
  <c r="F3441" i="1"/>
  <c r="G3441" i="1"/>
  <c r="F3442" i="1"/>
  <c r="G3442" i="1"/>
  <c r="F3443" i="1"/>
  <c r="G3443" i="1"/>
  <c r="F3444" i="1"/>
  <c r="G3444" i="1"/>
  <c r="F3445" i="1"/>
  <c r="G3445" i="1"/>
  <c r="F3446" i="1"/>
  <c r="G3446" i="1"/>
  <c r="F3447" i="1"/>
  <c r="G3447" i="1"/>
  <c r="F3448" i="1"/>
  <c r="G3448" i="1"/>
  <c r="F3449" i="1"/>
  <c r="G3449" i="1"/>
  <c r="F3450" i="1"/>
  <c r="G3450" i="1"/>
  <c r="F3451" i="1"/>
  <c r="G3451" i="1"/>
  <c r="F3452" i="1"/>
  <c r="G3452" i="1"/>
  <c r="F3453" i="1"/>
  <c r="G3453" i="1"/>
  <c r="F3454" i="1"/>
  <c r="G3454" i="1"/>
  <c r="F3455" i="1"/>
  <c r="G3455" i="1"/>
  <c r="F3456" i="1"/>
  <c r="G3456" i="1"/>
  <c r="F3457" i="1"/>
  <c r="G3457" i="1"/>
  <c r="F3458" i="1"/>
  <c r="G3458" i="1"/>
  <c r="F3459" i="1"/>
  <c r="G3459" i="1"/>
  <c r="F3460" i="1"/>
  <c r="G3460" i="1"/>
  <c r="F3461" i="1"/>
  <c r="G3461" i="1"/>
  <c r="F3462" i="1"/>
  <c r="G3462" i="1"/>
  <c r="F3463" i="1"/>
  <c r="G3463" i="1"/>
  <c r="F3464" i="1"/>
  <c r="G3464" i="1"/>
  <c r="F3465" i="1"/>
  <c r="G3465" i="1"/>
  <c r="F3466" i="1"/>
  <c r="G3466" i="1"/>
  <c r="F3467" i="1"/>
  <c r="G3467" i="1"/>
  <c r="F3468" i="1"/>
  <c r="G3468" i="1"/>
  <c r="F3469" i="1"/>
  <c r="G3469" i="1"/>
  <c r="F3470" i="1"/>
  <c r="G3470" i="1"/>
  <c r="F3471" i="1"/>
  <c r="G3471" i="1"/>
  <c r="F3472" i="1"/>
  <c r="G3472" i="1"/>
  <c r="F3473" i="1"/>
  <c r="G3473" i="1"/>
  <c r="F3474" i="1"/>
  <c r="G3474" i="1"/>
  <c r="F3475" i="1"/>
  <c r="G3475" i="1"/>
  <c r="F3476" i="1"/>
  <c r="G3476" i="1"/>
  <c r="F3477" i="1"/>
  <c r="G3477" i="1"/>
  <c r="C3479" i="1"/>
  <c r="D3479" i="1"/>
  <c r="G3479" i="1" s="1"/>
  <c r="E3479" i="1"/>
  <c r="F3479" i="1"/>
  <c r="F3484" i="1"/>
  <c r="G3484" i="1"/>
  <c r="F3485" i="1"/>
  <c r="G3485" i="1"/>
  <c r="C3487" i="1"/>
  <c r="D3487" i="1"/>
  <c r="E3487" i="1"/>
  <c r="F3487" i="1"/>
  <c r="G3487" i="1"/>
  <c r="F3492" i="1"/>
  <c r="G3492" i="1"/>
  <c r="F3493" i="1"/>
  <c r="G3493" i="1"/>
  <c r="F3494" i="1"/>
  <c r="G3494" i="1"/>
  <c r="F3495" i="1"/>
  <c r="G3495" i="1"/>
  <c r="F3496" i="1"/>
  <c r="G3496" i="1"/>
  <c r="F3497" i="1"/>
  <c r="G3497" i="1"/>
  <c r="F3498" i="1"/>
  <c r="G3498" i="1"/>
  <c r="F3499" i="1"/>
  <c r="G3499" i="1"/>
  <c r="F3500" i="1"/>
  <c r="G3500" i="1"/>
  <c r="C3502" i="1"/>
  <c r="D3502" i="1"/>
  <c r="F3502" i="1" s="1"/>
  <c r="E3502" i="1"/>
  <c r="F3507" i="1"/>
  <c r="G3507" i="1"/>
  <c r="F3508" i="1"/>
  <c r="G3508" i="1"/>
  <c r="F3509" i="1"/>
  <c r="G3509" i="1"/>
  <c r="F3510" i="1"/>
  <c r="G3510" i="1"/>
  <c r="F3511" i="1"/>
  <c r="G3511" i="1"/>
  <c r="F3512" i="1"/>
  <c r="G3512" i="1"/>
  <c r="F3513" i="1"/>
  <c r="G3513" i="1"/>
  <c r="F3514" i="1"/>
  <c r="G3514" i="1"/>
  <c r="F3515" i="1"/>
  <c r="G3515" i="1"/>
  <c r="F3516" i="1"/>
  <c r="G3516" i="1"/>
  <c r="C3518" i="1"/>
  <c r="D3518" i="1"/>
  <c r="F3518" i="1" s="1"/>
  <c r="E3518" i="1"/>
  <c r="G3518" i="1"/>
  <c r="F3523" i="1"/>
  <c r="G3523" i="1"/>
  <c r="F3524" i="1"/>
  <c r="G3524" i="1"/>
  <c r="F3525" i="1"/>
  <c r="G3525" i="1"/>
  <c r="F3526" i="1"/>
  <c r="G3526" i="1"/>
  <c r="F3527" i="1"/>
  <c r="G3527" i="1"/>
  <c r="F3528" i="1"/>
  <c r="G3528" i="1"/>
  <c r="F3529" i="1"/>
  <c r="G3529" i="1"/>
  <c r="F3530" i="1"/>
  <c r="G3530" i="1"/>
  <c r="C3532" i="1"/>
  <c r="D3532" i="1"/>
  <c r="G3532" i="1" s="1"/>
  <c r="E3532" i="1"/>
  <c r="F3532" i="1"/>
  <c r="F3537" i="1"/>
  <c r="G3537" i="1"/>
  <c r="F3538" i="1"/>
  <c r="G3538" i="1"/>
  <c r="F3539" i="1"/>
  <c r="G3539" i="1"/>
  <c r="F3540" i="1"/>
  <c r="G3540" i="1"/>
  <c r="F3541" i="1"/>
  <c r="G3541" i="1"/>
  <c r="F3542" i="1"/>
  <c r="G3542" i="1"/>
  <c r="F3543" i="1"/>
  <c r="G3543" i="1"/>
  <c r="F3544" i="1"/>
  <c r="G3544" i="1"/>
  <c r="F3545" i="1"/>
  <c r="G3545" i="1"/>
  <c r="F3546" i="1"/>
  <c r="G3546" i="1"/>
  <c r="C3548" i="1"/>
  <c r="D3548" i="1"/>
  <c r="E3548" i="1"/>
  <c r="F3548" i="1" s="1"/>
  <c r="F3553" i="1"/>
  <c r="G3553" i="1"/>
  <c r="F3554" i="1"/>
  <c r="G3554" i="1"/>
  <c r="F3555" i="1"/>
  <c r="G3555" i="1"/>
  <c r="F3556" i="1"/>
  <c r="G3556" i="1"/>
  <c r="F3557" i="1"/>
  <c r="G3557" i="1"/>
  <c r="F3558" i="1"/>
  <c r="G3558" i="1"/>
  <c r="F3559" i="1"/>
  <c r="G3559" i="1"/>
  <c r="F3560" i="1"/>
  <c r="G3560" i="1"/>
  <c r="F3561" i="1"/>
  <c r="G3561" i="1"/>
  <c r="F3562" i="1"/>
  <c r="G3562" i="1"/>
  <c r="F3563" i="1"/>
  <c r="G3563" i="1"/>
  <c r="F3564" i="1"/>
  <c r="G3564" i="1"/>
  <c r="F3565" i="1"/>
  <c r="G3565" i="1"/>
  <c r="F3566" i="1"/>
  <c r="G3566" i="1"/>
  <c r="F3567" i="1"/>
  <c r="G3567" i="1"/>
  <c r="F3568" i="1"/>
  <c r="G3568" i="1"/>
  <c r="F3569" i="1"/>
  <c r="G3569" i="1"/>
  <c r="F3570" i="1"/>
  <c r="G3570" i="1"/>
  <c r="F3571" i="1"/>
  <c r="G3571" i="1"/>
  <c r="F3572" i="1"/>
  <c r="G3572" i="1"/>
  <c r="F3573" i="1"/>
  <c r="G3573" i="1"/>
  <c r="F3574" i="1"/>
  <c r="G3574" i="1"/>
  <c r="F3575" i="1"/>
  <c r="G3575" i="1"/>
  <c r="F3576" i="1"/>
  <c r="G3576" i="1"/>
  <c r="F3577" i="1"/>
  <c r="G3577" i="1"/>
  <c r="F3578" i="1"/>
  <c r="G3578" i="1"/>
  <c r="F3579" i="1"/>
  <c r="G3579" i="1"/>
  <c r="F3580" i="1"/>
  <c r="G3580" i="1"/>
  <c r="F3581" i="1"/>
  <c r="G3581" i="1"/>
  <c r="F3582" i="1"/>
  <c r="G3582" i="1"/>
  <c r="F3583" i="1"/>
  <c r="G3583" i="1"/>
  <c r="F3584" i="1"/>
  <c r="G3584" i="1"/>
  <c r="F3585" i="1"/>
  <c r="G3585" i="1"/>
  <c r="F3586" i="1"/>
  <c r="G3586" i="1"/>
  <c r="F3587" i="1"/>
  <c r="G3587" i="1"/>
  <c r="F3588" i="1"/>
  <c r="G3588" i="1"/>
  <c r="F3589" i="1"/>
  <c r="G3589" i="1"/>
  <c r="F3590" i="1"/>
  <c r="G3590" i="1"/>
  <c r="F3591" i="1"/>
  <c r="G3591" i="1"/>
  <c r="F3592" i="1"/>
  <c r="G3592" i="1"/>
  <c r="F3593" i="1"/>
  <c r="G3593" i="1"/>
  <c r="F3594" i="1"/>
  <c r="G3594" i="1"/>
  <c r="F3595" i="1"/>
  <c r="G3595" i="1"/>
  <c r="F3596" i="1"/>
  <c r="G3596" i="1"/>
  <c r="F3597" i="1"/>
  <c r="G3597" i="1"/>
  <c r="F3598" i="1"/>
  <c r="G3598" i="1"/>
  <c r="F3599" i="1"/>
  <c r="G3599" i="1"/>
  <c r="F3600" i="1"/>
  <c r="G3600" i="1"/>
  <c r="F3601" i="1"/>
  <c r="G3601" i="1"/>
  <c r="F3602" i="1"/>
  <c r="G3602" i="1"/>
  <c r="F3603" i="1"/>
  <c r="G3603" i="1"/>
  <c r="F3604" i="1"/>
  <c r="G3604" i="1"/>
  <c r="F3605" i="1"/>
  <c r="G3605" i="1"/>
  <c r="F3606" i="1"/>
  <c r="G3606" i="1"/>
  <c r="F3607" i="1"/>
  <c r="G3607" i="1"/>
  <c r="F3608" i="1"/>
  <c r="G3608" i="1"/>
  <c r="F3609" i="1"/>
  <c r="G3609" i="1"/>
  <c r="F3610" i="1"/>
  <c r="G3610" i="1"/>
  <c r="F3611" i="1"/>
  <c r="G3611" i="1"/>
  <c r="F3612" i="1"/>
  <c r="G3612" i="1"/>
  <c r="F3613" i="1"/>
  <c r="G3613" i="1"/>
  <c r="F3614" i="1"/>
  <c r="G3614" i="1"/>
  <c r="F3615" i="1"/>
  <c r="G3615" i="1"/>
  <c r="F3616" i="1"/>
  <c r="G3616" i="1"/>
  <c r="F3617" i="1"/>
  <c r="G3617" i="1"/>
  <c r="F3618" i="1"/>
  <c r="G3618" i="1"/>
  <c r="F3619" i="1"/>
  <c r="G3619" i="1"/>
  <c r="F3620" i="1"/>
  <c r="G3620" i="1"/>
  <c r="F3621" i="1"/>
  <c r="G3621" i="1"/>
  <c r="F3622" i="1"/>
  <c r="G3622" i="1"/>
  <c r="F3623" i="1"/>
  <c r="G3623" i="1"/>
  <c r="F3624" i="1"/>
  <c r="G3624" i="1"/>
  <c r="F3625" i="1"/>
  <c r="G3625" i="1"/>
  <c r="F3626" i="1"/>
  <c r="G3626" i="1"/>
  <c r="F3627" i="1"/>
  <c r="G3627" i="1"/>
  <c r="F3628" i="1"/>
  <c r="G3628" i="1"/>
  <c r="F3629" i="1"/>
  <c r="G3629" i="1"/>
  <c r="F3630" i="1"/>
  <c r="G3630" i="1"/>
  <c r="F3631" i="1"/>
  <c r="G3631" i="1"/>
  <c r="F3632" i="1"/>
  <c r="G3632" i="1"/>
  <c r="F3633" i="1"/>
  <c r="G3633" i="1"/>
  <c r="F3634" i="1"/>
  <c r="G3634" i="1"/>
  <c r="F3635" i="1"/>
  <c r="G3635" i="1"/>
  <c r="F3636" i="1"/>
  <c r="G3636" i="1"/>
  <c r="F3637" i="1"/>
  <c r="G3637" i="1"/>
  <c r="F3638" i="1"/>
  <c r="G3638" i="1"/>
  <c r="F3639" i="1"/>
  <c r="G3639" i="1"/>
  <c r="F3640" i="1"/>
  <c r="G3640" i="1"/>
  <c r="F3641" i="1"/>
  <c r="G3641" i="1"/>
  <c r="F3642" i="1"/>
  <c r="G3642" i="1"/>
  <c r="F3643" i="1"/>
  <c r="G3643" i="1"/>
  <c r="F3644" i="1"/>
  <c r="G3644" i="1"/>
  <c r="F3645" i="1"/>
  <c r="G3645" i="1"/>
  <c r="F3646" i="1"/>
  <c r="G3646" i="1"/>
  <c r="F3647" i="1"/>
  <c r="G3647" i="1"/>
  <c r="F3648" i="1"/>
  <c r="G3648" i="1"/>
  <c r="F3649" i="1"/>
  <c r="G3649" i="1"/>
  <c r="F3650" i="1"/>
  <c r="G3650" i="1"/>
  <c r="F3651" i="1"/>
  <c r="G3651" i="1"/>
  <c r="F3652" i="1"/>
  <c r="G3652" i="1"/>
  <c r="F3653" i="1"/>
  <c r="G3653" i="1"/>
  <c r="F3654" i="1"/>
  <c r="G3654" i="1"/>
  <c r="F3655" i="1"/>
  <c r="G3655" i="1"/>
  <c r="F3656" i="1"/>
  <c r="G3656" i="1"/>
  <c r="F3657" i="1"/>
  <c r="G3657" i="1"/>
  <c r="F3658" i="1"/>
  <c r="G3658" i="1"/>
  <c r="F3659" i="1"/>
  <c r="G3659" i="1"/>
  <c r="F3660" i="1"/>
  <c r="G3660" i="1"/>
  <c r="F3661" i="1"/>
  <c r="G3661" i="1"/>
  <c r="F3662" i="1"/>
  <c r="G3662" i="1"/>
  <c r="F3663" i="1"/>
  <c r="G3663" i="1"/>
  <c r="F3664" i="1"/>
  <c r="G3664" i="1"/>
  <c r="F3665" i="1"/>
  <c r="G3665" i="1"/>
  <c r="F3666" i="1"/>
  <c r="G3666" i="1"/>
  <c r="F3667" i="1"/>
  <c r="G3667" i="1"/>
  <c r="F3668" i="1"/>
  <c r="G3668" i="1"/>
  <c r="F3669" i="1"/>
  <c r="G3669" i="1"/>
  <c r="F3670" i="1"/>
  <c r="G3670" i="1"/>
  <c r="F3671" i="1"/>
  <c r="G3671" i="1"/>
  <c r="F3672" i="1"/>
  <c r="G3672" i="1"/>
  <c r="F3673" i="1"/>
  <c r="G3673" i="1"/>
  <c r="F3674" i="1"/>
  <c r="G3674" i="1"/>
  <c r="F3675" i="1"/>
  <c r="G3675" i="1"/>
  <c r="F3676" i="1"/>
  <c r="G3676" i="1"/>
  <c r="F3677" i="1"/>
  <c r="G3677" i="1"/>
  <c r="F3678" i="1"/>
  <c r="G3678" i="1"/>
  <c r="F3679" i="1"/>
  <c r="G3679" i="1"/>
  <c r="F3680" i="1"/>
  <c r="G3680" i="1"/>
  <c r="F3681" i="1"/>
  <c r="G3681" i="1"/>
  <c r="F3682" i="1"/>
  <c r="G3682" i="1"/>
  <c r="F3683" i="1"/>
  <c r="G3683" i="1"/>
  <c r="F3684" i="1"/>
  <c r="G3684" i="1"/>
  <c r="F3685" i="1"/>
  <c r="G3685" i="1"/>
  <c r="F3686" i="1"/>
  <c r="G3686" i="1"/>
  <c r="F3687" i="1"/>
  <c r="G3687" i="1"/>
  <c r="F3688" i="1"/>
  <c r="G3688" i="1"/>
  <c r="F3689" i="1"/>
  <c r="G3689" i="1"/>
  <c r="F3690" i="1"/>
  <c r="G3690" i="1"/>
  <c r="F3691" i="1"/>
  <c r="G3691" i="1"/>
  <c r="F3692" i="1"/>
  <c r="G3692" i="1"/>
  <c r="F3693" i="1"/>
  <c r="G3693" i="1"/>
  <c r="F3694" i="1"/>
  <c r="G3694" i="1"/>
  <c r="F3695" i="1"/>
  <c r="G3695" i="1"/>
  <c r="F3696" i="1"/>
  <c r="G3696" i="1"/>
  <c r="F3697" i="1"/>
  <c r="G3697" i="1"/>
  <c r="F3698" i="1"/>
  <c r="G3698" i="1"/>
  <c r="F3699" i="1"/>
  <c r="G3699" i="1"/>
  <c r="F3700" i="1"/>
  <c r="G3700" i="1"/>
  <c r="F3701" i="1"/>
  <c r="G3701" i="1"/>
  <c r="F3702" i="1"/>
  <c r="G3702" i="1"/>
  <c r="F3703" i="1"/>
  <c r="G3703" i="1"/>
  <c r="F3704" i="1"/>
  <c r="G3704" i="1"/>
  <c r="F3705" i="1"/>
  <c r="G3705" i="1"/>
  <c r="F3706" i="1"/>
  <c r="G3706" i="1"/>
  <c r="F3707" i="1"/>
  <c r="G3707" i="1"/>
  <c r="F3708" i="1"/>
  <c r="G3708" i="1"/>
  <c r="F3709" i="1"/>
  <c r="G3709" i="1"/>
  <c r="F3710" i="1"/>
  <c r="G3710" i="1"/>
  <c r="F3711" i="1"/>
  <c r="G3711" i="1"/>
  <c r="F3712" i="1"/>
  <c r="G3712" i="1"/>
  <c r="F3713" i="1"/>
  <c r="G3713" i="1"/>
  <c r="F3714" i="1"/>
  <c r="G3714" i="1"/>
  <c r="F3715" i="1"/>
  <c r="G3715" i="1"/>
  <c r="F3716" i="1"/>
  <c r="G3716" i="1"/>
  <c r="F3717" i="1"/>
  <c r="G3717" i="1"/>
  <c r="F3718" i="1"/>
  <c r="G3718" i="1"/>
  <c r="F3719" i="1"/>
  <c r="G3719" i="1"/>
  <c r="F3720" i="1"/>
  <c r="G3720" i="1"/>
  <c r="F3721" i="1"/>
  <c r="G3721" i="1"/>
  <c r="F3722" i="1"/>
  <c r="G3722" i="1"/>
  <c r="F3723" i="1"/>
  <c r="G3723" i="1"/>
  <c r="F3724" i="1"/>
  <c r="G3724" i="1"/>
  <c r="F3725" i="1"/>
  <c r="G3725" i="1"/>
  <c r="F3726" i="1"/>
  <c r="G3726" i="1"/>
  <c r="F3727" i="1"/>
  <c r="G3727" i="1"/>
  <c r="F3728" i="1"/>
  <c r="G3728" i="1"/>
  <c r="F3729" i="1"/>
  <c r="G3729" i="1"/>
  <c r="F3730" i="1"/>
  <c r="G3730" i="1"/>
  <c r="F3731" i="1"/>
  <c r="G3731" i="1"/>
  <c r="F3732" i="1"/>
  <c r="G3732" i="1"/>
  <c r="F3733" i="1"/>
  <c r="G3733" i="1"/>
  <c r="F3734" i="1"/>
  <c r="G3734" i="1"/>
  <c r="F3735" i="1"/>
  <c r="G3735" i="1"/>
  <c r="F3736" i="1"/>
  <c r="G3736" i="1"/>
  <c r="F3737" i="1"/>
  <c r="G3737" i="1"/>
  <c r="F3738" i="1"/>
  <c r="G3738" i="1"/>
  <c r="F3739" i="1"/>
  <c r="G3739" i="1"/>
  <c r="F3740" i="1"/>
  <c r="G3740" i="1"/>
  <c r="F3741" i="1"/>
  <c r="G3741" i="1"/>
  <c r="F3742" i="1"/>
  <c r="G3742" i="1"/>
  <c r="F3743" i="1"/>
  <c r="G3743" i="1"/>
  <c r="F3744" i="1"/>
  <c r="G3744" i="1"/>
  <c r="F3745" i="1"/>
  <c r="G3745" i="1"/>
  <c r="F3746" i="1"/>
  <c r="G3746" i="1"/>
  <c r="F3747" i="1"/>
  <c r="G3747" i="1"/>
  <c r="F3748" i="1"/>
  <c r="G3748" i="1"/>
  <c r="F3749" i="1"/>
  <c r="G3749" i="1"/>
  <c r="F3750" i="1"/>
  <c r="G3750" i="1"/>
  <c r="F3751" i="1"/>
  <c r="G3751" i="1"/>
  <c r="F3752" i="1"/>
  <c r="G3752" i="1"/>
  <c r="F3753" i="1"/>
  <c r="G3753" i="1"/>
  <c r="F3754" i="1"/>
  <c r="G3754" i="1"/>
  <c r="F3755" i="1"/>
  <c r="G3755" i="1"/>
  <c r="F3756" i="1"/>
  <c r="G3756" i="1"/>
  <c r="F3757" i="1"/>
  <c r="G3757" i="1"/>
  <c r="F3758" i="1"/>
  <c r="G3758" i="1"/>
  <c r="F3759" i="1"/>
  <c r="G3759" i="1"/>
  <c r="F3760" i="1"/>
  <c r="G3760" i="1"/>
  <c r="F3761" i="1"/>
  <c r="G3761" i="1"/>
  <c r="F3762" i="1"/>
  <c r="G3762" i="1"/>
  <c r="F3763" i="1"/>
  <c r="G3763" i="1"/>
  <c r="F3764" i="1"/>
  <c r="G3764" i="1"/>
  <c r="F3765" i="1"/>
  <c r="G3765" i="1"/>
  <c r="F3766" i="1"/>
  <c r="G3766" i="1"/>
  <c r="F3767" i="1"/>
  <c r="G3767" i="1"/>
  <c r="F3768" i="1"/>
  <c r="G3768" i="1"/>
  <c r="F3769" i="1"/>
  <c r="G3769" i="1"/>
  <c r="F3770" i="1"/>
  <c r="G3770" i="1"/>
  <c r="F3771" i="1"/>
  <c r="G3771" i="1"/>
  <c r="F3772" i="1"/>
  <c r="G3772" i="1"/>
  <c r="F3773" i="1"/>
  <c r="G3773" i="1"/>
  <c r="F3774" i="1"/>
  <c r="G3774" i="1"/>
  <c r="F3775" i="1"/>
  <c r="G3775" i="1"/>
  <c r="F3776" i="1"/>
  <c r="G3776" i="1"/>
  <c r="F3777" i="1"/>
  <c r="G3777" i="1"/>
  <c r="F3778" i="1"/>
  <c r="G3778" i="1"/>
  <c r="F3779" i="1"/>
  <c r="G3779" i="1"/>
  <c r="F3780" i="1"/>
  <c r="G3780" i="1"/>
  <c r="F3781" i="1"/>
  <c r="G3781" i="1"/>
  <c r="F3782" i="1"/>
  <c r="G3782" i="1"/>
  <c r="F3783" i="1"/>
  <c r="G3783" i="1"/>
  <c r="F3784" i="1"/>
  <c r="G3784" i="1"/>
  <c r="F3785" i="1"/>
  <c r="G3785" i="1"/>
  <c r="F3786" i="1"/>
  <c r="G3786" i="1"/>
  <c r="F3787" i="1"/>
  <c r="G3787" i="1"/>
  <c r="F3788" i="1"/>
  <c r="G3788" i="1"/>
  <c r="F3789" i="1"/>
  <c r="G3789" i="1"/>
  <c r="F3790" i="1"/>
  <c r="G3790" i="1"/>
  <c r="F3791" i="1"/>
  <c r="G3791" i="1"/>
  <c r="F3792" i="1"/>
  <c r="G3792" i="1"/>
  <c r="F3793" i="1"/>
  <c r="G3793" i="1"/>
  <c r="F3794" i="1"/>
  <c r="G3794" i="1"/>
  <c r="F3795" i="1"/>
  <c r="G3795" i="1"/>
  <c r="F3796" i="1"/>
  <c r="G3796" i="1"/>
  <c r="F3797" i="1"/>
  <c r="G3797" i="1"/>
  <c r="F3798" i="1"/>
  <c r="G3798" i="1"/>
  <c r="F3799" i="1"/>
  <c r="G3799" i="1"/>
  <c r="F3800" i="1"/>
  <c r="G3800" i="1"/>
  <c r="F3801" i="1"/>
  <c r="G3801" i="1"/>
  <c r="F3802" i="1"/>
  <c r="G3802" i="1"/>
  <c r="F3803" i="1"/>
  <c r="G3803" i="1"/>
  <c r="F3804" i="1"/>
  <c r="G3804" i="1"/>
  <c r="F3805" i="1"/>
  <c r="G3805" i="1"/>
  <c r="F3806" i="1"/>
  <c r="G3806" i="1"/>
  <c r="F3807" i="1"/>
  <c r="G3807" i="1"/>
  <c r="F3808" i="1"/>
  <c r="G3808" i="1"/>
  <c r="F3809" i="1"/>
  <c r="G3809" i="1"/>
  <c r="F3810" i="1"/>
  <c r="G3810" i="1"/>
  <c r="F3811" i="1"/>
  <c r="G3811" i="1"/>
  <c r="F3812" i="1"/>
  <c r="G3812" i="1"/>
  <c r="F3813" i="1"/>
  <c r="G3813" i="1"/>
  <c r="F3814" i="1"/>
  <c r="G3814" i="1"/>
  <c r="F3815" i="1"/>
  <c r="G3815" i="1"/>
  <c r="F3816" i="1"/>
  <c r="G3816" i="1"/>
  <c r="F3817" i="1"/>
  <c r="G3817" i="1"/>
  <c r="F3818" i="1"/>
  <c r="G3818" i="1"/>
  <c r="F3819" i="1"/>
  <c r="G3819" i="1"/>
  <c r="F3820" i="1"/>
  <c r="G3820" i="1"/>
  <c r="F3821" i="1"/>
  <c r="G3821" i="1"/>
  <c r="F3822" i="1"/>
  <c r="G3822" i="1"/>
  <c r="F3823" i="1"/>
  <c r="G3823" i="1"/>
  <c r="F3824" i="1"/>
  <c r="G3824" i="1"/>
  <c r="F3825" i="1"/>
  <c r="G3825" i="1"/>
  <c r="F3826" i="1"/>
  <c r="G3826" i="1"/>
  <c r="F3827" i="1"/>
  <c r="G3827" i="1"/>
  <c r="F3828" i="1"/>
  <c r="G3828" i="1"/>
  <c r="F3829" i="1"/>
  <c r="G3829" i="1"/>
  <c r="F3830" i="1"/>
  <c r="G3830" i="1"/>
  <c r="F3831" i="1"/>
  <c r="G3831" i="1"/>
  <c r="F3832" i="1"/>
  <c r="G3832" i="1"/>
  <c r="F3833" i="1"/>
  <c r="G3833" i="1"/>
  <c r="F3834" i="1"/>
  <c r="G3834" i="1"/>
  <c r="F3835" i="1"/>
  <c r="G3835" i="1"/>
  <c r="F3836" i="1"/>
  <c r="G3836" i="1"/>
  <c r="F3837" i="1"/>
  <c r="G3837" i="1"/>
  <c r="F3838" i="1"/>
  <c r="G3838" i="1"/>
  <c r="F3839" i="1"/>
  <c r="G3839" i="1"/>
  <c r="F3840" i="1"/>
  <c r="G3840" i="1"/>
  <c r="F3841" i="1"/>
  <c r="G3841" i="1"/>
  <c r="F3842" i="1"/>
  <c r="G3842" i="1"/>
  <c r="F3843" i="1"/>
  <c r="G3843" i="1"/>
  <c r="F3844" i="1"/>
  <c r="G3844" i="1"/>
  <c r="F3845" i="1"/>
  <c r="G3845" i="1"/>
  <c r="F3846" i="1"/>
  <c r="G3846" i="1"/>
  <c r="F3847" i="1"/>
  <c r="G3847" i="1"/>
  <c r="F3848" i="1"/>
  <c r="G3848" i="1"/>
  <c r="F3849" i="1"/>
  <c r="G3849" i="1"/>
  <c r="F3850" i="1"/>
  <c r="G3850" i="1"/>
  <c r="F3851" i="1"/>
  <c r="G3851" i="1"/>
  <c r="F3852" i="1"/>
  <c r="G3852" i="1"/>
  <c r="F3853" i="1"/>
  <c r="G3853" i="1"/>
  <c r="F3854" i="1"/>
  <c r="G3854" i="1"/>
  <c r="F3855" i="1"/>
  <c r="G3855" i="1"/>
  <c r="F3856" i="1"/>
  <c r="G3856" i="1"/>
  <c r="F3857" i="1"/>
  <c r="G3857" i="1"/>
  <c r="F3858" i="1"/>
  <c r="G3858" i="1"/>
  <c r="F3859" i="1"/>
  <c r="G3859" i="1"/>
  <c r="F3860" i="1"/>
  <c r="G3860" i="1"/>
  <c r="F3861" i="1"/>
  <c r="G3861" i="1"/>
  <c r="F3862" i="1"/>
  <c r="G3862" i="1"/>
  <c r="F3863" i="1"/>
  <c r="G3863" i="1"/>
  <c r="F3864" i="1"/>
  <c r="G3864" i="1"/>
  <c r="F3865" i="1"/>
  <c r="G3865" i="1"/>
  <c r="F3866" i="1"/>
  <c r="G3866" i="1"/>
  <c r="F3867" i="1"/>
  <c r="G3867" i="1"/>
  <c r="F3868" i="1"/>
  <c r="G3868" i="1"/>
  <c r="F3869" i="1"/>
  <c r="G3869" i="1"/>
  <c r="F3870" i="1"/>
  <c r="G3870" i="1"/>
  <c r="F3871" i="1"/>
  <c r="G3871" i="1"/>
  <c r="F3872" i="1"/>
  <c r="G3872" i="1"/>
  <c r="F3873" i="1"/>
  <c r="G3873" i="1"/>
  <c r="F3874" i="1"/>
  <c r="G3874" i="1"/>
  <c r="F3875" i="1"/>
  <c r="G3875" i="1"/>
  <c r="F3876" i="1"/>
  <c r="G3876" i="1"/>
  <c r="F3877" i="1"/>
  <c r="G3877" i="1"/>
  <c r="F3878" i="1"/>
  <c r="G3878" i="1"/>
  <c r="F3879" i="1"/>
  <c r="G3879" i="1"/>
  <c r="F3880" i="1"/>
  <c r="G3880" i="1"/>
  <c r="F3881" i="1"/>
  <c r="G3881" i="1"/>
  <c r="F3882" i="1"/>
  <c r="G3882" i="1"/>
  <c r="F3883" i="1"/>
  <c r="G3883" i="1"/>
  <c r="F3884" i="1"/>
  <c r="G3884" i="1"/>
  <c r="F3885" i="1"/>
  <c r="G3885" i="1"/>
  <c r="F3886" i="1"/>
  <c r="G3886" i="1"/>
  <c r="F3887" i="1"/>
  <c r="G3887" i="1"/>
  <c r="F3888" i="1"/>
  <c r="G3888" i="1"/>
  <c r="F3889" i="1"/>
  <c r="G3889" i="1"/>
  <c r="F3890" i="1"/>
  <c r="G3890" i="1"/>
  <c r="F3891" i="1"/>
  <c r="G3891" i="1"/>
  <c r="F3892" i="1"/>
  <c r="G3892" i="1"/>
  <c r="F3893" i="1"/>
  <c r="G3893" i="1"/>
  <c r="F3894" i="1"/>
  <c r="G3894" i="1"/>
  <c r="F3895" i="1"/>
  <c r="G3895" i="1"/>
  <c r="F3896" i="1"/>
  <c r="G3896" i="1"/>
  <c r="F3897" i="1"/>
  <c r="G3897" i="1"/>
  <c r="F3898" i="1"/>
  <c r="G3898" i="1"/>
  <c r="F3899" i="1"/>
  <c r="G3899" i="1"/>
  <c r="F3900" i="1"/>
  <c r="G3900" i="1"/>
  <c r="F3901" i="1"/>
  <c r="G3901" i="1"/>
  <c r="F3902" i="1"/>
  <c r="G3902" i="1"/>
  <c r="F3903" i="1"/>
  <c r="G3903" i="1"/>
  <c r="F3904" i="1"/>
  <c r="G3904" i="1"/>
  <c r="F3905" i="1"/>
  <c r="G3905" i="1"/>
  <c r="F3906" i="1"/>
  <c r="G3906" i="1"/>
  <c r="F3907" i="1"/>
  <c r="G3907" i="1"/>
  <c r="F3908" i="1"/>
  <c r="G3908" i="1"/>
  <c r="F3909" i="1"/>
  <c r="G3909" i="1"/>
  <c r="F3910" i="1"/>
  <c r="G3910" i="1"/>
  <c r="F3911" i="1"/>
  <c r="G3911" i="1"/>
  <c r="F3912" i="1"/>
  <c r="G3912" i="1"/>
  <c r="F3913" i="1"/>
  <c r="G3913" i="1"/>
  <c r="F3914" i="1"/>
  <c r="G3914" i="1"/>
  <c r="F3915" i="1"/>
  <c r="G3915" i="1"/>
  <c r="F3916" i="1"/>
  <c r="G3916" i="1"/>
  <c r="F3917" i="1"/>
  <c r="G3917" i="1"/>
  <c r="F3918" i="1"/>
  <c r="G3918" i="1"/>
  <c r="F3919" i="1"/>
  <c r="G3919" i="1"/>
  <c r="F3920" i="1"/>
  <c r="G3920" i="1"/>
  <c r="F3921" i="1"/>
  <c r="G3921" i="1"/>
  <c r="F3922" i="1"/>
  <c r="G3922" i="1"/>
  <c r="F3923" i="1"/>
  <c r="G3923" i="1"/>
  <c r="F3924" i="1"/>
  <c r="G3924" i="1"/>
  <c r="F3925" i="1"/>
  <c r="G3925" i="1"/>
  <c r="F3926" i="1"/>
  <c r="G3926" i="1"/>
  <c r="F3927" i="1"/>
  <c r="G3927" i="1"/>
  <c r="F3928" i="1"/>
  <c r="G3928" i="1"/>
  <c r="F3929" i="1"/>
  <c r="G3929" i="1"/>
  <c r="F3930" i="1"/>
  <c r="G3930" i="1"/>
  <c r="F3931" i="1"/>
  <c r="G3931" i="1"/>
  <c r="F3932" i="1"/>
  <c r="G3932" i="1"/>
  <c r="F3933" i="1"/>
  <c r="G3933" i="1"/>
  <c r="F3934" i="1"/>
  <c r="G3934" i="1"/>
  <c r="F3935" i="1"/>
  <c r="G3935" i="1"/>
  <c r="F3936" i="1"/>
  <c r="G3936" i="1"/>
  <c r="F3937" i="1"/>
  <c r="G3937" i="1"/>
  <c r="F3938" i="1"/>
  <c r="G3938" i="1"/>
  <c r="F3939" i="1"/>
  <c r="G3939" i="1"/>
  <c r="F3940" i="1"/>
  <c r="G3940" i="1"/>
  <c r="F3941" i="1"/>
  <c r="G3941" i="1"/>
  <c r="F3942" i="1"/>
  <c r="G3942" i="1"/>
  <c r="F3943" i="1"/>
  <c r="G3943" i="1"/>
  <c r="F3944" i="1"/>
  <c r="G3944" i="1"/>
  <c r="F3945" i="1"/>
  <c r="G3945" i="1"/>
  <c r="F3946" i="1"/>
  <c r="G3946" i="1"/>
  <c r="F3947" i="1"/>
  <c r="G3947" i="1"/>
  <c r="F3948" i="1"/>
  <c r="G3948" i="1"/>
  <c r="F3949" i="1"/>
  <c r="G3949" i="1"/>
  <c r="F3950" i="1"/>
  <c r="G3950" i="1"/>
  <c r="F3951" i="1"/>
  <c r="G3951" i="1"/>
  <c r="F3952" i="1"/>
  <c r="G3952" i="1"/>
  <c r="F3953" i="1"/>
  <c r="G3953" i="1"/>
  <c r="F3954" i="1"/>
  <c r="G3954" i="1"/>
  <c r="F3955" i="1"/>
  <c r="G3955" i="1"/>
  <c r="F3956" i="1"/>
  <c r="G3956" i="1"/>
  <c r="F3957" i="1"/>
  <c r="G3957" i="1"/>
  <c r="F3958" i="1"/>
  <c r="G3958" i="1"/>
  <c r="F3959" i="1"/>
  <c r="G3959" i="1"/>
  <c r="F3960" i="1"/>
  <c r="G3960" i="1"/>
  <c r="F3961" i="1"/>
  <c r="G3961" i="1"/>
  <c r="F3962" i="1"/>
  <c r="G3962" i="1"/>
  <c r="F3963" i="1"/>
  <c r="G3963" i="1"/>
  <c r="F3964" i="1"/>
  <c r="G3964" i="1"/>
  <c r="F3965" i="1"/>
  <c r="G3965" i="1"/>
  <c r="F3966" i="1"/>
  <c r="G3966" i="1"/>
  <c r="F3967" i="1"/>
  <c r="G3967" i="1"/>
  <c r="F3968" i="1"/>
  <c r="G3968" i="1"/>
  <c r="F3969" i="1"/>
  <c r="G3969" i="1"/>
  <c r="F3970" i="1"/>
  <c r="G3970" i="1"/>
  <c r="F3971" i="1"/>
  <c r="G3971" i="1"/>
  <c r="F3972" i="1"/>
  <c r="G3972" i="1"/>
  <c r="F3973" i="1"/>
  <c r="G3973" i="1"/>
  <c r="F3974" i="1"/>
  <c r="G3974" i="1"/>
  <c r="F3975" i="1"/>
  <c r="G3975" i="1"/>
  <c r="F3976" i="1"/>
  <c r="G3976" i="1"/>
  <c r="F3977" i="1"/>
  <c r="G3977" i="1"/>
  <c r="F3978" i="1"/>
  <c r="G3978" i="1"/>
  <c r="F3979" i="1"/>
  <c r="G3979" i="1"/>
  <c r="F3980" i="1"/>
  <c r="G3980" i="1"/>
  <c r="F3981" i="1"/>
  <c r="G3981" i="1"/>
  <c r="F3982" i="1"/>
  <c r="G3982" i="1"/>
  <c r="F3983" i="1"/>
  <c r="G3983" i="1"/>
  <c r="F3984" i="1"/>
  <c r="G3984" i="1"/>
  <c r="F3985" i="1"/>
  <c r="G3985" i="1"/>
  <c r="F3986" i="1"/>
  <c r="G3986" i="1"/>
  <c r="F3987" i="1"/>
  <c r="G3987" i="1"/>
  <c r="F3988" i="1"/>
  <c r="G3988" i="1"/>
  <c r="F3989" i="1"/>
  <c r="G3989" i="1"/>
  <c r="F3990" i="1"/>
  <c r="G3990" i="1"/>
  <c r="F3991" i="1"/>
  <c r="G3991" i="1"/>
  <c r="F3992" i="1"/>
  <c r="G3992" i="1"/>
  <c r="F3993" i="1"/>
  <c r="G3993" i="1"/>
  <c r="F3994" i="1"/>
  <c r="G3994" i="1"/>
  <c r="F3995" i="1"/>
  <c r="G3995" i="1"/>
  <c r="F3996" i="1"/>
  <c r="G3996" i="1"/>
  <c r="F3997" i="1"/>
  <c r="G3997" i="1"/>
  <c r="F3998" i="1"/>
  <c r="G3998" i="1"/>
  <c r="F3999" i="1"/>
  <c r="G3999" i="1"/>
  <c r="F4000" i="1"/>
  <c r="G4000" i="1"/>
  <c r="F4001" i="1"/>
  <c r="G4001" i="1"/>
  <c r="F4002" i="1"/>
  <c r="G4002" i="1"/>
  <c r="F4003" i="1"/>
  <c r="G4003" i="1"/>
  <c r="F4004" i="1"/>
  <c r="G4004" i="1"/>
  <c r="F4005" i="1"/>
  <c r="G4005" i="1"/>
  <c r="F4006" i="1"/>
  <c r="G4006" i="1"/>
  <c r="F4007" i="1"/>
  <c r="G4007" i="1"/>
  <c r="F4008" i="1"/>
  <c r="G4008" i="1"/>
  <c r="F4009" i="1"/>
  <c r="G4009" i="1"/>
  <c r="F4010" i="1"/>
  <c r="G4010" i="1"/>
  <c r="F4011" i="1"/>
  <c r="G4011" i="1"/>
  <c r="F4012" i="1"/>
  <c r="G4012" i="1"/>
  <c r="F4013" i="1"/>
  <c r="G4013" i="1"/>
  <c r="F4014" i="1"/>
  <c r="G4014" i="1"/>
  <c r="F4015" i="1"/>
  <c r="G4015" i="1"/>
  <c r="F4016" i="1"/>
  <c r="G4016" i="1"/>
  <c r="F4017" i="1"/>
  <c r="G4017" i="1"/>
  <c r="F4018" i="1"/>
  <c r="G4018" i="1"/>
  <c r="F4019" i="1"/>
  <c r="G4019" i="1"/>
  <c r="F4020" i="1"/>
  <c r="G4020" i="1"/>
  <c r="F4021" i="1"/>
  <c r="G4021" i="1"/>
  <c r="F4022" i="1"/>
  <c r="G4022" i="1"/>
  <c r="F4023" i="1"/>
  <c r="G4023" i="1"/>
  <c r="F4024" i="1"/>
  <c r="G4024" i="1"/>
  <c r="F4025" i="1"/>
  <c r="G4025" i="1"/>
  <c r="F4026" i="1"/>
  <c r="G4026" i="1"/>
  <c r="F4027" i="1"/>
  <c r="G4027" i="1"/>
  <c r="F4028" i="1"/>
  <c r="G4028" i="1"/>
  <c r="F4029" i="1"/>
  <c r="G4029" i="1"/>
  <c r="F4030" i="1"/>
  <c r="G4030" i="1"/>
  <c r="F4031" i="1"/>
  <c r="G4031" i="1"/>
  <c r="F4032" i="1"/>
  <c r="G4032" i="1"/>
  <c r="F4033" i="1"/>
  <c r="G4033" i="1"/>
  <c r="F4034" i="1"/>
  <c r="G4034" i="1"/>
  <c r="F4035" i="1"/>
  <c r="G4035" i="1"/>
  <c r="F4036" i="1"/>
  <c r="G4036" i="1"/>
  <c r="F4037" i="1"/>
  <c r="G4037" i="1"/>
  <c r="F4038" i="1"/>
  <c r="G4038" i="1"/>
  <c r="F4039" i="1"/>
  <c r="G4039" i="1"/>
  <c r="F4040" i="1"/>
  <c r="G4040" i="1"/>
  <c r="F4041" i="1"/>
  <c r="G4041" i="1"/>
  <c r="F4042" i="1"/>
  <c r="G4042" i="1"/>
  <c r="F4043" i="1"/>
  <c r="G4043" i="1"/>
  <c r="F4044" i="1"/>
  <c r="G4044" i="1"/>
  <c r="F4045" i="1"/>
  <c r="G4045" i="1"/>
  <c r="F4046" i="1"/>
  <c r="G4046" i="1"/>
  <c r="F4047" i="1"/>
  <c r="G4047" i="1"/>
  <c r="F4048" i="1"/>
  <c r="G4048" i="1"/>
  <c r="F4049" i="1"/>
  <c r="G4049" i="1"/>
  <c r="F4050" i="1"/>
  <c r="G4050" i="1"/>
  <c r="F4051" i="1"/>
  <c r="G4051" i="1"/>
  <c r="F4052" i="1"/>
  <c r="G4052" i="1"/>
  <c r="F4053" i="1"/>
  <c r="G4053" i="1"/>
  <c r="F4054" i="1"/>
  <c r="G4054" i="1"/>
  <c r="F4055" i="1"/>
  <c r="G4055" i="1"/>
  <c r="F4056" i="1"/>
  <c r="G4056" i="1"/>
  <c r="F4057" i="1"/>
  <c r="G4057" i="1"/>
  <c r="F4058" i="1"/>
  <c r="G4058" i="1"/>
  <c r="F4059" i="1"/>
  <c r="G4059" i="1"/>
  <c r="F4060" i="1"/>
  <c r="G4060" i="1"/>
  <c r="F4061" i="1"/>
  <c r="G4061" i="1"/>
  <c r="F4062" i="1"/>
  <c r="G4062" i="1"/>
  <c r="F4063" i="1"/>
  <c r="G4063" i="1"/>
  <c r="F4064" i="1"/>
  <c r="G4064" i="1"/>
  <c r="F4065" i="1"/>
  <c r="G4065" i="1"/>
  <c r="F4066" i="1"/>
  <c r="G4066" i="1"/>
  <c r="F4067" i="1"/>
  <c r="G4067" i="1"/>
  <c r="F4068" i="1"/>
  <c r="G4068" i="1"/>
  <c r="F4069" i="1"/>
  <c r="G4069" i="1"/>
  <c r="F4070" i="1"/>
  <c r="G4070" i="1"/>
  <c r="F4071" i="1"/>
  <c r="G4071" i="1"/>
  <c r="F4072" i="1"/>
  <c r="G4072" i="1"/>
  <c r="F4073" i="1"/>
  <c r="G4073" i="1"/>
  <c r="F4074" i="1"/>
  <c r="G4074" i="1"/>
  <c r="F4075" i="1"/>
  <c r="G4075" i="1"/>
  <c r="F4076" i="1"/>
  <c r="G4076" i="1"/>
  <c r="F4077" i="1"/>
  <c r="G4077" i="1"/>
  <c r="F4078" i="1"/>
  <c r="G4078" i="1"/>
  <c r="F4079" i="1"/>
  <c r="G4079" i="1"/>
  <c r="F4080" i="1"/>
  <c r="G4080" i="1"/>
  <c r="F4081" i="1"/>
  <c r="G4081" i="1"/>
  <c r="F4082" i="1"/>
  <c r="G4082" i="1"/>
  <c r="F4083" i="1"/>
  <c r="G4083" i="1"/>
  <c r="F4084" i="1"/>
  <c r="G4084" i="1"/>
  <c r="F4085" i="1"/>
  <c r="G4085" i="1"/>
  <c r="F4086" i="1"/>
  <c r="G4086" i="1"/>
  <c r="F4087" i="1"/>
  <c r="G4087" i="1"/>
  <c r="F4088" i="1"/>
  <c r="G4088" i="1"/>
  <c r="F4089" i="1"/>
  <c r="G4089" i="1"/>
  <c r="F4090" i="1"/>
  <c r="G4090" i="1"/>
  <c r="F4091" i="1"/>
  <c r="G4091" i="1"/>
  <c r="F4092" i="1"/>
  <c r="G4092" i="1"/>
  <c r="F4093" i="1"/>
  <c r="G4093" i="1"/>
  <c r="F4094" i="1"/>
  <c r="G4094" i="1"/>
  <c r="F4095" i="1"/>
  <c r="G4095" i="1"/>
  <c r="F4096" i="1"/>
  <c r="G4096" i="1"/>
  <c r="F4097" i="1"/>
  <c r="G4097" i="1"/>
  <c r="F4098" i="1"/>
  <c r="G4098" i="1"/>
  <c r="F4099" i="1"/>
  <c r="G4099" i="1"/>
  <c r="F4100" i="1"/>
  <c r="G4100" i="1"/>
  <c r="F4101" i="1"/>
  <c r="G4101" i="1"/>
  <c r="F4102" i="1"/>
  <c r="G4102" i="1"/>
  <c r="F4103" i="1"/>
  <c r="G4103" i="1"/>
  <c r="F4104" i="1"/>
  <c r="G4104" i="1"/>
  <c r="F4105" i="1"/>
  <c r="G4105" i="1"/>
  <c r="F4106" i="1"/>
  <c r="G4106" i="1"/>
  <c r="F4107" i="1"/>
  <c r="G4107" i="1"/>
  <c r="F4108" i="1"/>
  <c r="G4108" i="1"/>
  <c r="F4109" i="1"/>
  <c r="G4109" i="1"/>
  <c r="F4110" i="1"/>
  <c r="G4110" i="1"/>
  <c r="F4111" i="1"/>
  <c r="G4111" i="1"/>
  <c r="F4112" i="1"/>
  <c r="G4112" i="1"/>
  <c r="F4113" i="1"/>
  <c r="G4113" i="1"/>
  <c r="F4114" i="1"/>
  <c r="G4114" i="1"/>
  <c r="F4115" i="1"/>
  <c r="G4115" i="1"/>
  <c r="F4116" i="1"/>
  <c r="G4116" i="1"/>
  <c r="F4117" i="1"/>
  <c r="G4117" i="1"/>
  <c r="F4118" i="1"/>
  <c r="G4118" i="1"/>
  <c r="F4119" i="1"/>
  <c r="G4119" i="1"/>
  <c r="F4120" i="1"/>
  <c r="G4120" i="1"/>
  <c r="F4121" i="1"/>
  <c r="G4121" i="1"/>
  <c r="F4122" i="1"/>
  <c r="G4122" i="1"/>
  <c r="F4123" i="1"/>
  <c r="G4123" i="1"/>
  <c r="F4124" i="1"/>
  <c r="G4124" i="1"/>
  <c r="F4125" i="1"/>
  <c r="G4125" i="1"/>
  <c r="F4126" i="1"/>
  <c r="G4126" i="1"/>
  <c r="F4127" i="1"/>
  <c r="G4127" i="1"/>
  <c r="F4128" i="1"/>
  <c r="G4128" i="1"/>
  <c r="F4129" i="1"/>
  <c r="G4129" i="1"/>
  <c r="F4130" i="1"/>
  <c r="G4130" i="1"/>
  <c r="F4131" i="1"/>
  <c r="G4131" i="1"/>
  <c r="F4132" i="1"/>
  <c r="G4132" i="1"/>
  <c r="F4133" i="1"/>
  <c r="G4133" i="1"/>
  <c r="F4134" i="1"/>
  <c r="G4134" i="1"/>
  <c r="F4135" i="1"/>
  <c r="G4135" i="1"/>
  <c r="F4136" i="1"/>
  <c r="G4136" i="1"/>
  <c r="F4137" i="1"/>
  <c r="G4137" i="1"/>
  <c r="F4138" i="1"/>
  <c r="G4138" i="1"/>
  <c r="F4139" i="1"/>
  <c r="G4139" i="1"/>
  <c r="F4140" i="1"/>
  <c r="G4140" i="1"/>
  <c r="F4141" i="1"/>
  <c r="G4141" i="1"/>
  <c r="F4142" i="1"/>
  <c r="G4142" i="1"/>
  <c r="F4143" i="1"/>
  <c r="G4143" i="1"/>
  <c r="F4144" i="1"/>
  <c r="G4144" i="1"/>
  <c r="F4145" i="1"/>
  <c r="G4145" i="1"/>
  <c r="F4146" i="1"/>
  <c r="G4146" i="1"/>
  <c r="F4147" i="1"/>
  <c r="G4147" i="1"/>
  <c r="F4148" i="1"/>
  <c r="G4148" i="1"/>
  <c r="F4149" i="1"/>
  <c r="G4149" i="1"/>
  <c r="F4150" i="1"/>
  <c r="G4150" i="1"/>
  <c r="F4151" i="1"/>
  <c r="G4151" i="1"/>
  <c r="F4152" i="1"/>
  <c r="G4152" i="1"/>
  <c r="F4153" i="1"/>
  <c r="G4153" i="1"/>
  <c r="F4154" i="1"/>
  <c r="G4154" i="1"/>
  <c r="F4155" i="1"/>
  <c r="G4155" i="1"/>
  <c r="F4156" i="1"/>
  <c r="G4156" i="1"/>
  <c r="F4157" i="1"/>
  <c r="G4157" i="1"/>
  <c r="F4158" i="1"/>
  <c r="G4158" i="1"/>
  <c r="F4159" i="1"/>
  <c r="G4159" i="1"/>
  <c r="F4160" i="1"/>
  <c r="G4160" i="1"/>
  <c r="F4161" i="1"/>
  <c r="G4161" i="1"/>
  <c r="F4162" i="1"/>
  <c r="G4162" i="1"/>
  <c r="F4163" i="1"/>
  <c r="G4163" i="1"/>
  <c r="F4164" i="1"/>
  <c r="G4164" i="1"/>
  <c r="F4165" i="1"/>
  <c r="G4165" i="1"/>
  <c r="F4166" i="1"/>
  <c r="G4166" i="1"/>
  <c r="F4167" i="1"/>
  <c r="G4167" i="1"/>
  <c r="F4168" i="1"/>
  <c r="G4168" i="1"/>
  <c r="F4169" i="1"/>
  <c r="G4169" i="1"/>
  <c r="F4170" i="1"/>
  <c r="G4170" i="1"/>
  <c r="F4171" i="1"/>
  <c r="G4171" i="1"/>
  <c r="F4172" i="1"/>
  <c r="G4172" i="1"/>
  <c r="F4173" i="1"/>
  <c r="G4173" i="1"/>
  <c r="F4174" i="1"/>
  <c r="G4174" i="1"/>
  <c r="F4175" i="1"/>
  <c r="G4175" i="1"/>
  <c r="F4176" i="1"/>
  <c r="G4176" i="1"/>
  <c r="F4177" i="1"/>
  <c r="G4177" i="1"/>
  <c r="F4178" i="1"/>
  <c r="G4178" i="1"/>
  <c r="F4179" i="1"/>
  <c r="G4179" i="1"/>
  <c r="F4180" i="1"/>
  <c r="G4180" i="1"/>
  <c r="F4181" i="1"/>
  <c r="G4181" i="1"/>
  <c r="F4182" i="1"/>
  <c r="G4182" i="1"/>
  <c r="F4183" i="1"/>
  <c r="G4183" i="1"/>
  <c r="F4184" i="1"/>
  <c r="G4184" i="1"/>
  <c r="F4185" i="1"/>
  <c r="G4185" i="1"/>
  <c r="F4186" i="1"/>
  <c r="G4186" i="1"/>
  <c r="F4187" i="1"/>
  <c r="G4187" i="1"/>
  <c r="F4188" i="1"/>
  <c r="G4188" i="1"/>
  <c r="F4189" i="1"/>
  <c r="G4189" i="1"/>
  <c r="F4190" i="1"/>
  <c r="G4190" i="1"/>
  <c r="F4191" i="1"/>
  <c r="G4191" i="1"/>
  <c r="F4192" i="1"/>
  <c r="G4192" i="1"/>
  <c r="F4193" i="1"/>
  <c r="G4193" i="1"/>
  <c r="F4194" i="1"/>
  <c r="G4194" i="1"/>
  <c r="F4195" i="1"/>
  <c r="G4195" i="1"/>
  <c r="F4196" i="1"/>
  <c r="G4196" i="1"/>
  <c r="F4197" i="1"/>
  <c r="G4197" i="1"/>
  <c r="F4198" i="1"/>
  <c r="G4198" i="1"/>
  <c r="F4199" i="1"/>
  <c r="G4199" i="1"/>
  <c r="F4200" i="1"/>
  <c r="G4200" i="1"/>
  <c r="F4201" i="1"/>
  <c r="G4201" i="1"/>
  <c r="F4202" i="1"/>
  <c r="G4202" i="1"/>
  <c r="F4203" i="1"/>
  <c r="G4203" i="1"/>
  <c r="F4204" i="1"/>
  <c r="G4204" i="1"/>
  <c r="F4205" i="1"/>
  <c r="G4205" i="1"/>
  <c r="F4206" i="1"/>
  <c r="G4206" i="1"/>
  <c r="F4207" i="1"/>
  <c r="G4207" i="1"/>
  <c r="F4208" i="1"/>
  <c r="G4208" i="1"/>
  <c r="F4209" i="1"/>
  <c r="G4209" i="1"/>
  <c r="F4210" i="1"/>
  <c r="G4210" i="1"/>
  <c r="F4211" i="1"/>
  <c r="G4211" i="1"/>
  <c r="F4212" i="1"/>
  <c r="G4212" i="1"/>
  <c r="F4213" i="1"/>
  <c r="G4213" i="1"/>
  <c r="F4214" i="1"/>
  <c r="G4214" i="1"/>
  <c r="F4215" i="1"/>
  <c r="G4215" i="1"/>
  <c r="F4216" i="1"/>
  <c r="G4216" i="1"/>
  <c r="F4217" i="1"/>
  <c r="G4217" i="1"/>
  <c r="F4218" i="1"/>
  <c r="G4218" i="1"/>
  <c r="F4219" i="1"/>
  <c r="G4219" i="1"/>
  <c r="F4220" i="1"/>
  <c r="G4220" i="1"/>
  <c r="F4221" i="1"/>
  <c r="G4221" i="1"/>
  <c r="F4222" i="1"/>
  <c r="G4222" i="1"/>
  <c r="F4223" i="1"/>
  <c r="G4223" i="1"/>
  <c r="F4224" i="1"/>
  <c r="G4224" i="1"/>
  <c r="F4225" i="1"/>
  <c r="G4225" i="1"/>
  <c r="F4226" i="1"/>
  <c r="G4226" i="1"/>
  <c r="F4227" i="1"/>
  <c r="G4227" i="1"/>
  <c r="F4228" i="1"/>
  <c r="G4228" i="1"/>
  <c r="F4229" i="1"/>
  <c r="G4229" i="1"/>
  <c r="F4230" i="1"/>
  <c r="G4230" i="1"/>
  <c r="F4231" i="1"/>
  <c r="G4231" i="1"/>
  <c r="F4232" i="1"/>
  <c r="G4232" i="1"/>
  <c r="F4233" i="1"/>
  <c r="G4233" i="1"/>
  <c r="F4234" i="1"/>
  <c r="G4234" i="1"/>
  <c r="F4235" i="1"/>
  <c r="G4235" i="1"/>
  <c r="F4236" i="1"/>
  <c r="G4236" i="1"/>
  <c r="F4237" i="1"/>
  <c r="G4237" i="1"/>
  <c r="F4238" i="1"/>
  <c r="G4238" i="1"/>
  <c r="F4239" i="1"/>
  <c r="G4239" i="1"/>
  <c r="F4240" i="1"/>
  <c r="G4240" i="1"/>
  <c r="F4241" i="1"/>
  <c r="G4241" i="1"/>
  <c r="F4242" i="1"/>
  <c r="G4242" i="1"/>
  <c r="F4243" i="1"/>
  <c r="G4243" i="1"/>
  <c r="F4244" i="1"/>
  <c r="G4244" i="1"/>
  <c r="F4245" i="1"/>
  <c r="G4245" i="1"/>
  <c r="F4246" i="1"/>
  <c r="G4246" i="1"/>
  <c r="F4247" i="1"/>
  <c r="G4247" i="1"/>
  <c r="F4248" i="1"/>
  <c r="G4248" i="1"/>
  <c r="F4249" i="1"/>
  <c r="G4249" i="1"/>
  <c r="F4250" i="1"/>
  <c r="G4250" i="1"/>
  <c r="F4251" i="1"/>
  <c r="G4251" i="1"/>
  <c r="F4252" i="1"/>
  <c r="G4252" i="1"/>
  <c r="F4253" i="1"/>
  <c r="G4253" i="1"/>
  <c r="F4254" i="1"/>
  <c r="G4254" i="1"/>
  <c r="F4255" i="1"/>
  <c r="G4255" i="1"/>
  <c r="F4256" i="1"/>
  <c r="G4256" i="1"/>
  <c r="F4257" i="1"/>
  <c r="G4257" i="1"/>
  <c r="F4258" i="1"/>
  <c r="G4258" i="1"/>
  <c r="F4259" i="1"/>
  <c r="G4259" i="1"/>
  <c r="F4260" i="1"/>
  <c r="G4260" i="1"/>
  <c r="F4261" i="1"/>
  <c r="G4261" i="1"/>
  <c r="F4262" i="1"/>
  <c r="G4262" i="1"/>
  <c r="F4263" i="1"/>
  <c r="G4263" i="1"/>
  <c r="F4264" i="1"/>
  <c r="G4264" i="1"/>
  <c r="F4265" i="1"/>
  <c r="G4265" i="1"/>
  <c r="F4266" i="1"/>
  <c r="G4266" i="1"/>
  <c r="F4267" i="1"/>
  <c r="G4267" i="1"/>
  <c r="F4268" i="1"/>
  <c r="G4268" i="1"/>
  <c r="F4269" i="1"/>
  <c r="G4269" i="1"/>
  <c r="F4270" i="1"/>
  <c r="G4270" i="1"/>
  <c r="F4271" i="1"/>
  <c r="G4271" i="1"/>
  <c r="F4272" i="1"/>
  <c r="G4272" i="1"/>
  <c r="F4273" i="1"/>
  <c r="G4273" i="1"/>
  <c r="F4274" i="1"/>
  <c r="G4274" i="1"/>
  <c r="F4275" i="1"/>
  <c r="G4275" i="1"/>
  <c r="F4276" i="1"/>
  <c r="G4276" i="1"/>
  <c r="F4277" i="1"/>
  <c r="G4277" i="1"/>
  <c r="F4278" i="1"/>
  <c r="G4278" i="1"/>
  <c r="F4279" i="1"/>
  <c r="G4279" i="1"/>
  <c r="F4280" i="1"/>
  <c r="G4280" i="1"/>
  <c r="F4281" i="1"/>
  <c r="G4281" i="1"/>
  <c r="F4282" i="1"/>
  <c r="G4282" i="1"/>
  <c r="F4283" i="1"/>
  <c r="G4283" i="1"/>
  <c r="F4284" i="1"/>
  <c r="G4284" i="1"/>
  <c r="F4285" i="1"/>
  <c r="G4285" i="1"/>
  <c r="F4286" i="1"/>
  <c r="G4286" i="1"/>
  <c r="F4287" i="1"/>
  <c r="G4287" i="1"/>
  <c r="F4288" i="1"/>
  <c r="G4288" i="1"/>
  <c r="F4289" i="1"/>
  <c r="G4289" i="1"/>
  <c r="F4290" i="1"/>
  <c r="G4290" i="1"/>
  <c r="F4291" i="1"/>
  <c r="G4291" i="1"/>
  <c r="F4292" i="1"/>
  <c r="G4292" i="1"/>
  <c r="F4293" i="1"/>
  <c r="G4293" i="1"/>
  <c r="F4294" i="1"/>
  <c r="G4294" i="1"/>
  <c r="F4295" i="1"/>
  <c r="G4295" i="1"/>
  <c r="F4296" i="1"/>
  <c r="G4296" i="1"/>
  <c r="F4297" i="1"/>
  <c r="G4297" i="1"/>
  <c r="F4298" i="1"/>
  <c r="G4298" i="1"/>
  <c r="F4299" i="1"/>
  <c r="G4299" i="1"/>
  <c r="F4300" i="1"/>
  <c r="G4300" i="1"/>
  <c r="F4301" i="1"/>
  <c r="G4301" i="1"/>
  <c r="F4302" i="1"/>
  <c r="G4302" i="1"/>
  <c r="F4303" i="1"/>
  <c r="G4303" i="1"/>
  <c r="F4304" i="1"/>
  <c r="G4304" i="1"/>
  <c r="F4305" i="1"/>
  <c r="G4305" i="1"/>
  <c r="F4306" i="1"/>
  <c r="G4306" i="1"/>
  <c r="F4307" i="1"/>
  <c r="G4307" i="1"/>
  <c r="F4308" i="1"/>
  <c r="G4308" i="1"/>
  <c r="F4309" i="1"/>
  <c r="G4309" i="1"/>
  <c r="F4310" i="1"/>
  <c r="G4310" i="1"/>
  <c r="F4311" i="1"/>
  <c r="G4311" i="1"/>
  <c r="F4312" i="1"/>
  <c r="G4312" i="1"/>
  <c r="F4313" i="1"/>
  <c r="G4313" i="1"/>
  <c r="F4314" i="1"/>
  <c r="G4314" i="1"/>
  <c r="F4315" i="1"/>
  <c r="G4315" i="1"/>
  <c r="F4316" i="1"/>
  <c r="G4316" i="1"/>
  <c r="F4317" i="1"/>
  <c r="G4317" i="1"/>
  <c r="F4318" i="1"/>
  <c r="G4318" i="1"/>
  <c r="F4319" i="1"/>
  <c r="G4319" i="1"/>
  <c r="F4320" i="1"/>
  <c r="G4320" i="1"/>
  <c r="F4321" i="1"/>
  <c r="G4321" i="1"/>
  <c r="F4322" i="1"/>
  <c r="G4322" i="1"/>
  <c r="F4323" i="1"/>
  <c r="G4323" i="1"/>
  <c r="F4324" i="1"/>
  <c r="G4324" i="1"/>
  <c r="F4325" i="1"/>
  <c r="G4325" i="1"/>
  <c r="F4326" i="1"/>
  <c r="G4326" i="1"/>
  <c r="F4327" i="1"/>
  <c r="G4327" i="1"/>
  <c r="F4328" i="1"/>
  <c r="G4328" i="1"/>
  <c r="F4329" i="1"/>
  <c r="G4329" i="1"/>
  <c r="F4330" i="1"/>
  <c r="G4330" i="1"/>
  <c r="F4331" i="1"/>
  <c r="G4331" i="1"/>
  <c r="F4332" i="1"/>
  <c r="G4332" i="1"/>
  <c r="F4333" i="1"/>
  <c r="G4333" i="1"/>
  <c r="F4334" i="1"/>
  <c r="G4334" i="1"/>
  <c r="F4335" i="1"/>
  <c r="G4335" i="1"/>
  <c r="F4336" i="1"/>
  <c r="G4336" i="1"/>
  <c r="F4337" i="1"/>
  <c r="G4337" i="1"/>
  <c r="F4338" i="1"/>
  <c r="G4338" i="1"/>
  <c r="F4339" i="1"/>
  <c r="G4339" i="1"/>
  <c r="F4340" i="1"/>
  <c r="G4340" i="1"/>
  <c r="F4341" i="1"/>
  <c r="G4341" i="1"/>
  <c r="F4342" i="1"/>
  <c r="G4342" i="1"/>
  <c r="F4343" i="1"/>
  <c r="G4343" i="1"/>
  <c r="F4344" i="1"/>
  <c r="G4344" i="1"/>
  <c r="F4345" i="1"/>
  <c r="G4345" i="1"/>
  <c r="F4346" i="1"/>
  <c r="G4346" i="1"/>
  <c r="F4347" i="1"/>
  <c r="G4347" i="1"/>
  <c r="F4348" i="1"/>
  <c r="G4348" i="1"/>
  <c r="F4349" i="1"/>
  <c r="G4349" i="1"/>
  <c r="F4350" i="1"/>
  <c r="G4350" i="1"/>
  <c r="F4351" i="1"/>
  <c r="G4351" i="1"/>
  <c r="F4352" i="1"/>
  <c r="G4352" i="1"/>
  <c r="F4353" i="1"/>
  <c r="G4353" i="1"/>
  <c r="F4354" i="1"/>
  <c r="G4354" i="1"/>
  <c r="F4355" i="1"/>
  <c r="G4355" i="1"/>
  <c r="F4356" i="1"/>
  <c r="G4356" i="1"/>
  <c r="F4357" i="1"/>
  <c r="G4357" i="1"/>
  <c r="F4358" i="1"/>
  <c r="G4358" i="1"/>
  <c r="F4359" i="1"/>
  <c r="G4359" i="1"/>
  <c r="F4360" i="1"/>
  <c r="G4360" i="1"/>
  <c r="F4361" i="1"/>
  <c r="G4361" i="1"/>
  <c r="F4362" i="1"/>
  <c r="G4362" i="1"/>
  <c r="F4363" i="1"/>
  <c r="G4363" i="1"/>
  <c r="F4364" i="1"/>
  <c r="G4364" i="1"/>
  <c r="F4365" i="1"/>
  <c r="G4365" i="1"/>
  <c r="F4366" i="1"/>
  <c r="G4366" i="1"/>
  <c r="F4367" i="1"/>
  <c r="G4367" i="1"/>
  <c r="F4368" i="1"/>
  <c r="G4368" i="1"/>
  <c r="F4369" i="1"/>
  <c r="G4369" i="1"/>
  <c r="F4370" i="1"/>
  <c r="G4370" i="1"/>
  <c r="F4371" i="1"/>
  <c r="G4371" i="1"/>
  <c r="F4372" i="1"/>
  <c r="G4372" i="1"/>
  <c r="F4373" i="1"/>
  <c r="G4373" i="1"/>
  <c r="F4374" i="1"/>
  <c r="G4374" i="1"/>
  <c r="F4375" i="1"/>
  <c r="G4375" i="1"/>
  <c r="F4376" i="1"/>
  <c r="G4376" i="1"/>
  <c r="F4377" i="1"/>
  <c r="G4377" i="1"/>
  <c r="F4378" i="1"/>
  <c r="G4378" i="1"/>
  <c r="F4379" i="1"/>
  <c r="G4379" i="1"/>
  <c r="F4380" i="1"/>
  <c r="G4380" i="1"/>
  <c r="F4381" i="1"/>
  <c r="G4381" i="1"/>
  <c r="F4382" i="1"/>
  <c r="G4382" i="1"/>
  <c r="F4383" i="1"/>
  <c r="G4383" i="1"/>
  <c r="F4384" i="1"/>
  <c r="G4384" i="1"/>
  <c r="F4385" i="1"/>
  <c r="G4385" i="1"/>
  <c r="F4386" i="1"/>
  <c r="G4386" i="1"/>
  <c r="F4387" i="1"/>
  <c r="G4387" i="1"/>
  <c r="F4388" i="1"/>
  <c r="G4388" i="1"/>
  <c r="F4389" i="1"/>
  <c r="G4389" i="1"/>
  <c r="F4390" i="1"/>
  <c r="G4390" i="1"/>
  <c r="F4391" i="1"/>
  <c r="G4391" i="1"/>
  <c r="F4392" i="1"/>
  <c r="G4392" i="1"/>
  <c r="F4393" i="1"/>
  <c r="G4393" i="1"/>
  <c r="F4394" i="1"/>
  <c r="G4394" i="1"/>
  <c r="F4395" i="1"/>
  <c r="G4395" i="1"/>
  <c r="F4396" i="1"/>
  <c r="G4396" i="1"/>
  <c r="F4397" i="1"/>
  <c r="G4397" i="1"/>
  <c r="F4398" i="1"/>
  <c r="G4398" i="1"/>
  <c r="F4399" i="1"/>
  <c r="G4399" i="1"/>
  <c r="F4400" i="1"/>
  <c r="G4400" i="1"/>
  <c r="F4401" i="1"/>
  <c r="G4401" i="1"/>
  <c r="F4402" i="1"/>
  <c r="G4402" i="1"/>
  <c r="F4403" i="1"/>
  <c r="G4403" i="1"/>
  <c r="F4404" i="1"/>
  <c r="G4404" i="1"/>
  <c r="F4405" i="1"/>
  <c r="G4405" i="1"/>
  <c r="F4406" i="1"/>
  <c r="G4406" i="1"/>
  <c r="F4407" i="1"/>
  <c r="G4407" i="1"/>
  <c r="F4408" i="1"/>
  <c r="G4408" i="1"/>
  <c r="F4409" i="1"/>
  <c r="G4409" i="1"/>
  <c r="F4410" i="1"/>
  <c r="G4410" i="1"/>
  <c r="F4411" i="1"/>
  <c r="G4411" i="1"/>
  <c r="F4412" i="1"/>
  <c r="G4412" i="1"/>
  <c r="F4413" i="1"/>
  <c r="G4413" i="1"/>
  <c r="F4414" i="1"/>
  <c r="G4414" i="1"/>
  <c r="F4415" i="1"/>
  <c r="G4415" i="1"/>
  <c r="F4416" i="1"/>
  <c r="G4416" i="1"/>
  <c r="F4417" i="1"/>
  <c r="G4417" i="1"/>
  <c r="F4418" i="1"/>
  <c r="G4418" i="1"/>
  <c r="F4419" i="1"/>
  <c r="G4419" i="1"/>
  <c r="F4420" i="1"/>
  <c r="G4420" i="1"/>
  <c r="F4421" i="1"/>
  <c r="G4421" i="1"/>
  <c r="F4422" i="1"/>
  <c r="G4422" i="1"/>
  <c r="F4423" i="1"/>
  <c r="G4423" i="1"/>
  <c r="F4424" i="1"/>
  <c r="G4424" i="1"/>
  <c r="F4425" i="1"/>
  <c r="G4425" i="1"/>
  <c r="F4426" i="1"/>
  <c r="G4426" i="1"/>
  <c r="F4427" i="1"/>
  <c r="G4427" i="1"/>
  <c r="F4428" i="1"/>
  <c r="G4428" i="1"/>
  <c r="F4429" i="1"/>
  <c r="G4429" i="1"/>
  <c r="F4430" i="1"/>
  <c r="G4430" i="1"/>
  <c r="F4431" i="1"/>
  <c r="G4431" i="1"/>
  <c r="F4432" i="1"/>
  <c r="G4432" i="1"/>
  <c r="F4433" i="1"/>
  <c r="G4433" i="1"/>
  <c r="F4434" i="1"/>
  <c r="G4434" i="1"/>
  <c r="F4435" i="1"/>
  <c r="G4435" i="1"/>
  <c r="F4436" i="1"/>
  <c r="G4436" i="1"/>
  <c r="F4437" i="1"/>
  <c r="G4437" i="1"/>
  <c r="F4438" i="1"/>
  <c r="G4438" i="1"/>
  <c r="F4439" i="1"/>
  <c r="G4439" i="1"/>
  <c r="F4440" i="1"/>
  <c r="G4440" i="1"/>
  <c r="F4441" i="1"/>
  <c r="G4441" i="1"/>
  <c r="F4442" i="1"/>
  <c r="G4442" i="1"/>
  <c r="F4443" i="1"/>
  <c r="G4443" i="1"/>
  <c r="F4444" i="1"/>
  <c r="G4444" i="1"/>
  <c r="F4445" i="1"/>
  <c r="G4445" i="1"/>
  <c r="F4446" i="1"/>
  <c r="G4446" i="1"/>
  <c r="F4447" i="1"/>
  <c r="G4447" i="1"/>
  <c r="F4448" i="1"/>
  <c r="G4448" i="1"/>
  <c r="F4449" i="1"/>
  <c r="G4449" i="1"/>
  <c r="F4450" i="1"/>
  <c r="G4450" i="1"/>
  <c r="F4451" i="1"/>
  <c r="G4451" i="1"/>
  <c r="F4452" i="1"/>
  <c r="G4452" i="1"/>
  <c r="F4453" i="1"/>
  <c r="G4453" i="1"/>
  <c r="F4454" i="1"/>
  <c r="G4454" i="1"/>
  <c r="F4455" i="1"/>
  <c r="G4455" i="1"/>
  <c r="F4456" i="1"/>
  <c r="G4456" i="1"/>
  <c r="F4457" i="1"/>
  <c r="G4457" i="1"/>
  <c r="F4458" i="1"/>
  <c r="G4458" i="1"/>
  <c r="F4459" i="1"/>
  <c r="G4459" i="1"/>
  <c r="F4460" i="1"/>
  <c r="G4460" i="1"/>
  <c r="F4461" i="1"/>
  <c r="G4461" i="1"/>
  <c r="F4462" i="1"/>
  <c r="G4462" i="1"/>
  <c r="F4463" i="1"/>
  <c r="G4463" i="1"/>
  <c r="F4464" i="1"/>
  <c r="G4464" i="1"/>
  <c r="F4465" i="1"/>
  <c r="G4465" i="1"/>
  <c r="F4466" i="1"/>
  <c r="G4466" i="1"/>
  <c r="F4467" i="1"/>
  <c r="G4467" i="1"/>
  <c r="F4468" i="1"/>
  <c r="G4468" i="1"/>
  <c r="F4469" i="1"/>
  <c r="G4469" i="1"/>
  <c r="F4470" i="1"/>
  <c r="G4470" i="1"/>
  <c r="F4471" i="1"/>
  <c r="G4471" i="1"/>
  <c r="F4472" i="1"/>
  <c r="G4472" i="1"/>
  <c r="F4473" i="1"/>
  <c r="G4473" i="1"/>
  <c r="F4474" i="1"/>
  <c r="G4474" i="1"/>
  <c r="F4475" i="1"/>
  <c r="G4475" i="1"/>
  <c r="F4476" i="1"/>
  <c r="G4476" i="1"/>
  <c r="F4477" i="1"/>
  <c r="G4477" i="1"/>
  <c r="F4478" i="1"/>
  <c r="G4478" i="1"/>
  <c r="F4479" i="1"/>
  <c r="G4479" i="1"/>
  <c r="F4480" i="1"/>
  <c r="G4480" i="1"/>
  <c r="F4481" i="1"/>
  <c r="G4481" i="1"/>
  <c r="F4482" i="1"/>
  <c r="G4482" i="1"/>
  <c r="F4483" i="1"/>
  <c r="G4483" i="1"/>
  <c r="F4484" i="1"/>
  <c r="G4484" i="1"/>
  <c r="F4485" i="1"/>
  <c r="G4485" i="1"/>
  <c r="F4486" i="1"/>
  <c r="G4486" i="1"/>
  <c r="F4487" i="1"/>
  <c r="G4487" i="1"/>
  <c r="F4488" i="1"/>
  <c r="G4488" i="1"/>
  <c r="F4489" i="1"/>
  <c r="G4489" i="1"/>
  <c r="F4490" i="1"/>
  <c r="G4490" i="1"/>
  <c r="F4491" i="1"/>
  <c r="G4491" i="1"/>
  <c r="F4492" i="1"/>
  <c r="G4492" i="1"/>
  <c r="F4493" i="1"/>
  <c r="G4493" i="1"/>
  <c r="F4494" i="1"/>
  <c r="G4494" i="1"/>
  <c r="F4495" i="1"/>
  <c r="G4495" i="1"/>
  <c r="F4496" i="1"/>
  <c r="G4496" i="1"/>
  <c r="F4497" i="1"/>
  <c r="G4497" i="1"/>
  <c r="F4498" i="1"/>
  <c r="G4498" i="1"/>
  <c r="F4499" i="1"/>
  <c r="G4499" i="1"/>
  <c r="F4500" i="1"/>
  <c r="G4500" i="1"/>
  <c r="F4501" i="1"/>
  <c r="G4501" i="1"/>
  <c r="F4502" i="1"/>
  <c r="G4502" i="1"/>
  <c r="F4503" i="1"/>
  <c r="G4503" i="1"/>
  <c r="F4504" i="1"/>
  <c r="G4504" i="1"/>
  <c r="F4505" i="1"/>
  <c r="G4505" i="1"/>
  <c r="F4506" i="1"/>
  <c r="G4506" i="1"/>
  <c r="F4507" i="1"/>
  <c r="G4507" i="1"/>
  <c r="F4508" i="1"/>
  <c r="G4508" i="1"/>
  <c r="F4509" i="1"/>
  <c r="G4509" i="1"/>
  <c r="F4510" i="1"/>
  <c r="G4510" i="1"/>
  <c r="F4511" i="1"/>
  <c r="G4511" i="1"/>
  <c r="F4512" i="1"/>
  <c r="G4512" i="1"/>
  <c r="F4513" i="1"/>
  <c r="G4513" i="1"/>
  <c r="F4514" i="1"/>
  <c r="G4514" i="1"/>
  <c r="F4515" i="1"/>
  <c r="G4515" i="1"/>
  <c r="F4516" i="1"/>
  <c r="G4516" i="1"/>
  <c r="F4517" i="1"/>
  <c r="G4517" i="1"/>
  <c r="F4518" i="1"/>
  <c r="G4518" i="1"/>
  <c r="F4519" i="1"/>
  <c r="G4519" i="1"/>
  <c r="F4520" i="1"/>
  <c r="G4520" i="1"/>
  <c r="F4521" i="1"/>
  <c r="G4521" i="1"/>
  <c r="F4522" i="1"/>
  <c r="G4522" i="1"/>
  <c r="F4523" i="1"/>
  <c r="G4523" i="1"/>
  <c r="F4524" i="1"/>
  <c r="G4524" i="1"/>
  <c r="F4525" i="1"/>
  <c r="G4525" i="1"/>
  <c r="F4526" i="1"/>
  <c r="G4526" i="1"/>
  <c r="F4527" i="1"/>
  <c r="G4527" i="1"/>
  <c r="F4528" i="1"/>
  <c r="G4528" i="1"/>
  <c r="F4529" i="1"/>
  <c r="G4529" i="1"/>
  <c r="F4530" i="1"/>
  <c r="G4530" i="1"/>
  <c r="F4531" i="1"/>
  <c r="G4531" i="1"/>
  <c r="F4532" i="1"/>
  <c r="G4532" i="1"/>
  <c r="F4533" i="1"/>
  <c r="G4533" i="1"/>
  <c r="F4534" i="1"/>
  <c r="G4534" i="1"/>
  <c r="F4535" i="1"/>
  <c r="G4535" i="1"/>
  <c r="F4536" i="1"/>
  <c r="G4536" i="1"/>
  <c r="F4537" i="1"/>
  <c r="G4537" i="1"/>
  <c r="F4538" i="1"/>
  <c r="G4538" i="1"/>
  <c r="F4539" i="1"/>
  <c r="G4539" i="1"/>
  <c r="F4540" i="1"/>
  <c r="G4540" i="1"/>
  <c r="F4541" i="1"/>
  <c r="G4541" i="1"/>
  <c r="F4542" i="1"/>
  <c r="G4542" i="1"/>
  <c r="F4543" i="1"/>
  <c r="G4543" i="1"/>
  <c r="F4544" i="1"/>
  <c r="G4544" i="1"/>
  <c r="F4545" i="1"/>
  <c r="G4545" i="1"/>
  <c r="F4546" i="1"/>
  <c r="G4546" i="1"/>
  <c r="F4547" i="1"/>
  <c r="G4547" i="1"/>
  <c r="F4548" i="1"/>
  <c r="G4548" i="1"/>
  <c r="F4549" i="1"/>
  <c r="G4549" i="1"/>
  <c r="F4550" i="1"/>
  <c r="G4550" i="1"/>
  <c r="F4551" i="1"/>
  <c r="G4551" i="1"/>
  <c r="F4552" i="1"/>
  <c r="G4552" i="1"/>
  <c r="F4553" i="1"/>
  <c r="G4553" i="1"/>
  <c r="F4554" i="1"/>
  <c r="G4554" i="1"/>
  <c r="F4555" i="1"/>
  <c r="G4555" i="1"/>
  <c r="F4556" i="1"/>
  <c r="G4556" i="1"/>
  <c r="F4557" i="1"/>
  <c r="G4557" i="1"/>
  <c r="F4558" i="1"/>
  <c r="G4558" i="1"/>
  <c r="F4559" i="1"/>
  <c r="G4559" i="1"/>
  <c r="F4560" i="1"/>
  <c r="G4560" i="1"/>
  <c r="F4561" i="1"/>
  <c r="G4561" i="1"/>
  <c r="F4562" i="1"/>
  <c r="G4562" i="1"/>
  <c r="F4563" i="1"/>
  <c r="G4563" i="1"/>
  <c r="F4564" i="1"/>
  <c r="G4564" i="1"/>
  <c r="F4565" i="1"/>
  <c r="G4565" i="1"/>
  <c r="F4566" i="1"/>
  <c r="G4566" i="1"/>
  <c r="F4567" i="1"/>
  <c r="G4567" i="1"/>
  <c r="F4568" i="1"/>
  <c r="G4568" i="1"/>
  <c r="F4569" i="1"/>
  <c r="G4569" i="1"/>
  <c r="F4570" i="1"/>
  <c r="G4570" i="1"/>
  <c r="F4571" i="1"/>
  <c r="G4571" i="1"/>
  <c r="F4572" i="1"/>
  <c r="G4572" i="1"/>
  <c r="F4573" i="1"/>
  <c r="G4573" i="1"/>
  <c r="F4574" i="1"/>
  <c r="G4574" i="1"/>
  <c r="F4575" i="1"/>
  <c r="G4575" i="1"/>
  <c r="F4576" i="1"/>
  <c r="G4576" i="1"/>
  <c r="F4577" i="1"/>
  <c r="G4577" i="1"/>
  <c r="F4578" i="1"/>
  <c r="G4578" i="1"/>
  <c r="F4579" i="1"/>
  <c r="G4579" i="1"/>
  <c r="F4580" i="1"/>
  <c r="G4580" i="1"/>
  <c r="F4581" i="1"/>
  <c r="G4581" i="1"/>
  <c r="F4582" i="1"/>
  <c r="G4582" i="1"/>
  <c r="F4583" i="1"/>
  <c r="G4583" i="1"/>
  <c r="F4584" i="1"/>
  <c r="G4584" i="1"/>
  <c r="F4585" i="1"/>
  <c r="G4585" i="1"/>
  <c r="F4586" i="1"/>
  <c r="G4586" i="1"/>
  <c r="F4587" i="1"/>
  <c r="G4587" i="1"/>
  <c r="F4588" i="1"/>
  <c r="G4588" i="1"/>
  <c r="F4589" i="1"/>
  <c r="G4589" i="1"/>
  <c r="F4590" i="1"/>
  <c r="G4590" i="1"/>
  <c r="F4591" i="1"/>
  <c r="G4591" i="1"/>
  <c r="F4592" i="1"/>
  <c r="G4592" i="1"/>
  <c r="F4593" i="1"/>
  <c r="G4593" i="1"/>
  <c r="F4594" i="1"/>
  <c r="G4594" i="1"/>
  <c r="F4595" i="1"/>
  <c r="G4595" i="1"/>
  <c r="F4596" i="1"/>
  <c r="G4596" i="1"/>
  <c r="F4597" i="1"/>
  <c r="G4597" i="1"/>
  <c r="F4598" i="1"/>
  <c r="G4598" i="1"/>
  <c r="F4599" i="1"/>
  <c r="G4599" i="1"/>
  <c r="F4600" i="1"/>
  <c r="G4600" i="1"/>
  <c r="F4601" i="1"/>
  <c r="G4601" i="1"/>
  <c r="F4602" i="1"/>
  <c r="G4602" i="1"/>
  <c r="F4603" i="1"/>
  <c r="G4603" i="1"/>
  <c r="F4604" i="1"/>
  <c r="G4604" i="1"/>
  <c r="F4605" i="1"/>
  <c r="G4605" i="1"/>
  <c r="F4606" i="1"/>
  <c r="G4606" i="1"/>
  <c r="F4607" i="1"/>
  <c r="G4607" i="1"/>
  <c r="F4608" i="1"/>
  <c r="G4608" i="1"/>
  <c r="F4609" i="1"/>
  <c r="G4609" i="1"/>
  <c r="F4610" i="1"/>
  <c r="G4610" i="1"/>
  <c r="F4611" i="1"/>
  <c r="G4611" i="1"/>
  <c r="F4612" i="1"/>
  <c r="G4612" i="1"/>
  <c r="F4613" i="1"/>
  <c r="G4613" i="1"/>
  <c r="F4614" i="1"/>
  <c r="G4614" i="1"/>
  <c r="F4615" i="1"/>
  <c r="G4615" i="1"/>
  <c r="F4616" i="1"/>
  <c r="G4616" i="1"/>
  <c r="F4617" i="1"/>
  <c r="G4617" i="1"/>
  <c r="F4618" i="1"/>
  <c r="G4618" i="1"/>
  <c r="F4619" i="1"/>
  <c r="G4619" i="1"/>
  <c r="F4620" i="1"/>
  <c r="G4620" i="1"/>
  <c r="F4621" i="1"/>
  <c r="G4621" i="1"/>
  <c r="F4622" i="1"/>
  <c r="G4622" i="1"/>
  <c r="F4623" i="1"/>
  <c r="G4623" i="1"/>
  <c r="F4624" i="1"/>
  <c r="G4624" i="1"/>
  <c r="F4625" i="1"/>
  <c r="G4625" i="1"/>
  <c r="F4626" i="1"/>
  <c r="G4626" i="1"/>
  <c r="F4627" i="1"/>
  <c r="G4627" i="1"/>
  <c r="F4628" i="1"/>
  <c r="G4628" i="1"/>
  <c r="F4629" i="1"/>
  <c r="G4629" i="1"/>
  <c r="F4630" i="1"/>
  <c r="G4630" i="1"/>
  <c r="F4631" i="1"/>
  <c r="G4631" i="1"/>
  <c r="F4632" i="1"/>
  <c r="G4632" i="1"/>
  <c r="F4633" i="1"/>
  <c r="G4633" i="1"/>
  <c r="F4634" i="1"/>
  <c r="G4634" i="1"/>
  <c r="F4635" i="1"/>
  <c r="G4635" i="1"/>
  <c r="F4636" i="1"/>
  <c r="G4636" i="1"/>
  <c r="F4637" i="1"/>
  <c r="G4637" i="1"/>
  <c r="F4638" i="1"/>
  <c r="G4638" i="1"/>
  <c r="F4639" i="1"/>
  <c r="G4639" i="1"/>
  <c r="F4640" i="1"/>
  <c r="G4640" i="1"/>
  <c r="F4641" i="1"/>
  <c r="G4641" i="1"/>
  <c r="F4642" i="1"/>
  <c r="G4642" i="1"/>
  <c r="F4643" i="1"/>
  <c r="G4643" i="1"/>
  <c r="F4644" i="1"/>
  <c r="G4644" i="1"/>
  <c r="F4645" i="1"/>
  <c r="G4645" i="1"/>
  <c r="F4646" i="1"/>
  <c r="G4646" i="1"/>
  <c r="F4647" i="1"/>
  <c r="G4647" i="1"/>
  <c r="F4648" i="1"/>
  <c r="G4648" i="1"/>
  <c r="F4649" i="1"/>
  <c r="G4649" i="1"/>
  <c r="F4650" i="1"/>
  <c r="G4650" i="1"/>
  <c r="F4651" i="1"/>
  <c r="G4651" i="1"/>
  <c r="F4652" i="1"/>
  <c r="G4652" i="1"/>
  <c r="F4653" i="1"/>
  <c r="G4653" i="1"/>
  <c r="F4654" i="1"/>
  <c r="G4654" i="1"/>
  <c r="F4655" i="1"/>
  <c r="G4655" i="1"/>
  <c r="F4656" i="1"/>
  <c r="G4656" i="1"/>
  <c r="F4657" i="1"/>
  <c r="G4657" i="1"/>
  <c r="F4658" i="1"/>
  <c r="G4658" i="1"/>
  <c r="F4659" i="1"/>
  <c r="G4659" i="1"/>
  <c r="F4660" i="1"/>
  <c r="G4660" i="1"/>
  <c r="F4661" i="1"/>
  <c r="G4661" i="1"/>
  <c r="F4662" i="1"/>
  <c r="G4662" i="1"/>
  <c r="F4663" i="1"/>
  <c r="G4663" i="1"/>
  <c r="F4664" i="1"/>
  <c r="G4664" i="1"/>
  <c r="F4665" i="1"/>
  <c r="G4665" i="1"/>
  <c r="F4666" i="1"/>
  <c r="G4666" i="1"/>
  <c r="F4667" i="1"/>
  <c r="G4667" i="1"/>
  <c r="F4668" i="1"/>
  <c r="G4668" i="1"/>
  <c r="F4669" i="1"/>
  <c r="G4669" i="1"/>
  <c r="F4670" i="1"/>
  <c r="G4670" i="1"/>
  <c r="F4671" i="1"/>
  <c r="G4671" i="1"/>
  <c r="F4672" i="1"/>
  <c r="G4672" i="1"/>
  <c r="F4673" i="1"/>
  <c r="G4673" i="1"/>
  <c r="F4674" i="1"/>
  <c r="G4674" i="1"/>
  <c r="F4675" i="1"/>
  <c r="G4675" i="1"/>
  <c r="F4676" i="1"/>
  <c r="G4676" i="1"/>
  <c r="F4677" i="1"/>
  <c r="G4677" i="1"/>
  <c r="F4678" i="1"/>
  <c r="G4678" i="1"/>
  <c r="F4679" i="1"/>
  <c r="G4679" i="1"/>
  <c r="F4680" i="1"/>
  <c r="G4680" i="1"/>
  <c r="F4681" i="1"/>
  <c r="G4681" i="1"/>
  <c r="F4682" i="1"/>
  <c r="G4682" i="1"/>
  <c r="F4683" i="1"/>
  <c r="G4683" i="1"/>
  <c r="F4684" i="1"/>
  <c r="G4684" i="1"/>
  <c r="F4685" i="1"/>
  <c r="G4685" i="1"/>
  <c r="F4686" i="1"/>
  <c r="G4686" i="1"/>
  <c r="F4687" i="1"/>
  <c r="G4687" i="1"/>
  <c r="F4688" i="1"/>
  <c r="G4688" i="1"/>
  <c r="F4689" i="1"/>
  <c r="G4689" i="1"/>
  <c r="F4690" i="1"/>
  <c r="G4690" i="1"/>
  <c r="F4691" i="1"/>
  <c r="G4691" i="1"/>
  <c r="F4692" i="1"/>
  <c r="G4692" i="1"/>
  <c r="F4693" i="1"/>
  <c r="G4693" i="1"/>
  <c r="F4694" i="1"/>
  <c r="G4694" i="1"/>
  <c r="F4695" i="1"/>
  <c r="G4695" i="1"/>
  <c r="F4696" i="1"/>
  <c r="G4696" i="1"/>
  <c r="F4697" i="1"/>
  <c r="G4697" i="1"/>
  <c r="F4698" i="1"/>
  <c r="G4698" i="1"/>
  <c r="F4699" i="1"/>
  <c r="G4699" i="1"/>
  <c r="F4700" i="1"/>
  <c r="G4700" i="1"/>
  <c r="F4701" i="1"/>
  <c r="G4701" i="1"/>
  <c r="F4702" i="1"/>
  <c r="G4702" i="1"/>
  <c r="F4703" i="1"/>
  <c r="G4703" i="1"/>
  <c r="F4704" i="1"/>
  <c r="G4704" i="1"/>
  <c r="F4705" i="1"/>
  <c r="G4705" i="1"/>
  <c r="F4706" i="1"/>
  <c r="G4706" i="1"/>
  <c r="F4707" i="1"/>
  <c r="G4707" i="1"/>
  <c r="F4708" i="1"/>
  <c r="G4708" i="1"/>
  <c r="F4709" i="1"/>
  <c r="G4709" i="1"/>
  <c r="F4710" i="1"/>
  <c r="G4710" i="1"/>
  <c r="F4711" i="1"/>
  <c r="G4711" i="1"/>
  <c r="F4712" i="1"/>
  <c r="G4712" i="1"/>
  <c r="F4713" i="1"/>
  <c r="G4713" i="1"/>
  <c r="F4714" i="1"/>
  <c r="G4714" i="1"/>
  <c r="F4715" i="1"/>
  <c r="G4715" i="1"/>
  <c r="F4716" i="1"/>
  <c r="G4716" i="1"/>
  <c r="F4717" i="1"/>
  <c r="G4717" i="1"/>
  <c r="F4718" i="1"/>
  <c r="G4718" i="1"/>
  <c r="F4719" i="1"/>
  <c r="G4719" i="1"/>
  <c r="F4720" i="1"/>
  <c r="G4720" i="1"/>
  <c r="F4721" i="1"/>
  <c r="G4721" i="1"/>
  <c r="F4722" i="1"/>
  <c r="G4722" i="1"/>
  <c r="F4723" i="1"/>
  <c r="G4723" i="1"/>
  <c r="F4724" i="1"/>
  <c r="G4724" i="1"/>
  <c r="F4725" i="1"/>
  <c r="G4725" i="1"/>
  <c r="F4726" i="1"/>
  <c r="G4726" i="1"/>
  <c r="F4727" i="1"/>
  <c r="G4727" i="1"/>
  <c r="F4728" i="1"/>
  <c r="G4728" i="1"/>
  <c r="F4729" i="1"/>
  <c r="G4729" i="1"/>
  <c r="F4730" i="1"/>
  <c r="G4730" i="1"/>
  <c r="F4731" i="1"/>
  <c r="G4731" i="1"/>
  <c r="F4732" i="1"/>
  <c r="G4732" i="1"/>
  <c r="F4733" i="1"/>
  <c r="G4733" i="1"/>
  <c r="F4734" i="1"/>
  <c r="G4734" i="1"/>
  <c r="F4735" i="1"/>
  <c r="G4735" i="1"/>
  <c r="F4736" i="1"/>
  <c r="G4736" i="1"/>
  <c r="F4737" i="1"/>
  <c r="G4737" i="1"/>
  <c r="F4738" i="1"/>
  <c r="G4738" i="1"/>
  <c r="F4739" i="1"/>
  <c r="G4739" i="1"/>
  <c r="F4740" i="1"/>
  <c r="G4740" i="1"/>
  <c r="F4741" i="1"/>
  <c r="G4741" i="1"/>
  <c r="F4742" i="1"/>
  <c r="G4742" i="1"/>
  <c r="F4743" i="1"/>
  <c r="G4743" i="1"/>
  <c r="F4744" i="1"/>
  <c r="G4744" i="1"/>
  <c r="F4745" i="1"/>
  <c r="G4745" i="1"/>
  <c r="F4746" i="1"/>
  <c r="G4746" i="1"/>
  <c r="F4747" i="1"/>
  <c r="G4747" i="1"/>
  <c r="F4748" i="1"/>
  <c r="G4748" i="1"/>
  <c r="F4749" i="1"/>
  <c r="G4749" i="1"/>
  <c r="F4750" i="1"/>
  <c r="G4750" i="1"/>
  <c r="F4751" i="1"/>
  <c r="G4751" i="1"/>
  <c r="F4752" i="1"/>
  <c r="G4752" i="1"/>
  <c r="F4753" i="1"/>
  <c r="G4753" i="1"/>
  <c r="F4754" i="1"/>
  <c r="G4754" i="1"/>
  <c r="F4755" i="1"/>
  <c r="G4755" i="1"/>
  <c r="F4756" i="1"/>
  <c r="G4756" i="1"/>
  <c r="F4757" i="1"/>
  <c r="G4757" i="1"/>
  <c r="F4758" i="1"/>
  <c r="G4758" i="1"/>
  <c r="F4759" i="1"/>
  <c r="G4759" i="1"/>
  <c r="F4760" i="1"/>
  <c r="G4760" i="1"/>
  <c r="F4761" i="1"/>
  <c r="G4761" i="1"/>
  <c r="F4762" i="1"/>
  <c r="G4762" i="1"/>
  <c r="F4763" i="1"/>
  <c r="G4763" i="1"/>
  <c r="F4764" i="1"/>
  <c r="G4764" i="1"/>
  <c r="F4765" i="1"/>
  <c r="G4765" i="1"/>
  <c r="F4766" i="1"/>
  <c r="G4766" i="1"/>
  <c r="F4767" i="1"/>
  <c r="G4767" i="1"/>
  <c r="F4768" i="1"/>
  <c r="G4768" i="1"/>
  <c r="F4769" i="1"/>
  <c r="G4769" i="1"/>
  <c r="F4770" i="1"/>
  <c r="G4770" i="1"/>
  <c r="F4771" i="1"/>
  <c r="G4771" i="1"/>
  <c r="F4772" i="1"/>
  <c r="G4772" i="1"/>
  <c r="F4773" i="1"/>
  <c r="G4773" i="1"/>
  <c r="F4774" i="1"/>
  <c r="G4774" i="1"/>
  <c r="F4775" i="1"/>
  <c r="G4775" i="1"/>
  <c r="F4776" i="1"/>
  <c r="G4776" i="1"/>
  <c r="F4777" i="1"/>
  <c r="G4777" i="1"/>
  <c r="F4778" i="1"/>
  <c r="G4778" i="1"/>
  <c r="F4779" i="1"/>
  <c r="G4779" i="1"/>
  <c r="F4780" i="1"/>
  <c r="G4780" i="1"/>
  <c r="F4781" i="1"/>
  <c r="G4781" i="1"/>
  <c r="F4782" i="1"/>
  <c r="G4782" i="1"/>
  <c r="F4783" i="1"/>
  <c r="G4783" i="1"/>
  <c r="F4784" i="1"/>
  <c r="G4784" i="1"/>
  <c r="F4785" i="1"/>
  <c r="G4785" i="1"/>
  <c r="F4786" i="1"/>
  <c r="G4786" i="1"/>
  <c r="F4787" i="1"/>
  <c r="G4787" i="1"/>
  <c r="F4788" i="1"/>
  <c r="G4788" i="1"/>
  <c r="F4789" i="1"/>
  <c r="G4789" i="1"/>
  <c r="F4790" i="1"/>
  <c r="G4790" i="1"/>
  <c r="F4791" i="1"/>
  <c r="G4791" i="1"/>
  <c r="F4792" i="1"/>
  <c r="G4792" i="1"/>
  <c r="F4793" i="1"/>
  <c r="G4793" i="1"/>
  <c r="F4794" i="1"/>
  <c r="G4794" i="1"/>
  <c r="F4795" i="1"/>
  <c r="G4795" i="1"/>
  <c r="F4796" i="1"/>
  <c r="G4796" i="1"/>
  <c r="F4797" i="1"/>
  <c r="G4797" i="1"/>
  <c r="F4798" i="1"/>
  <c r="G4798" i="1"/>
  <c r="F4799" i="1"/>
  <c r="G4799" i="1"/>
  <c r="F4800" i="1"/>
  <c r="G4800" i="1"/>
  <c r="F4801" i="1"/>
  <c r="G4801" i="1"/>
  <c r="F4802" i="1"/>
  <c r="G4802" i="1"/>
  <c r="F4803" i="1"/>
  <c r="G4803" i="1"/>
  <c r="F4804" i="1"/>
  <c r="G4804" i="1"/>
  <c r="F4805" i="1"/>
  <c r="G4805" i="1"/>
  <c r="F4806" i="1"/>
  <c r="G4806" i="1"/>
  <c r="F4807" i="1"/>
  <c r="G4807" i="1"/>
  <c r="F4808" i="1"/>
  <c r="G4808" i="1"/>
  <c r="F4809" i="1"/>
  <c r="G4809" i="1"/>
  <c r="F4810" i="1"/>
  <c r="G4810" i="1"/>
  <c r="F4811" i="1"/>
  <c r="G4811" i="1"/>
  <c r="F4812" i="1"/>
  <c r="G4812" i="1"/>
  <c r="F4813" i="1"/>
  <c r="G4813" i="1"/>
  <c r="F4814" i="1"/>
  <c r="G4814" i="1"/>
  <c r="F4815" i="1"/>
  <c r="G4815" i="1"/>
  <c r="F4816" i="1"/>
  <c r="G4816" i="1"/>
  <c r="F4817" i="1"/>
  <c r="G4817" i="1"/>
  <c r="F4818" i="1"/>
  <c r="G4818" i="1"/>
  <c r="F4819" i="1"/>
  <c r="G4819" i="1"/>
  <c r="F4820" i="1"/>
  <c r="G4820" i="1"/>
  <c r="F4821" i="1"/>
  <c r="G4821" i="1"/>
  <c r="F4822" i="1"/>
  <c r="G4822" i="1"/>
  <c r="F4823" i="1"/>
  <c r="G4823" i="1"/>
  <c r="F4824" i="1"/>
  <c r="G4824" i="1"/>
  <c r="F4825" i="1"/>
  <c r="G4825" i="1"/>
  <c r="F4826" i="1"/>
  <c r="G4826" i="1"/>
  <c r="F4827" i="1"/>
  <c r="G4827" i="1"/>
  <c r="F4828" i="1"/>
  <c r="G4828" i="1"/>
  <c r="F4829" i="1"/>
  <c r="G4829" i="1"/>
  <c r="F4830" i="1"/>
  <c r="G4830" i="1"/>
  <c r="F4831" i="1"/>
  <c r="G4831" i="1"/>
  <c r="F4832" i="1"/>
  <c r="G4832" i="1"/>
  <c r="F4833" i="1"/>
  <c r="G4833" i="1"/>
  <c r="F4834" i="1"/>
  <c r="G4834" i="1"/>
  <c r="F4835" i="1"/>
  <c r="G4835" i="1"/>
  <c r="F4836" i="1"/>
  <c r="G4836" i="1"/>
  <c r="F4837" i="1"/>
  <c r="G4837" i="1"/>
  <c r="F4838" i="1"/>
  <c r="G4838" i="1"/>
  <c r="F4839" i="1"/>
  <c r="G4839" i="1"/>
  <c r="F4840" i="1"/>
  <c r="G4840" i="1"/>
  <c r="F4841" i="1"/>
  <c r="G4841" i="1"/>
  <c r="F4842" i="1"/>
  <c r="G4842" i="1"/>
  <c r="F4843" i="1"/>
  <c r="G4843" i="1"/>
  <c r="F4844" i="1"/>
  <c r="G4844" i="1"/>
  <c r="F4845" i="1"/>
  <c r="G4845" i="1"/>
  <c r="F4846" i="1"/>
  <c r="G4846" i="1"/>
  <c r="F4847" i="1"/>
  <c r="G4847" i="1"/>
  <c r="F4848" i="1"/>
  <c r="G4848" i="1"/>
  <c r="F4849" i="1"/>
  <c r="G4849" i="1"/>
  <c r="F4850" i="1"/>
  <c r="G4850" i="1"/>
  <c r="F4851" i="1"/>
  <c r="G4851" i="1"/>
  <c r="F4852" i="1"/>
  <c r="G4852" i="1"/>
  <c r="F4853" i="1"/>
  <c r="G4853" i="1"/>
  <c r="F4854" i="1"/>
  <c r="G4854" i="1"/>
  <c r="F4855" i="1"/>
  <c r="G4855" i="1"/>
  <c r="F4856" i="1"/>
  <c r="G4856" i="1"/>
  <c r="F4857" i="1"/>
  <c r="G4857" i="1"/>
  <c r="F4858" i="1"/>
  <c r="G4858" i="1"/>
  <c r="F4859" i="1"/>
  <c r="G4859" i="1"/>
  <c r="F4860" i="1"/>
  <c r="G4860" i="1"/>
  <c r="F4861" i="1"/>
  <c r="G4861" i="1"/>
  <c r="F4862" i="1"/>
  <c r="G4862" i="1"/>
  <c r="F4863" i="1"/>
  <c r="G4863" i="1"/>
  <c r="F4864" i="1"/>
  <c r="G4864" i="1"/>
  <c r="F4865" i="1"/>
  <c r="G4865" i="1"/>
  <c r="F4866" i="1"/>
  <c r="G4866" i="1"/>
  <c r="F4867" i="1"/>
  <c r="G4867" i="1"/>
  <c r="F4868" i="1"/>
  <c r="G4868" i="1"/>
  <c r="F4869" i="1"/>
  <c r="G4869" i="1"/>
  <c r="F4870" i="1"/>
  <c r="G4870" i="1"/>
  <c r="F4871" i="1"/>
  <c r="G4871" i="1"/>
  <c r="F4872" i="1"/>
  <c r="G4872" i="1"/>
  <c r="F4873" i="1"/>
  <c r="G4873" i="1"/>
  <c r="F4874" i="1"/>
  <c r="G4874" i="1"/>
  <c r="F4875" i="1"/>
  <c r="G4875" i="1"/>
  <c r="F4876" i="1"/>
  <c r="G4876" i="1"/>
  <c r="F4877" i="1"/>
  <c r="G4877" i="1"/>
  <c r="F4878" i="1"/>
  <c r="G4878" i="1"/>
  <c r="F4879" i="1"/>
  <c r="G4879" i="1"/>
  <c r="F4880" i="1"/>
  <c r="G4880" i="1"/>
  <c r="F4881" i="1"/>
  <c r="G4881" i="1"/>
  <c r="F4882" i="1"/>
  <c r="G4882" i="1"/>
  <c r="F4883" i="1"/>
  <c r="G4883" i="1"/>
  <c r="F4884" i="1"/>
  <c r="G4884" i="1"/>
  <c r="F4885" i="1"/>
  <c r="G4885" i="1"/>
  <c r="F4886" i="1"/>
  <c r="G4886" i="1"/>
  <c r="F4887" i="1"/>
  <c r="G4887" i="1"/>
  <c r="F4888" i="1"/>
  <c r="G4888" i="1"/>
  <c r="F4889" i="1"/>
  <c r="G4889" i="1"/>
  <c r="F4890" i="1"/>
  <c r="G4890" i="1"/>
  <c r="F4891" i="1"/>
  <c r="G4891" i="1"/>
  <c r="F4892" i="1"/>
  <c r="G4892" i="1"/>
  <c r="F4893" i="1"/>
  <c r="G4893" i="1"/>
  <c r="F4894" i="1"/>
  <c r="G4894" i="1"/>
  <c r="F4895" i="1"/>
  <c r="G4895" i="1"/>
  <c r="F4896" i="1"/>
  <c r="G4896" i="1"/>
  <c r="F4897" i="1"/>
  <c r="G4897" i="1"/>
  <c r="F4898" i="1"/>
  <c r="G4898" i="1"/>
  <c r="F4899" i="1"/>
  <c r="G4899" i="1"/>
  <c r="F4900" i="1"/>
  <c r="G4900" i="1"/>
  <c r="F4901" i="1"/>
  <c r="G4901" i="1"/>
  <c r="F4902" i="1"/>
  <c r="G4902" i="1"/>
  <c r="F4903" i="1"/>
  <c r="G4903" i="1"/>
  <c r="F4904" i="1"/>
  <c r="G4904" i="1"/>
  <c r="F4905" i="1"/>
  <c r="G4905" i="1"/>
  <c r="F4906" i="1"/>
  <c r="G4906" i="1"/>
  <c r="F4907" i="1"/>
  <c r="G4907" i="1"/>
  <c r="F4908" i="1"/>
  <c r="G4908" i="1"/>
  <c r="F4909" i="1"/>
  <c r="G4909" i="1"/>
  <c r="F4910" i="1"/>
  <c r="G4910" i="1"/>
  <c r="F4911" i="1"/>
  <c r="G4911" i="1"/>
  <c r="F4912" i="1"/>
  <c r="G4912" i="1"/>
  <c r="F4913" i="1"/>
  <c r="G4913" i="1"/>
  <c r="F4914" i="1"/>
  <c r="G4914" i="1"/>
  <c r="F4915" i="1"/>
  <c r="G4915" i="1"/>
  <c r="F4916" i="1"/>
  <c r="G4916" i="1"/>
  <c r="F4917" i="1"/>
  <c r="G4917" i="1"/>
  <c r="F4918" i="1"/>
  <c r="G4918" i="1"/>
  <c r="F4919" i="1"/>
  <c r="G4919" i="1"/>
  <c r="F4920" i="1"/>
  <c r="G4920" i="1"/>
  <c r="F4921" i="1"/>
  <c r="G4921" i="1"/>
  <c r="F4922" i="1"/>
  <c r="G4922" i="1"/>
  <c r="F4923" i="1"/>
  <c r="G4923" i="1"/>
  <c r="F4924" i="1"/>
  <c r="G4924" i="1"/>
  <c r="F4925" i="1"/>
  <c r="G4925" i="1"/>
  <c r="F4926" i="1"/>
  <c r="G4926" i="1"/>
  <c r="F4927" i="1"/>
  <c r="G4927" i="1"/>
  <c r="F4928" i="1"/>
  <c r="G4928" i="1"/>
  <c r="F4929" i="1"/>
  <c r="G4929" i="1"/>
  <c r="F4930" i="1"/>
  <c r="G4930" i="1"/>
  <c r="F4931" i="1"/>
  <c r="G4931" i="1"/>
  <c r="F4932" i="1"/>
  <c r="G4932" i="1"/>
  <c r="F4933" i="1"/>
  <c r="G4933" i="1"/>
  <c r="F4934" i="1"/>
  <c r="G4934" i="1"/>
  <c r="F4935" i="1"/>
  <c r="G4935" i="1"/>
  <c r="F4936" i="1"/>
  <c r="G4936" i="1"/>
  <c r="F4937" i="1"/>
  <c r="G4937" i="1"/>
  <c r="F4938" i="1"/>
  <c r="G4938" i="1"/>
  <c r="F4939" i="1"/>
  <c r="G4939" i="1"/>
  <c r="F4940" i="1"/>
  <c r="G4940" i="1"/>
  <c r="F4941" i="1"/>
  <c r="G4941" i="1"/>
  <c r="F4942" i="1"/>
  <c r="G4942" i="1"/>
  <c r="F4943" i="1"/>
  <c r="G4943" i="1"/>
  <c r="F4944" i="1"/>
  <c r="G4944" i="1"/>
  <c r="F4945" i="1"/>
  <c r="G4945" i="1"/>
  <c r="F4946" i="1"/>
  <c r="G4946" i="1"/>
  <c r="F4947" i="1"/>
  <c r="G4947" i="1"/>
  <c r="F4948" i="1"/>
  <c r="G4948" i="1"/>
  <c r="F4949" i="1"/>
  <c r="G4949" i="1"/>
  <c r="F4950" i="1"/>
  <c r="G4950" i="1"/>
  <c r="F4951" i="1"/>
  <c r="G4951" i="1"/>
  <c r="F4952" i="1"/>
  <c r="G4952" i="1"/>
  <c r="F4953" i="1"/>
  <c r="G4953" i="1"/>
  <c r="F4954" i="1"/>
  <c r="G4954" i="1"/>
  <c r="F4955" i="1"/>
  <c r="G4955" i="1"/>
  <c r="F4956" i="1"/>
  <c r="G4956" i="1"/>
  <c r="F4957" i="1"/>
  <c r="G4957" i="1"/>
  <c r="F4958" i="1"/>
  <c r="G4958" i="1"/>
  <c r="F4959" i="1"/>
  <c r="G4959" i="1"/>
  <c r="F4960" i="1"/>
  <c r="G4960" i="1"/>
  <c r="F4961" i="1"/>
  <c r="G4961" i="1"/>
  <c r="F4962" i="1"/>
  <c r="G4962" i="1"/>
  <c r="F4963" i="1"/>
  <c r="G4963" i="1"/>
  <c r="F4964" i="1"/>
  <c r="G4964" i="1"/>
  <c r="F4965" i="1"/>
  <c r="G4965" i="1"/>
  <c r="F4966" i="1"/>
  <c r="G4966" i="1"/>
  <c r="F4967" i="1"/>
  <c r="G4967" i="1"/>
  <c r="F4968" i="1"/>
  <c r="G4968" i="1"/>
  <c r="F4969" i="1"/>
  <c r="G4969" i="1"/>
  <c r="F4970" i="1"/>
  <c r="G4970" i="1"/>
  <c r="F4971" i="1"/>
  <c r="G4971" i="1"/>
  <c r="F4972" i="1"/>
  <c r="G4972" i="1"/>
  <c r="F4973" i="1"/>
  <c r="G4973" i="1"/>
  <c r="F4974" i="1"/>
  <c r="G4974" i="1"/>
  <c r="F4975" i="1"/>
  <c r="G4975" i="1"/>
  <c r="F4976" i="1"/>
  <c r="G4976" i="1"/>
  <c r="F4977" i="1"/>
  <c r="G4977" i="1"/>
  <c r="F4978" i="1"/>
  <c r="G4978" i="1"/>
  <c r="F4979" i="1"/>
  <c r="G4979" i="1"/>
  <c r="F4980" i="1"/>
  <c r="G4980" i="1"/>
  <c r="F4981" i="1"/>
  <c r="G4981" i="1"/>
  <c r="F4982" i="1"/>
  <c r="G4982" i="1"/>
  <c r="F4983" i="1"/>
  <c r="G4983" i="1"/>
  <c r="F4984" i="1"/>
  <c r="G4984" i="1"/>
  <c r="F4985" i="1"/>
  <c r="G4985" i="1"/>
  <c r="F4986" i="1"/>
  <c r="G4986" i="1"/>
  <c r="F4987" i="1"/>
  <c r="G4987" i="1"/>
  <c r="F4988" i="1"/>
  <c r="G4988" i="1"/>
  <c r="F4989" i="1"/>
  <c r="G4989" i="1"/>
  <c r="F4990" i="1"/>
  <c r="G4990" i="1"/>
  <c r="F4991" i="1"/>
  <c r="G4991" i="1"/>
  <c r="F4992" i="1"/>
  <c r="G4992" i="1"/>
  <c r="F4993" i="1"/>
  <c r="G4993" i="1"/>
  <c r="F4994" i="1"/>
  <c r="G4994" i="1"/>
  <c r="F4995" i="1"/>
  <c r="G4995" i="1"/>
  <c r="F4996" i="1"/>
  <c r="G4996" i="1"/>
  <c r="F4997" i="1"/>
  <c r="G4997" i="1"/>
  <c r="F4998" i="1"/>
  <c r="G4998" i="1"/>
  <c r="F4999" i="1"/>
  <c r="G4999" i="1"/>
  <c r="F5000" i="1"/>
  <c r="G5000" i="1"/>
  <c r="F5001" i="1"/>
  <c r="G5001" i="1"/>
  <c r="F5002" i="1"/>
  <c r="G5002" i="1"/>
  <c r="F5003" i="1"/>
  <c r="G5003" i="1"/>
  <c r="F5004" i="1"/>
  <c r="G5004" i="1"/>
  <c r="F5005" i="1"/>
  <c r="G5005" i="1"/>
  <c r="F5006" i="1"/>
  <c r="G5006" i="1"/>
  <c r="F5007" i="1"/>
  <c r="G5007" i="1"/>
  <c r="F5008" i="1"/>
  <c r="G5008" i="1"/>
  <c r="F5009" i="1"/>
  <c r="G5009" i="1"/>
  <c r="F5010" i="1"/>
  <c r="G5010" i="1"/>
  <c r="F5011" i="1"/>
  <c r="G5011" i="1"/>
  <c r="F5012" i="1"/>
  <c r="G5012" i="1"/>
  <c r="F5013" i="1"/>
  <c r="G5013" i="1"/>
  <c r="F5014" i="1"/>
  <c r="G5014" i="1"/>
  <c r="F5015" i="1"/>
  <c r="G5015" i="1"/>
  <c r="F5016" i="1"/>
  <c r="G5016" i="1"/>
  <c r="F5017" i="1"/>
  <c r="G5017" i="1"/>
  <c r="F5018" i="1"/>
  <c r="G5018" i="1"/>
  <c r="F5019" i="1"/>
  <c r="G5019" i="1"/>
  <c r="F5020" i="1"/>
  <c r="G5020" i="1"/>
  <c r="F5021" i="1"/>
  <c r="G5021" i="1"/>
  <c r="F5022" i="1"/>
  <c r="G5022" i="1"/>
  <c r="F5023" i="1"/>
  <c r="G5023" i="1"/>
  <c r="F5024" i="1"/>
  <c r="G5024" i="1"/>
  <c r="F5025" i="1"/>
  <c r="G5025" i="1"/>
  <c r="F5026" i="1"/>
  <c r="G5026" i="1"/>
  <c r="F5027" i="1"/>
  <c r="G5027" i="1"/>
  <c r="F5028" i="1"/>
  <c r="G5028" i="1"/>
  <c r="F5029" i="1"/>
  <c r="G5029" i="1"/>
  <c r="F5030" i="1"/>
  <c r="G5030" i="1"/>
  <c r="F5031" i="1"/>
  <c r="G5031" i="1"/>
  <c r="F5032" i="1"/>
  <c r="G5032" i="1"/>
  <c r="F5033" i="1"/>
  <c r="G5033" i="1"/>
  <c r="F5034" i="1"/>
  <c r="G5034" i="1"/>
  <c r="F5035" i="1"/>
  <c r="G5035" i="1"/>
  <c r="F5036" i="1"/>
  <c r="G5036" i="1"/>
  <c r="F5037" i="1"/>
  <c r="G5037" i="1"/>
  <c r="F5038" i="1"/>
  <c r="G5038" i="1"/>
  <c r="F5039" i="1"/>
  <c r="G5039" i="1"/>
  <c r="F5040" i="1"/>
  <c r="G5040" i="1"/>
  <c r="F5041" i="1"/>
  <c r="G5041" i="1"/>
  <c r="F5042" i="1"/>
  <c r="G5042" i="1"/>
  <c r="F5043" i="1"/>
  <c r="G5043" i="1"/>
  <c r="F5044" i="1"/>
  <c r="G5044" i="1"/>
  <c r="F5045" i="1"/>
  <c r="G5045" i="1"/>
  <c r="F5046" i="1"/>
  <c r="G5046" i="1"/>
  <c r="F5047" i="1"/>
  <c r="G5047" i="1"/>
  <c r="F5048" i="1"/>
  <c r="G5048" i="1"/>
  <c r="F5049" i="1"/>
  <c r="G5049" i="1"/>
  <c r="F5050" i="1"/>
  <c r="G5050" i="1"/>
  <c r="F5051" i="1"/>
  <c r="G5051" i="1"/>
  <c r="F5052" i="1"/>
  <c r="G5052" i="1"/>
  <c r="F5053" i="1"/>
  <c r="G5053" i="1"/>
  <c r="F5054" i="1"/>
  <c r="G5054" i="1"/>
  <c r="F5055" i="1"/>
  <c r="G5055" i="1"/>
  <c r="F5056" i="1"/>
  <c r="G5056" i="1"/>
  <c r="F5057" i="1"/>
  <c r="G5057" i="1"/>
  <c r="F5058" i="1"/>
  <c r="G5058" i="1"/>
  <c r="F5059" i="1"/>
  <c r="G5059" i="1"/>
  <c r="F5060" i="1"/>
  <c r="G5060" i="1"/>
  <c r="F5061" i="1"/>
  <c r="G5061" i="1"/>
  <c r="F5062" i="1"/>
  <c r="G5062" i="1"/>
  <c r="F5063" i="1"/>
  <c r="G5063" i="1"/>
  <c r="F5064" i="1"/>
  <c r="G5064" i="1"/>
  <c r="F5065" i="1"/>
  <c r="G5065" i="1"/>
  <c r="F5066" i="1"/>
  <c r="G5066" i="1"/>
  <c r="F5067" i="1"/>
  <c r="G5067" i="1"/>
  <c r="F5068" i="1"/>
  <c r="G5068" i="1"/>
  <c r="F5069" i="1"/>
  <c r="G5069" i="1"/>
  <c r="F5070" i="1"/>
  <c r="G5070" i="1"/>
  <c r="F5071" i="1"/>
  <c r="G5071" i="1"/>
  <c r="F5072" i="1"/>
  <c r="G5072" i="1"/>
  <c r="F5073" i="1"/>
  <c r="G5073" i="1"/>
  <c r="F5074" i="1"/>
  <c r="G5074" i="1"/>
  <c r="F5075" i="1"/>
  <c r="G5075" i="1"/>
  <c r="F5076" i="1"/>
  <c r="G5076" i="1"/>
  <c r="F5077" i="1"/>
  <c r="G5077" i="1"/>
  <c r="F5078" i="1"/>
  <c r="G5078" i="1"/>
  <c r="F5079" i="1"/>
  <c r="G5079" i="1"/>
  <c r="F5080" i="1"/>
  <c r="G5080" i="1"/>
  <c r="F5081" i="1"/>
  <c r="G5081" i="1"/>
  <c r="F5082" i="1"/>
  <c r="G5082" i="1"/>
  <c r="F5083" i="1"/>
  <c r="G5083" i="1"/>
  <c r="F5084" i="1"/>
  <c r="G5084" i="1"/>
  <c r="F5085" i="1"/>
  <c r="G5085" i="1"/>
  <c r="F5086" i="1"/>
  <c r="G5086" i="1"/>
  <c r="F5087" i="1"/>
  <c r="G5087" i="1"/>
  <c r="F5088" i="1"/>
  <c r="G5088" i="1"/>
  <c r="F5089" i="1"/>
  <c r="G5089" i="1"/>
  <c r="F5090" i="1"/>
  <c r="G5090" i="1"/>
  <c r="F5091" i="1"/>
  <c r="G5091" i="1"/>
  <c r="F5092" i="1"/>
  <c r="G5092" i="1"/>
  <c r="F5093" i="1"/>
  <c r="G5093" i="1"/>
  <c r="F5094" i="1"/>
  <c r="G5094" i="1"/>
  <c r="F5095" i="1"/>
  <c r="G5095" i="1"/>
  <c r="F5096" i="1"/>
  <c r="G5096" i="1"/>
  <c r="F5097" i="1"/>
  <c r="G5097" i="1"/>
  <c r="F5098" i="1"/>
  <c r="G5098" i="1"/>
  <c r="F5099" i="1"/>
  <c r="G5099" i="1"/>
  <c r="F5100" i="1"/>
  <c r="G5100" i="1"/>
  <c r="F5101" i="1"/>
  <c r="G5101" i="1"/>
  <c r="F5102" i="1"/>
  <c r="G5102" i="1"/>
  <c r="F5103" i="1"/>
  <c r="G5103" i="1"/>
  <c r="F5104" i="1"/>
  <c r="G5104" i="1"/>
  <c r="F5105" i="1"/>
  <c r="G5105" i="1"/>
  <c r="F5106" i="1"/>
  <c r="G5106" i="1"/>
  <c r="F5107" i="1"/>
  <c r="G5107" i="1"/>
  <c r="F5108" i="1"/>
  <c r="G5108" i="1"/>
  <c r="F5109" i="1"/>
  <c r="G5109" i="1"/>
  <c r="F5110" i="1"/>
  <c r="G5110" i="1"/>
  <c r="F5111" i="1"/>
  <c r="G5111" i="1"/>
  <c r="F5112" i="1"/>
  <c r="G5112" i="1"/>
  <c r="F5113" i="1"/>
  <c r="G5113" i="1"/>
  <c r="F5114" i="1"/>
  <c r="G5114" i="1"/>
  <c r="F5115" i="1"/>
  <c r="G5115" i="1"/>
  <c r="F5116" i="1"/>
  <c r="G5116" i="1"/>
  <c r="F5117" i="1"/>
  <c r="G5117" i="1"/>
  <c r="F5118" i="1"/>
  <c r="G5118" i="1"/>
  <c r="F5119" i="1"/>
  <c r="G5119" i="1"/>
  <c r="F5120" i="1"/>
  <c r="G5120" i="1"/>
  <c r="F5121" i="1"/>
  <c r="G5121" i="1"/>
  <c r="F5122" i="1"/>
  <c r="G5122" i="1"/>
  <c r="F5123" i="1"/>
  <c r="G5123" i="1"/>
  <c r="F5124" i="1"/>
  <c r="G5124" i="1"/>
  <c r="F5125" i="1"/>
  <c r="G5125" i="1"/>
  <c r="F5126" i="1"/>
  <c r="G5126" i="1"/>
  <c r="F5127" i="1"/>
  <c r="G5127" i="1"/>
  <c r="F5128" i="1"/>
  <c r="G5128" i="1"/>
  <c r="F5129" i="1"/>
  <c r="G5129" i="1"/>
  <c r="F5130" i="1"/>
  <c r="G5130" i="1"/>
  <c r="F5131" i="1"/>
  <c r="G5131" i="1"/>
  <c r="F5132" i="1"/>
  <c r="G5132" i="1"/>
  <c r="F5133" i="1"/>
  <c r="G5133" i="1"/>
  <c r="F5134" i="1"/>
  <c r="G5134" i="1"/>
  <c r="F5135" i="1"/>
  <c r="G5135" i="1"/>
  <c r="F5136" i="1"/>
  <c r="G5136" i="1"/>
  <c r="F5137" i="1"/>
  <c r="G5137" i="1"/>
  <c r="F5138" i="1"/>
  <c r="G5138" i="1"/>
  <c r="F5139" i="1"/>
  <c r="G5139" i="1"/>
  <c r="F5140" i="1"/>
  <c r="G5140" i="1"/>
  <c r="F5141" i="1"/>
  <c r="G5141" i="1"/>
  <c r="F5142" i="1"/>
  <c r="G5142" i="1"/>
  <c r="F5143" i="1"/>
  <c r="G5143" i="1"/>
  <c r="F5144" i="1"/>
  <c r="G5144" i="1"/>
  <c r="F5145" i="1"/>
  <c r="G5145" i="1"/>
  <c r="F5146" i="1"/>
  <c r="G5146" i="1"/>
  <c r="F5147" i="1"/>
  <c r="G5147" i="1"/>
  <c r="F5148" i="1"/>
  <c r="G5148" i="1"/>
  <c r="F5149" i="1"/>
  <c r="G5149" i="1"/>
  <c r="F5150" i="1"/>
  <c r="G5150" i="1"/>
  <c r="F5151" i="1"/>
  <c r="G5151" i="1"/>
  <c r="F5152" i="1"/>
  <c r="G5152" i="1"/>
  <c r="F5153" i="1"/>
  <c r="G5153" i="1"/>
  <c r="F5154" i="1"/>
  <c r="G5154" i="1"/>
  <c r="F5155" i="1"/>
  <c r="G5155" i="1"/>
  <c r="F5156" i="1"/>
  <c r="G5156" i="1"/>
  <c r="F5157" i="1"/>
  <c r="G5157" i="1"/>
  <c r="F5158" i="1"/>
  <c r="G5158" i="1"/>
  <c r="F5159" i="1"/>
  <c r="G5159" i="1"/>
  <c r="F5160" i="1"/>
  <c r="G5160" i="1"/>
  <c r="F5161" i="1"/>
  <c r="G5161" i="1"/>
  <c r="F5162" i="1"/>
  <c r="G5162" i="1"/>
  <c r="F5163" i="1"/>
  <c r="G5163" i="1"/>
  <c r="F5164" i="1"/>
  <c r="G5164" i="1"/>
  <c r="F5165" i="1"/>
  <c r="G5165" i="1"/>
  <c r="F5166" i="1"/>
  <c r="G5166" i="1"/>
  <c r="F5167" i="1"/>
  <c r="G5167" i="1"/>
  <c r="F5168" i="1"/>
  <c r="G5168" i="1"/>
  <c r="F5169" i="1"/>
  <c r="G5169" i="1"/>
  <c r="F5170" i="1"/>
  <c r="G5170" i="1"/>
  <c r="F5171" i="1"/>
  <c r="G5171" i="1"/>
  <c r="F5172" i="1"/>
  <c r="G5172" i="1"/>
  <c r="F5173" i="1"/>
  <c r="G5173" i="1"/>
  <c r="F5174" i="1"/>
  <c r="G5174" i="1"/>
  <c r="F5175" i="1"/>
  <c r="G5175" i="1"/>
  <c r="F5176" i="1"/>
  <c r="G5176" i="1"/>
  <c r="F5177" i="1"/>
  <c r="G5177" i="1"/>
  <c r="F5178" i="1"/>
  <c r="G5178" i="1"/>
  <c r="F5179" i="1"/>
  <c r="G5179" i="1"/>
  <c r="F5180" i="1"/>
  <c r="G5180" i="1"/>
  <c r="F5181" i="1"/>
  <c r="G5181" i="1"/>
  <c r="F5182" i="1"/>
  <c r="G5182" i="1"/>
  <c r="F5183" i="1"/>
  <c r="G5183" i="1"/>
  <c r="F5184" i="1"/>
  <c r="G5184" i="1"/>
  <c r="F5185" i="1"/>
  <c r="G5185" i="1"/>
  <c r="F5186" i="1"/>
  <c r="G5186" i="1"/>
  <c r="F5187" i="1"/>
  <c r="G5187" i="1"/>
  <c r="F5188" i="1"/>
  <c r="G5188" i="1"/>
  <c r="F5189" i="1"/>
  <c r="G5189" i="1"/>
  <c r="F5190" i="1"/>
  <c r="G5190" i="1"/>
  <c r="F5191" i="1"/>
  <c r="G5191" i="1"/>
  <c r="F5192" i="1"/>
  <c r="G5192" i="1"/>
  <c r="F5193" i="1"/>
  <c r="G5193" i="1"/>
  <c r="F5194" i="1"/>
  <c r="G5194" i="1"/>
  <c r="F5195" i="1"/>
  <c r="G5195" i="1"/>
  <c r="F5196" i="1"/>
  <c r="G5196" i="1"/>
  <c r="F5197" i="1"/>
  <c r="G5197" i="1"/>
  <c r="F5198" i="1"/>
  <c r="G5198" i="1"/>
  <c r="F5199" i="1"/>
  <c r="G5199" i="1"/>
  <c r="F5200" i="1"/>
  <c r="G5200" i="1"/>
  <c r="F5201" i="1"/>
  <c r="G5201" i="1"/>
  <c r="F5202" i="1"/>
  <c r="G5202" i="1"/>
  <c r="F5203" i="1"/>
  <c r="G5203" i="1"/>
  <c r="F5204" i="1"/>
  <c r="G5204" i="1"/>
  <c r="F5205" i="1"/>
  <c r="G5205" i="1"/>
  <c r="F5206" i="1"/>
  <c r="G5206" i="1"/>
  <c r="F5207" i="1"/>
  <c r="G5207" i="1"/>
  <c r="F5208" i="1"/>
  <c r="G5208" i="1"/>
  <c r="F5209" i="1"/>
  <c r="G5209" i="1"/>
  <c r="F5210" i="1"/>
  <c r="G5210" i="1"/>
  <c r="F5211" i="1"/>
  <c r="G5211" i="1"/>
  <c r="F5212" i="1"/>
  <c r="G5212" i="1"/>
  <c r="F5213" i="1"/>
  <c r="G5213" i="1"/>
  <c r="F5214" i="1"/>
  <c r="G5214" i="1"/>
  <c r="F5215" i="1"/>
  <c r="G5215" i="1"/>
  <c r="F5216" i="1"/>
  <c r="G5216" i="1"/>
  <c r="F5217" i="1"/>
  <c r="G5217" i="1"/>
  <c r="F5218" i="1"/>
  <c r="G5218" i="1"/>
  <c r="F5219" i="1"/>
  <c r="G5219" i="1"/>
  <c r="F5220" i="1"/>
  <c r="G5220" i="1"/>
  <c r="F5221" i="1"/>
  <c r="G5221" i="1"/>
  <c r="F5222" i="1"/>
  <c r="G5222" i="1"/>
  <c r="F5223" i="1"/>
  <c r="G5223" i="1"/>
  <c r="F5224" i="1"/>
  <c r="G5224" i="1"/>
  <c r="F5225" i="1"/>
  <c r="G5225" i="1"/>
  <c r="F5226" i="1"/>
  <c r="G5226" i="1"/>
  <c r="F5227" i="1"/>
  <c r="G5227" i="1"/>
  <c r="F5228" i="1"/>
  <c r="G5228" i="1"/>
  <c r="F5229" i="1"/>
  <c r="G5229" i="1"/>
  <c r="F5230" i="1"/>
  <c r="G5230" i="1"/>
  <c r="F5231" i="1"/>
  <c r="G5231" i="1"/>
  <c r="F5232" i="1"/>
  <c r="G5232" i="1"/>
  <c r="F5233" i="1"/>
  <c r="G5233" i="1"/>
  <c r="F5234" i="1"/>
  <c r="G5234" i="1"/>
  <c r="F5235" i="1"/>
  <c r="G5235" i="1"/>
  <c r="F5236" i="1"/>
  <c r="G5236" i="1"/>
  <c r="F5237" i="1"/>
  <c r="G5237" i="1"/>
  <c r="F5238" i="1"/>
  <c r="G5238" i="1"/>
  <c r="F5239" i="1"/>
  <c r="G5239" i="1"/>
  <c r="F5240" i="1"/>
  <c r="G5240" i="1"/>
  <c r="F5241" i="1"/>
  <c r="G5241" i="1"/>
  <c r="F5242" i="1"/>
  <c r="G5242" i="1"/>
  <c r="F5243" i="1"/>
  <c r="G5243" i="1"/>
  <c r="F5244" i="1"/>
  <c r="G5244" i="1"/>
  <c r="F5245" i="1"/>
  <c r="G5245" i="1"/>
  <c r="F5246" i="1"/>
  <c r="G5246" i="1"/>
  <c r="F5247" i="1"/>
  <c r="G5247" i="1"/>
  <c r="F5248" i="1"/>
  <c r="G5248" i="1"/>
  <c r="F5249" i="1"/>
  <c r="G5249" i="1"/>
  <c r="F5250" i="1"/>
  <c r="G5250" i="1"/>
  <c r="F5251" i="1"/>
  <c r="G5251" i="1"/>
  <c r="F5252" i="1"/>
  <c r="G5252" i="1"/>
  <c r="F5253" i="1"/>
  <c r="G5253" i="1"/>
  <c r="F5254" i="1"/>
  <c r="G5254" i="1"/>
  <c r="F5255" i="1"/>
  <c r="G5255" i="1"/>
  <c r="F5256" i="1"/>
  <c r="G5256" i="1"/>
  <c r="F5257" i="1"/>
  <c r="G5257" i="1"/>
  <c r="F5258" i="1"/>
  <c r="G5258" i="1"/>
  <c r="F5259" i="1"/>
  <c r="G5259" i="1"/>
  <c r="F5260" i="1"/>
  <c r="G5260" i="1"/>
  <c r="F5261" i="1"/>
  <c r="G5261" i="1"/>
  <c r="F5262" i="1"/>
  <c r="G5262" i="1"/>
  <c r="F5263" i="1"/>
  <c r="G5263" i="1"/>
  <c r="F5264" i="1"/>
  <c r="G5264" i="1"/>
  <c r="F5265" i="1"/>
  <c r="G5265" i="1"/>
  <c r="F5266" i="1"/>
  <c r="G5266" i="1"/>
  <c r="F5267" i="1"/>
  <c r="G5267" i="1"/>
  <c r="F5268" i="1"/>
  <c r="G5268" i="1"/>
  <c r="F5269" i="1"/>
  <c r="G5269" i="1"/>
  <c r="F5270" i="1"/>
  <c r="G5270" i="1"/>
  <c r="F5271" i="1"/>
  <c r="G5271" i="1"/>
  <c r="F5272" i="1"/>
  <c r="G5272" i="1"/>
  <c r="F5273" i="1"/>
  <c r="G5273" i="1"/>
  <c r="F5274" i="1"/>
  <c r="G5274" i="1"/>
  <c r="F5275" i="1"/>
  <c r="G5275" i="1"/>
  <c r="F5276" i="1"/>
  <c r="G5276" i="1"/>
  <c r="F5277" i="1"/>
  <c r="G5277" i="1"/>
  <c r="F5278" i="1"/>
  <c r="G5278" i="1"/>
  <c r="F5279" i="1"/>
  <c r="G5279" i="1"/>
  <c r="F5280" i="1"/>
  <c r="G5280" i="1"/>
  <c r="F5281" i="1"/>
  <c r="G5281" i="1"/>
  <c r="F5282" i="1"/>
  <c r="G5282" i="1"/>
  <c r="F5283" i="1"/>
  <c r="G5283" i="1"/>
  <c r="F5284" i="1"/>
  <c r="G5284" i="1"/>
  <c r="F5285" i="1"/>
  <c r="G5285" i="1"/>
  <c r="F5286" i="1"/>
  <c r="G5286" i="1"/>
  <c r="F5287" i="1"/>
  <c r="G5287" i="1"/>
  <c r="F5288" i="1"/>
  <c r="G5288" i="1"/>
  <c r="F5289" i="1"/>
  <c r="G5289" i="1"/>
  <c r="F5290" i="1"/>
  <c r="G5290" i="1"/>
  <c r="F5291" i="1"/>
  <c r="G5291" i="1"/>
  <c r="F5292" i="1"/>
  <c r="G5292" i="1"/>
  <c r="F5293" i="1"/>
  <c r="G5293" i="1"/>
  <c r="F5294" i="1"/>
  <c r="G5294" i="1"/>
  <c r="F5295" i="1"/>
  <c r="G5295" i="1"/>
  <c r="F5296" i="1"/>
  <c r="G5296" i="1"/>
  <c r="F5297" i="1"/>
  <c r="G5297" i="1"/>
  <c r="F5298" i="1"/>
  <c r="G5298" i="1"/>
  <c r="F5299" i="1"/>
  <c r="G5299" i="1"/>
  <c r="F5300" i="1"/>
  <c r="G5300" i="1"/>
  <c r="F5301" i="1"/>
  <c r="G5301" i="1"/>
  <c r="F5302" i="1"/>
  <c r="G5302" i="1"/>
  <c r="F5303" i="1"/>
  <c r="G5303" i="1"/>
  <c r="F5304" i="1"/>
  <c r="G5304" i="1"/>
  <c r="F5305" i="1"/>
  <c r="G5305" i="1"/>
  <c r="F5306" i="1"/>
  <c r="G5306" i="1"/>
  <c r="F5307" i="1"/>
  <c r="G5307" i="1"/>
  <c r="F5308" i="1"/>
  <c r="G5308" i="1"/>
  <c r="F5309" i="1"/>
  <c r="G5309" i="1"/>
  <c r="F5310" i="1"/>
  <c r="G5310" i="1"/>
  <c r="F5311" i="1"/>
  <c r="G5311" i="1"/>
  <c r="F5312" i="1"/>
  <c r="G5312" i="1"/>
  <c r="F5313" i="1"/>
  <c r="G5313" i="1"/>
  <c r="F5314" i="1"/>
  <c r="G5314" i="1"/>
  <c r="F5315" i="1"/>
  <c r="G5315" i="1"/>
  <c r="F5316" i="1"/>
  <c r="G5316" i="1"/>
  <c r="F5317" i="1"/>
  <c r="G5317" i="1"/>
  <c r="F5318" i="1"/>
  <c r="G5318" i="1"/>
  <c r="F5319" i="1"/>
  <c r="G5319" i="1"/>
  <c r="F5320" i="1"/>
  <c r="G5320" i="1"/>
  <c r="F5321" i="1"/>
  <c r="G5321" i="1"/>
  <c r="F5322" i="1"/>
  <c r="G5322" i="1"/>
  <c r="F5323" i="1"/>
  <c r="G5323" i="1"/>
  <c r="F5324" i="1"/>
  <c r="G5324" i="1"/>
  <c r="F5325" i="1"/>
  <c r="G5325" i="1"/>
  <c r="F5326" i="1"/>
  <c r="G5326" i="1"/>
  <c r="F5327" i="1"/>
  <c r="G5327" i="1"/>
  <c r="F5328" i="1"/>
  <c r="G5328" i="1"/>
  <c r="F5329" i="1"/>
  <c r="G5329" i="1"/>
  <c r="F5330" i="1"/>
  <c r="G5330" i="1"/>
  <c r="F5331" i="1"/>
  <c r="G5331" i="1"/>
  <c r="F5332" i="1"/>
  <c r="G5332" i="1"/>
  <c r="F5333" i="1"/>
  <c r="G5333" i="1"/>
  <c r="F5334" i="1"/>
  <c r="G5334" i="1"/>
  <c r="F5335" i="1"/>
  <c r="G5335" i="1"/>
  <c r="F5336" i="1"/>
  <c r="G5336" i="1"/>
  <c r="F5337" i="1"/>
  <c r="G5337" i="1"/>
  <c r="F5338" i="1"/>
  <c r="G5338" i="1"/>
  <c r="F5339" i="1"/>
  <c r="G5339" i="1"/>
  <c r="F5340" i="1"/>
  <c r="G5340" i="1"/>
  <c r="F5341" i="1"/>
  <c r="G5341" i="1"/>
  <c r="F5342" i="1"/>
  <c r="G5342" i="1"/>
  <c r="F5343" i="1"/>
  <c r="G5343" i="1"/>
  <c r="F5344" i="1"/>
  <c r="G5344" i="1"/>
  <c r="F5345" i="1"/>
  <c r="G5345" i="1"/>
  <c r="F5346" i="1"/>
  <c r="G5346" i="1"/>
  <c r="F5347" i="1"/>
  <c r="G5347" i="1"/>
  <c r="F5348" i="1"/>
  <c r="G5348" i="1"/>
  <c r="F5349" i="1"/>
  <c r="G5349" i="1"/>
  <c r="F5350" i="1"/>
  <c r="G5350" i="1"/>
  <c r="F5351" i="1"/>
  <c r="G5351" i="1"/>
  <c r="F5352" i="1"/>
  <c r="G5352" i="1"/>
  <c r="F5353" i="1"/>
  <c r="G5353" i="1"/>
  <c r="F5354" i="1"/>
  <c r="G5354" i="1"/>
  <c r="F5355" i="1"/>
  <c r="G5355" i="1"/>
  <c r="F5356" i="1"/>
  <c r="G5356" i="1"/>
  <c r="F5357" i="1"/>
  <c r="G5357" i="1"/>
  <c r="F5358" i="1"/>
  <c r="G5358" i="1"/>
  <c r="F5359" i="1"/>
  <c r="G5359" i="1"/>
  <c r="F5360" i="1"/>
  <c r="G5360" i="1"/>
  <c r="F5361" i="1"/>
  <c r="G5361" i="1"/>
  <c r="F5362" i="1"/>
  <c r="G5362" i="1"/>
  <c r="F5363" i="1"/>
  <c r="G5363" i="1"/>
  <c r="F5364" i="1"/>
  <c r="G5364" i="1"/>
  <c r="F5365" i="1"/>
  <c r="G5365" i="1"/>
  <c r="F5366" i="1"/>
  <c r="G5366" i="1"/>
  <c r="F5367" i="1"/>
  <c r="G5367" i="1"/>
  <c r="F5368" i="1"/>
  <c r="G5368" i="1"/>
  <c r="F5369" i="1"/>
  <c r="G5369" i="1"/>
  <c r="F5370" i="1"/>
  <c r="G5370" i="1"/>
  <c r="F5371" i="1"/>
  <c r="G5371" i="1"/>
  <c r="F5372" i="1"/>
  <c r="G5372" i="1"/>
  <c r="F5373" i="1"/>
  <c r="G5373" i="1"/>
  <c r="F5374" i="1"/>
  <c r="G5374" i="1"/>
  <c r="F5375" i="1"/>
  <c r="G5375" i="1"/>
  <c r="F5376" i="1"/>
  <c r="G5376" i="1"/>
  <c r="F5377" i="1"/>
  <c r="G5377" i="1"/>
  <c r="F5378" i="1"/>
  <c r="G5378" i="1"/>
  <c r="F5379" i="1"/>
  <c r="G5379" i="1"/>
  <c r="F5380" i="1"/>
  <c r="G5380" i="1"/>
  <c r="F5381" i="1"/>
  <c r="G5381" i="1"/>
  <c r="F5382" i="1"/>
  <c r="G5382" i="1"/>
  <c r="F5383" i="1"/>
  <c r="G5383" i="1"/>
  <c r="F5384" i="1"/>
  <c r="G5384" i="1"/>
  <c r="F5385" i="1"/>
  <c r="G5385" i="1"/>
  <c r="F5386" i="1"/>
  <c r="G5386" i="1"/>
  <c r="F5387" i="1"/>
  <c r="G5387" i="1"/>
  <c r="F5388" i="1"/>
  <c r="G5388" i="1"/>
  <c r="F5389" i="1"/>
  <c r="G5389" i="1"/>
  <c r="F5390" i="1"/>
  <c r="G5390" i="1"/>
  <c r="F5391" i="1"/>
  <c r="G5391" i="1"/>
  <c r="F5392" i="1"/>
  <c r="G5392" i="1"/>
  <c r="F5393" i="1"/>
  <c r="G5393" i="1"/>
  <c r="F5394" i="1"/>
  <c r="G5394" i="1"/>
  <c r="F5395" i="1"/>
  <c r="G5395" i="1"/>
  <c r="F5396" i="1"/>
  <c r="G5396" i="1"/>
  <c r="F5397" i="1"/>
  <c r="G5397" i="1"/>
  <c r="F5398" i="1"/>
  <c r="G5398" i="1"/>
  <c r="F5399" i="1"/>
  <c r="G5399" i="1"/>
  <c r="F5400" i="1"/>
  <c r="G5400" i="1"/>
  <c r="F5401" i="1"/>
  <c r="G5401" i="1"/>
  <c r="F5402" i="1"/>
  <c r="G5402" i="1"/>
  <c r="F5403" i="1"/>
  <c r="G5403" i="1"/>
  <c r="F5404" i="1"/>
  <c r="G5404" i="1"/>
  <c r="F5405" i="1"/>
  <c r="G5405" i="1"/>
  <c r="F5406" i="1"/>
  <c r="G5406" i="1"/>
  <c r="F5407" i="1"/>
  <c r="G5407" i="1"/>
  <c r="F5408" i="1"/>
  <c r="G5408" i="1"/>
  <c r="F5409" i="1"/>
  <c r="G5409" i="1"/>
  <c r="F5410" i="1"/>
  <c r="G5410" i="1"/>
  <c r="F5411" i="1"/>
  <c r="G5411" i="1"/>
  <c r="F5412" i="1"/>
  <c r="G5412" i="1"/>
  <c r="F5413" i="1"/>
  <c r="G5413" i="1"/>
  <c r="F5414" i="1"/>
  <c r="G5414" i="1"/>
  <c r="F5415" i="1"/>
  <c r="G5415" i="1"/>
  <c r="F5416" i="1"/>
  <c r="G5416" i="1"/>
  <c r="F5417" i="1"/>
  <c r="G5417" i="1"/>
  <c r="F5418" i="1"/>
  <c r="G5418" i="1"/>
  <c r="F5419" i="1"/>
  <c r="G5419" i="1"/>
  <c r="F5420" i="1"/>
  <c r="G5420" i="1"/>
  <c r="F5421" i="1"/>
  <c r="G5421" i="1"/>
  <c r="F5422" i="1"/>
  <c r="G5422" i="1"/>
  <c r="F5423" i="1"/>
  <c r="G5423" i="1"/>
  <c r="F5424" i="1"/>
  <c r="G5424" i="1"/>
  <c r="F5425" i="1"/>
  <c r="G5425" i="1"/>
  <c r="F5426" i="1"/>
  <c r="G5426" i="1"/>
  <c r="F5427" i="1"/>
  <c r="G5427" i="1"/>
  <c r="F5428" i="1"/>
  <c r="G5428" i="1"/>
  <c r="F5429" i="1"/>
  <c r="G5429" i="1"/>
  <c r="F5430" i="1"/>
  <c r="G5430" i="1"/>
  <c r="F5431" i="1"/>
  <c r="G5431" i="1"/>
  <c r="F5432" i="1"/>
  <c r="G5432" i="1"/>
  <c r="F5433" i="1"/>
  <c r="G5433" i="1"/>
  <c r="F5434" i="1"/>
  <c r="G5434" i="1"/>
  <c r="F5435" i="1"/>
  <c r="G5435" i="1"/>
  <c r="F5436" i="1"/>
  <c r="G5436" i="1"/>
  <c r="F5437" i="1"/>
  <c r="G5437" i="1"/>
  <c r="F5438" i="1"/>
  <c r="G5438" i="1"/>
  <c r="F5439" i="1"/>
  <c r="G5439" i="1"/>
  <c r="F5440" i="1"/>
  <c r="G5440" i="1"/>
  <c r="F5441" i="1"/>
  <c r="G5441" i="1"/>
  <c r="F5442" i="1"/>
  <c r="G5442" i="1"/>
  <c r="F5443" i="1"/>
  <c r="G5443" i="1"/>
  <c r="F5444" i="1"/>
  <c r="G5444" i="1"/>
  <c r="F5445" i="1"/>
  <c r="G5445" i="1"/>
  <c r="F5446" i="1"/>
  <c r="G5446" i="1"/>
  <c r="F5447" i="1"/>
  <c r="G5447" i="1"/>
  <c r="F5448" i="1"/>
  <c r="G5448" i="1"/>
  <c r="F5449" i="1"/>
  <c r="G5449" i="1"/>
  <c r="F5450" i="1"/>
  <c r="G5450" i="1"/>
  <c r="F5451" i="1"/>
  <c r="G5451" i="1"/>
  <c r="F5452" i="1"/>
  <c r="G5452" i="1"/>
  <c r="F5453" i="1"/>
  <c r="G5453" i="1"/>
  <c r="F5454" i="1"/>
  <c r="G5454" i="1"/>
  <c r="F5455" i="1"/>
  <c r="G5455" i="1"/>
  <c r="F5456" i="1"/>
  <c r="G5456" i="1"/>
  <c r="F5457" i="1"/>
  <c r="G5457" i="1"/>
  <c r="F5458" i="1"/>
  <c r="G5458" i="1"/>
  <c r="F5459" i="1"/>
  <c r="G5459" i="1"/>
  <c r="F5460" i="1"/>
  <c r="G5460" i="1"/>
  <c r="F5461" i="1"/>
  <c r="G5461" i="1"/>
  <c r="F5462" i="1"/>
  <c r="G5462" i="1"/>
  <c r="F5463" i="1"/>
  <c r="G5463" i="1"/>
  <c r="F5464" i="1"/>
  <c r="G5464" i="1"/>
  <c r="F5465" i="1"/>
  <c r="G5465" i="1"/>
  <c r="F5466" i="1"/>
  <c r="G5466" i="1"/>
  <c r="F5467" i="1"/>
  <c r="G5467" i="1"/>
  <c r="F5468" i="1"/>
  <c r="G5468" i="1"/>
  <c r="F5469" i="1"/>
  <c r="G5469" i="1"/>
  <c r="F5470" i="1"/>
  <c r="G5470" i="1"/>
  <c r="F5471" i="1"/>
  <c r="G5471" i="1"/>
  <c r="F5472" i="1"/>
  <c r="G5472" i="1"/>
  <c r="F5473" i="1"/>
  <c r="G5473" i="1"/>
  <c r="F5474" i="1"/>
  <c r="G5474" i="1"/>
  <c r="F5475" i="1"/>
  <c r="G5475" i="1"/>
  <c r="F5476" i="1"/>
  <c r="G5476" i="1"/>
  <c r="F5477" i="1"/>
  <c r="G5477" i="1"/>
  <c r="F5478" i="1"/>
  <c r="G5478" i="1"/>
  <c r="F5479" i="1"/>
  <c r="G5479" i="1"/>
  <c r="F5480" i="1"/>
  <c r="G5480" i="1"/>
  <c r="F5481" i="1"/>
  <c r="G5481" i="1"/>
  <c r="F5482" i="1"/>
  <c r="G5482" i="1"/>
  <c r="F5483" i="1"/>
  <c r="G5483" i="1"/>
  <c r="F5484" i="1"/>
  <c r="G5484" i="1"/>
  <c r="F5485" i="1"/>
  <c r="G5485" i="1"/>
  <c r="F5486" i="1"/>
  <c r="G5486" i="1"/>
  <c r="F5487" i="1"/>
  <c r="G5487" i="1"/>
  <c r="F5488" i="1"/>
  <c r="G5488" i="1"/>
  <c r="F5489" i="1"/>
  <c r="G5489" i="1"/>
  <c r="F5490" i="1"/>
  <c r="G5490" i="1"/>
  <c r="F5491" i="1"/>
  <c r="G5491" i="1"/>
  <c r="F5492" i="1"/>
  <c r="G5492" i="1"/>
  <c r="F5493" i="1"/>
  <c r="G5493" i="1"/>
  <c r="F5494" i="1"/>
  <c r="G5494" i="1"/>
  <c r="F5495" i="1"/>
  <c r="G5495" i="1"/>
  <c r="F5496" i="1"/>
  <c r="G5496" i="1"/>
  <c r="F5497" i="1"/>
  <c r="G5497" i="1"/>
  <c r="F5498" i="1"/>
  <c r="G5498" i="1"/>
  <c r="F5499" i="1"/>
  <c r="G5499" i="1"/>
  <c r="F5500" i="1"/>
  <c r="G5500" i="1"/>
  <c r="F5501" i="1"/>
  <c r="G5501" i="1"/>
  <c r="F5502" i="1"/>
  <c r="G5502" i="1"/>
  <c r="F5503" i="1"/>
  <c r="G5503" i="1"/>
  <c r="F5504" i="1"/>
  <c r="G5504" i="1"/>
  <c r="F5505" i="1"/>
  <c r="G5505" i="1"/>
  <c r="F5506" i="1"/>
  <c r="G5506" i="1"/>
  <c r="F5507" i="1"/>
  <c r="G5507" i="1"/>
  <c r="F5508" i="1"/>
  <c r="G5508" i="1"/>
  <c r="F5509" i="1"/>
  <c r="G5509" i="1"/>
  <c r="F5510" i="1"/>
  <c r="G5510" i="1"/>
  <c r="F5511" i="1"/>
  <c r="G5511" i="1"/>
  <c r="F5512" i="1"/>
  <c r="G5512" i="1"/>
  <c r="F5513" i="1"/>
  <c r="G5513" i="1"/>
  <c r="F5514" i="1"/>
  <c r="G5514" i="1"/>
  <c r="F5515" i="1"/>
  <c r="G5515" i="1"/>
  <c r="F5516" i="1"/>
  <c r="G5516" i="1"/>
  <c r="F5517" i="1"/>
  <c r="G5517" i="1"/>
  <c r="F5518" i="1"/>
  <c r="G5518" i="1"/>
  <c r="F5519" i="1"/>
  <c r="G5519" i="1"/>
  <c r="F5520" i="1"/>
  <c r="G5520" i="1"/>
  <c r="F5521" i="1"/>
  <c r="G5521" i="1"/>
  <c r="F5522" i="1"/>
  <c r="G5522" i="1"/>
  <c r="F5523" i="1"/>
  <c r="G5523" i="1"/>
  <c r="F5524" i="1"/>
  <c r="G5524" i="1"/>
  <c r="F5525" i="1"/>
  <c r="G5525" i="1"/>
  <c r="F5526" i="1"/>
  <c r="G5526" i="1"/>
  <c r="F5527" i="1"/>
  <c r="G5527" i="1"/>
  <c r="F5528" i="1"/>
  <c r="G5528" i="1"/>
  <c r="F5529" i="1"/>
  <c r="G5529" i="1"/>
  <c r="F5530" i="1"/>
  <c r="G5530" i="1"/>
  <c r="F5531" i="1"/>
  <c r="G5531" i="1"/>
  <c r="F5532" i="1"/>
  <c r="G5532" i="1"/>
  <c r="F5533" i="1"/>
  <c r="G5533" i="1"/>
  <c r="F5534" i="1"/>
  <c r="G5534" i="1"/>
  <c r="F5535" i="1"/>
  <c r="G5535" i="1"/>
  <c r="F5536" i="1"/>
  <c r="G5536" i="1"/>
  <c r="F5537" i="1"/>
  <c r="G5537" i="1"/>
  <c r="F5538" i="1"/>
  <c r="G5538" i="1"/>
  <c r="F5539" i="1"/>
  <c r="G5539" i="1"/>
  <c r="F5540" i="1"/>
  <c r="G5540" i="1"/>
  <c r="F5541" i="1"/>
  <c r="G5541" i="1"/>
  <c r="F5542" i="1"/>
  <c r="G5542" i="1"/>
  <c r="F5543" i="1"/>
  <c r="G5543" i="1"/>
  <c r="F5544" i="1"/>
  <c r="G5544" i="1"/>
  <c r="F5545" i="1"/>
  <c r="G5545" i="1"/>
  <c r="F5546" i="1"/>
  <c r="G5546" i="1"/>
  <c r="F5547" i="1"/>
  <c r="G5547" i="1"/>
  <c r="F5548" i="1"/>
  <c r="G5548" i="1"/>
  <c r="F5549" i="1"/>
  <c r="G5549" i="1"/>
  <c r="F5550" i="1"/>
  <c r="G5550" i="1"/>
  <c r="F5551" i="1"/>
  <c r="G5551" i="1"/>
  <c r="F5552" i="1"/>
  <c r="G5552" i="1"/>
  <c r="F5553" i="1"/>
  <c r="G5553" i="1"/>
  <c r="F5554" i="1"/>
  <c r="G5554" i="1"/>
  <c r="F5555" i="1"/>
  <c r="G5555" i="1"/>
  <c r="F5556" i="1"/>
  <c r="G5556" i="1"/>
  <c r="F5557" i="1"/>
  <c r="G5557" i="1"/>
  <c r="F5558" i="1"/>
  <c r="G5558" i="1"/>
  <c r="F5559" i="1"/>
  <c r="G5559" i="1"/>
  <c r="F5560" i="1"/>
  <c r="G5560" i="1"/>
  <c r="F5561" i="1"/>
  <c r="G5561" i="1"/>
  <c r="F5562" i="1"/>
  <c r="G5562" i="1"/>
  <c r="F5563" i="1"/>
  <c r="G5563" i="1"/>
  <c r="F5564" i="1"/>
  <c r="G5564" i="1"/>
  <c r="F5565" i="1"/>
  <c r="G5565" i="1"/>
  <c r="F5566" i="1"/>
  <c r="G5566" i="1"/>
  <c r="F5567" i="1"/>
  <c r="G5567" i="1"/>
  <c r="F5568" i="1"/>
  <c r="G5568" i="1"/>
  <c r="F5569" i="1"/>
  <c r="G5569" i="1"/>
  <c r="F5570" i="1"/>
  <c r="G5570" i="1"/>
  <c r="F5571" i="1"/>
  <c r="G5571" i="1"/>
  <c r="F5572" i="1"/>
  <c r="G5572" i="1"/>
  <c r="F5573" i="1"/>
  <c r="G5573" i="1"/>
  <c r="F5574" i="1"/>
  <c r="G5574" i="1"/>
  <c r="F5575" i="1"/>
  <c r="G5575" i="1"/>
  <c r="F5576" i="1"/>
  <c r="G5576" i="1"/>
  <c r="F5577" i="1"/>
  <c r="G5577" i="1"/>
  <c r="F5578" i="1"/>
  <c r="G5578" i="1"/>
  <c r="F5579" i="1"/>
  <c r="G5579" i="1"/>
  <c r="F5580" i="1"/>
  <c r="G5580" i="1"/>
  <c r="F5581" i="1"/>
  <c r="G5581" i="1"/>
  <c r="F5582" i="1"/>
  <c r="G5582" i="1"/>
  <c r="F5583" i="1"/>
  <c r="G5583" i="1"/>
  <c r="F5584" i="1"/>
  <c r="G5584" i="1"/>
  <c r="F5585" i="1"/>
  <c r="G5585" i="1"/>
  <c r="F5586" i="1"/>
  <c r="G5586" i="1"/>
  <c r="F5587" i="1"/>
  <c r="G5587" i="1"/>
  <c r="F5588" i="1"/>
  <c r="G5588" i="1"/>
  <c r="F5589" i="1"/>
  <c r="G5589" i="1"/>
  <c r="F5590" i="1"/>
  <c r="G5590" i="1"/>
  <c r="F5591" i="1"/>
  <c r="G5591" i="1"/>
  <c r="F5592" i="1"/>
  <c r="G5592" i="1"/>
  <c r="F5593" i="1"/>
  <c r="G5593" i="1"/>
  <c r="F5594" i="1"/>
  <c r="G5594" i="1"/>
  <c r="F5595" i="1"/>
  <c r="G5595" i="1"/>
  <c r="F5596" i="1"/>
  <c r="G5596" i="1"/>
  <c r="F5597" i="1"/>
  <c r="G5597" i="1"/>
  <c r="F5598" i="1"/>
  <c r="G5598" i="1"/>
  <c r="F5599" i="1"/>
  <c r="G5599" i="1"/>
  <c r="F5600" i="1"/>
  <c r="G5600" i="1"/>
  <c r="F5601" i="1"/>
  <c r="G5601" i="1"/>
  <c r="F5602" i="1"/>
  <c r="G5602" i="1"/>
  <c r="F5603" i="1"/>
  <c r="G5603" i="1"/>
  <c r="F5604" i="1"/>
  <c r="G5604" i="1"/>
  <c r="F5605" i="1"/>
  <c r="G5605" i="1"/>
  <c r="F5606" i="1"/>
  <c r="G5606" i="1"/>
  <c r="F5607" i="1"/>
  <c r="G5607" i="1"/>
  <c r="F5608" i="1"/>
  <c r="G5608" i="1"/>
  <c r="F5609" i="1"/>
  <c r="G5609" i="1"/>
  <c r="F5610" i="1"/>
  <c r="G5610" i="1"/>
  <c r="F5611" i="1"/>
  <c r="G5611" i="1"/>
  <c r="F5612" i="1"/>
  <c r="G5612" i="1"/>
  <c r="F5613" i="1"/>
  <c r="G5613" i="1"/>
  <c r="F5614" i="1"/>
  <c r="G5614" i="1"/>
  <c r="F5615" i="1"/>
  <c r="G5615" i="1"/>
  <c r="F5616" i="1"/>
  <c r="G5616" i="1"/>
  <c r="F5617" i="1"/>
  <c r="G5617" i="1"/>
  <c r="F5618" i="1"/>
  <c r="G5618" i="1"/>
  <c r="F5619" i="1"/>
  <c r="G5619" i="1"/>
  <c r="F5620" i="1"/>
  <c r="G5620" i="1"/>
  <c r="F5621" i="1"/>
  <c r="G5621" i="1"/>
  <c r="F5622" i="1"/>
  <c r="G5622" i="1"/>
  <c r="F5623" i="1"/>
  <c r="G5623" i="1"/>
  <c r="F5624" i="1"/>
  <c r="G5624" i="1"/>
  <c r="F5625" i="1"/>
  <c r="G5625" i="1"/>
  <c r="F5626" i="1"/>
  <c r="G5626" i="1"/>
  <c r="F5627" i="1"/>
  <c r="G5627" i="1"/>
  <c r="F5628" i="1"/>
  <c r="G5628" i="1"/>
  <c r="F5629" i="1"/>
  <c r="G5629" i="1"/>
  <c r="F5630" i="1"/>
  <c r="G5630" i="1"/>
  <c r="F5631" i="1"/>
  <c r="G5631" i="1"/>
  <c r="F5632" i="1"/>
  <c r="G5632" i="1"/>
  <c r="F5633" i="1"/>
  <c r="G5633" i="1"/>
  <c r="F5634" i="1"/>
  <c r="G5634" i="1"/>
  <c r="F5635" i="1"/>
  <c r="G5635" i="1"/>
  <c r="F5636" i="1"/>
  <c r="G5636" i="1"/>
  <c r="F5637" i="1"/>
  <c r="G5637" i="1"/>
  <c r="F5638" i="1"/>
  <c r="G5638" i="1"/>
  <c r="F5639" i="1"/>
  <c r="G5639" i="1"/>
  <c r="F5640" i="1"/>
  <c r="G5640" i="1"/>
  <c r="F5641" i="1"/>
  <c r="G5641" i="1"/>
  <c r="F5642" i="1"/>
  <c r="G5642" i="1"/>
  <c r="F5643" i="1"/>
  <c r="G5643" i="1"/>
  <c r="F5644" i="1"/>
  <c r="G5644" i="1"/>
  <c r="F5645" i="1"/>
  <c r="G5645" i="1"/>
  <c r="F5646" i="1"/>
  <c r="G5646" i="1"/>
  <c r="F5647" i="1"/>
  <c r="G5647" i="1"/>
  <c r="F5648" i="1"/>
  <c r="G5648" i="1"/>
  <c r="F5649" i="1"/>
  <c r="G5649" i="1"/>
  <c r="F5650" i="1"/>
  <c r="G5650" i="1"/>
  <c r="F5651" i="1"/>
  <c r="G5651" i="1"/>
  <c r="F5652" i="1"/>
  <c r="G5652" i="1"/>
  <c r="F5653" i="1"/>
  <c r="G5653" i="1"/>
  <c r="F5654" i="1"/>
  <c r="G5654" i="1"/>
  <c r="F5655" i="1"/>
  <c r="G5655" i="1"/>
  <c r="F5656" i="1"/>
  <c r="G5656" i="1"/>
  <c r="F5657" i="1"/>
  <c r="G5657" i="1"/>
  <c r="F5658" i="1"/>
  <c r="G5658" i="1"/>
  <c r="F5659" i="1"/>
  <c r="G5659" i="1"/>
  <c r="F5660" i="1"/>
  <c r="G5660" i="1"/>
  <c r="F5661" i="1"/>
  <c r="G5661" i="1"/>
  <c r="F5662" i="1"/>
  <c r="G5662" i="1"/>
  <c r="F5663" i="1"/>
  <c r="G5663" i="1"/>
  <c r="F5664" i="1"/>
  <c r="G5664" i="1"/>
  <c r="F5665" i="1"/>
  <c r="G5665" i="1"/>
  <c r="F5666" i="1"/>
  <c r="G5666" i="1"/>
  <c r="F5667" i="1"/>
  <c r="G5667" i="1"/>
  <c r="F5668" i="1"/>
  <c r="G5668" i="1"/>
  <c r="F5669" i="1"/>
  <c r="G5669" i="1"/>
  <c r="F5670" i="1"/>
  <c r="G5670" i="1"/>
  <c r="F5671" i="1"/>
  <c r="G5671" i="1"/>
  <c r="F5672" i="1"/>
  <c r="G5672" i="1"/>
  <c r="F5673" i="1"/>
  <c r="G5673" i="1"/>
  <c r="F5674" i="1"/>
  <c r="G5674" i="1"/>
  <c r="F5675" i="1"/>
  <c r="G5675" i="1"/>
  <c r="F5676" i="1"/>
  <c r="G5676" i="1"/>
  <c r="F5677" i="1"/>
  <c r="G5677" i="1"/>
  <c r="F5678" i="1"/>
  <c r="G5678" i="1"/>
  <c r="F5679" i="1"/>
  <c r="G5679" i="1"/>
  <c r="F5680" i="1"/>
  <c r="G5680" i="1"/>
  <c r="F5681" i="1"/>
  <c r="G5681" i="1"/>
  <c r="F5682" i="1"/>
  <c r="G5682" i="1"/>
  <c r="F5683" i="1"/>
  <c r="G5683" i="1"/>
  <c r="F5684" i="1"/>
  <c r="G5684" i="1"/>
  <c r="F5685" i="1"/>
  <c r="G5685" i="1"/>
  <c r="F5686" i="1"/>
  <c r="G5686" i="1"/>
  <c r="F5687" i="1"/>
  <c r="G5687" i="1"/>
  <c r="F5688" i="1"/>
  <c r="G5688" i="1"/>
  <c r="F5689" i="1"/>
  <c r="G5689" i="1"/>
  <c r="F5690" i="1"/>
  <c r="G5690" i="1"/>
  <c r="F5691" i="1"/>
  <c r="G5691" i="1"/>
  <c r="F5692" i="1"/>
  <c r="G5692" i="1"/>
  <c r="F5693" i="1"/>
  <c r="G5693" i="1"/>
  <c r="F5694" i="1"/>
  <c r="G5694" i="1"/>
  <c r="F5695" i="1"/>
  <c r="G5695" i="1"/>
  <c r="F5696" i="1"/>
  <c r="G5696" i="1"/>
  <c r="F5697" i="1"/>
  <c r="G5697" i="1"/>
  <c r="F5698" i="1"/>
  <c r="G5698" i="1"/>
  <c r="F5699" i="1"/>
  <c r="G5699" i="1"/>
  <c r="F5700" i="1"/>
  <c r="G5700" i="1"/>
  <c r="F5701" i="1"/>
  <c r="G5701" i="1"/>
  <c r="F5702" i="1"/>
  <c r="G5702" i="1"/>
  <c r="F5703" i="1"/>
  <c r="G5703" i="1"/>
  <c r="F5704" i="1"/>
  <c r="G5704" i="1"/>
  <c r="F5705" i="1"/>
  <c r="G5705" i="1"/>
  <c r="F5706" i="1"/>
  <c r="G5706" i="1"/>
  <c r="F5707" i="1"/>
  <c r="G5707" i="1"/>
  <c r="F5708" i="1"/>
  <c r="G5708" i="1"/>
  <c r="F5709" i="1"/>
  <c r="G5709" i="1"/>
  <c r="F5710" i="1"/>
  <c r="G5710" i="1"/>
  <c r="F5711" i="1"/>
  <c r="G5711" i="1"/>
  <c r="F5712" i="1"/>
  <c r="G5712" i="1"/>
  <c r="F5713" i="1"/>
  <c r="G5713" i="1"/>
  <c r="F5714" i="1"/>
  <c r="G5714" i="1"/>
  <c r="F5715" i="1"/>
  <c r="G5715" i="1"/>
  <c r="F5716" i="1"/>
  <c r="G5716" i="1"/>
  <c r="F5717" i="1"/>
  <c r="G5717" i="1"/>
  <c r="F5718" i="1"/>
  <c r="G5718" i="1"/>
  <c r="F5719" i="1"/>
  <c r="G5719" i="1"/>
  <c r="F5720" i="1"/>
  <c r="G5720" i="1"/>
  <c r="F5721" i="1"/>
  <c r="G5721" i="1"/>
  <c r="F5722" i="1"/>
  <c r="G5722" i="1"/>
  <c r="F5723" i="1"/>
  <c r="G5723" i="1"/>
  <c r="F5724" i="1"/>
  <c r="G5724" i="1"/>
  <c r="F5725" i="1"/>
  <c r="G5725" i="1"/>
  <c r="F5726" i="1"/>
  <c r="G5726" i="1"/>
  <c r="F5727" i="1"/>
  <c r="G5727" i="1"/>
  <c r="F5728" i="1"/>
  <c r="G5728" i="1"/>
  <c r="F5729" i="1"/>
  <c r="G5729" i="1"/>
  <c r="F5730" i="1"/>
  <c r="G5730" i="1"/>
  <c r="F5731" i="1"/>
  <c r="G5731" i="1"/>
  <c r="F5732" i="1"/>
  <c r="G5732" i="1"/>
  <c r="F5733" i="1"/>
  <c r="G5733" i="1"/>
  <c r="F5734" i="1"/>
  <c r="G5734" i="1"/>
  <c r="F5735" i="1"/>
  <c r="G5735" i="1"/>
  <c r="F5736" i="1"/>
  <c r="G5736" i="1"/>
  <c r="F5737" i="1"/>
  <c r="G5737" i="1"/>
  <c r="F5738" i="1"/>
  <c r="G5738" i="1"/>
  <c r="F5739" i="1"/>
  <c r="G5739" i="1"/>
  <c r="F5740" i="1"/>
  <c r="G5740" i="1"/>
  <c r="F5741" i="1"/>
  <c r="G5741" i="1"/>
  <c r="F5742" i="1"/>
  <c r="G5742" i="1"/>
  <c r="F5743" i="1"/>
  <c r="G5743" i="1"/>
  <c r="F5744" i="1"/>
  <c r="G5744" i="1"/>
  <c r="F5745" i="1"/>
  <c r="G5745" i="1"/>
  <c r="F5746" i="1"/>
  <c r="G5746" i="1"/>
  <c r="F5747" i="1"/>
  <c r="G5747" i="1"/>
  <c r="F5748" i="1"/>
  <c r="G5748" i="1"/>
  <c r="F5749" i="1"/>
  <c r="G5749" i="1"/>
  <c r="F5750" i="1"/>
  <c r="G5750" i="1"/>
  <c r="F5751" i="1"/>
  <c r="G5751" i="1"/>
  <c r="F5752" i="1"/>
  <c r="G5752" i="1"/>
  <c r="F5753" i="1"/>
  <c r="G5753" i="1"/>
  <c r="F5754" i="1"/>
  <c r="G5754" i="1"/>
  <c r="F5755" i="1"/>
  <c r="G5755" i="1"/>
  <c r="F5756" i="1"/>
  <c r="G5756" i="1"/>
  <c r="F5757" i="1"/>
  <c r="G5757" i="1"/>
  <c r="F5758" i="1"/>
  <c r="G5758" i="1"/>
  <c r="F5759" i="1"/>
  <c r="G5759" i="1"/>
  <c r="F5760" i="1"/>
  <c r="G5760" i="1"/>
  <c r="F5761" i="1"/>
  <c r="G5761" i="1"/>
  <c r="F5762" i="1"/>
  <c r="G5762" i="1"/>
  <c r="F5763" i="1"/>
  <c r="G5763" i="1"/>
  <c r="F5764" i="1"/>
  <c r="G5764" i="1"/>
  <c r="F5765" i="1"/>
  <c r="G5765" i="1"/>
  <c r="F5766" i="1"/>
  <c r="G5766" i="1"/>
  <c r="F5767" i="1"/>
  <c r="G5767" i="1"/>
  <c r="F5768" i="1"/>
  <c r="G5768" i="1"/>
  <c r="F5769" i="1"/>
  <c r="G5769" i="1"/>
  <c r="F5770" i="1"/>
  <c r="G5770" i="1"/>
  <c r="F5771" i="1"/>
  <c r="G5771" i="1"/>
  <c r="F5772" i="1"/>
  <c r="G5772" i="1"/>
  <c r="F5773" i="1"/>
  <c r="G5773" i="1"/>
  <c r="F5774" i="1"/>
  <c r="G5774" i="1"/>
  <c r="F5775" i="1"/>
  <c r="G5775" i="1"/>
  <c r="F5776" i="1"/>
  <c r="G5776" i="1"/>
  <c r="F5777" i="1"/>
  <c r="G5777" i="1"/>
  <c r="F5778" i="1"/>
  <c r="G5778" i="1"/>
  <c r="F5779" i="1"/>
  <c r="G5779" i="1"/>
  <c r="F5780" i="1"/>
  <c r="G5780" i="1"/>
  <c r="F5781" i="1"/>
  <c r="G5781" i="1"/>
  <c r="F5782" i="1"/>
  <c r="G5782" i="1"/>
  <c r="F5783" i="1"/>
  <c r="G5783" i="1"/>
  <c r="F5784" i="1"/>
  <c r="G5784" i="1"/>
  <c r="F5785" i="1"/>
  <c r="G5785" i="1"/>
  <c r="F5786" i="1"/>
  <c r="G5786" i="1"/>
  <c r="F5787" i="1"/>
  <c r="G5787" i="1"/>
  <c r="F5788" i="1"/>
  <c r="G5788" i="1"/>
  <c r="F5789" i="1"/>
  <c r="G5789" i="1"/>
  <c r="F5790" i="1"/>
  <c r="G5790" i="1"/>
  <c r="F5791" i="1"/>
  <c r="G5791" i="1"/>
  <c r="F5792" i="1"/>
  <c r="G5792" i="1"/>
  <c r="F5793" i="1"/>
  <c r="G5793" i="1"/>
  <c r="F5794" i="1"/>
  <c r="G5794" i="1"/>
  <c r="F5795" i="1"/>
  <c r="G5795" i="1"/>
  <c r="F5796" i="1"/>
  <c r="G5796" i="1"/>
  <c r="F5797" i="1"/>
  <c r="G5797" i="1"/>
  <c r="F5798" i="1"/>
  <c r="G5798" i="1"/>
  <c r="F5799" i="1"/>
  <c r="G5799" i="1"/>
  <c r="F5800" i="1"/>
  <c r="G5800" i="1"/>
  <c r="F5801" i="1"/>
  <c r="G5801" i="1"/>
  <c r="F5802" i="1"/>
  <c r="G5802" i="1"/>
  <c r="F5803" i="1"/>
  <c r="G5803" i="1"/>
  <c r="F5804" i="1"/>
  <c r="G5804" i="1"/>
  <c r="F5805" i="1"/>
  <c r="G5805" i="1"/>
  <c r="F5806" i="1"/>
  <c r="G5806" i="1"/>
  <c r="F5807" i="1"/>
  <c r="G5807" i="1"/>
  <c r="F5808" i="1"/>
  <c r="G5808" i="1"/>
  <c r="F5809" i="1"/>
  <c r="G5809" i="1"/>
  <c r="F5810" i="1"/>
  <c r="G5810" i="1"/>
  <c r="F5811" i="1"/>
  <c r="G5811" i="1"/>
  <c r="F5812" i="1"/>
  <c r="G5812" i="1"/>
  <c r="F5813" i="1"/>
  <c r="G5813" i="1"/>
  <c r="F5814" i="1"/>
  <c r="G5814" i="1"/>
  <c r="F5815" i="1"/>
  <c r="G5815" i="1"/>
  <c r="F5816" i="1"/>
  <c r="G5816" i="1"/>
  <c r="F5817" i="1"/>
  <c r="G5817" i="1"/>
  <c r="F5818" i="1"/>
  <c r="G5818" i="1"/>
  <c r="F5819" i="1"/>
  <c r="G5819" i="1"/>
  <c r="F5820" i="1"/>
  <c r="G5820" i="1"/>
  <c r="F5821" i="1"/>
  <c r="G5821" i="1"/>
  <c r="F5822" i="1"/>
  <c r="G5822" i="1"/>
  <c r="F5823" i="1"/>
  <c r="G5823" i="1"/>
  <c r="F5824" i="1"/>
  <c r="G5824" i="1"/>
  <c r="F5825" i="1"/>
  <c r="G5825" i="1"/>
  <c r="F5826" i="1"/>
  <c r="G5826" i="1"/>
  <c r="F5827" i="1"/>
  <c r="G5827" i="1"/>
  <c r="F5828" i="1"/>
  <c r="G5828" i="1"/>
  <c r="F5829" i="1"/>
  <c r="G5829" i="1"/>
  <c r="F5830" i="1"/>
  <c r="G5830" i="1"/>
  <c r="F5831" i="1"/>
  <c r="G5831" i="1"/>
  <c r="F5832" i="1"/>
  <c r="G5832" i="1"/>
  <c r="F5833" i="1"/>
  <c r="G5833" i="1"/>
  <c r="F5834" i="1"/>
  <c r="G5834" i="1"/>
  <c r="F5835" i="1"/>
  <c r="G5835" i="1"/>
  <c r="F5836" i="1"/>
  <c r="G5836" i="1"/>
  <c r="F5837" i="1"/>
  <c r="G5837" i="1"/>
  <c r="F5838" i="1"/>
  <c r="G5838" i="1"/>
  <c r="F5839" i="1"/>
  <c r="G5839" i="1"/>
  <c r="F5840" i="1"/>
  <c r="G5840" i="1"/>
  <c r="F5841" i="1"/>
  <c r="G5841" i="1"/>
  <c r="F5842" i="1"/>
  <c r="G5842" i="1"/>
  <c r="F5843" i="1"/>
  <c r="G5843" i="1"/>
  <c r="F5844" i="1"/>
  <c r="G5844" i="1"/>
  <c r="F5845" i="1"/>
  <c r="G5845" i="1"/>
  <c r="F5846" i="1"/>
  <c r="G5846" i="1"/>
  <c r="F5847" i="1"/>
  <c r="G5847" i="1"/>
  <c r="F5848" i="1"/>
  <c r="G5848" i="1"/>
  <c r="F5849" i="1"/>
  <c r="G5849" i="1"/>
  <c r="F5850" i="1"/>
  <c r="G5850" i="1"/>
  <c r="F5851" i="1"/>
  <c r="G5851" i="1"/>
  <c r="F5852" i="1"/>
  <c r="G5852" i="1"/>
  <c r="F5853" i="1"/>
  <c r="G5853" i="1"/>
  <c r="F5854" i="1"/>
  <c r="G5854" i="1"/>
  <c r="F5855" i="1"/>
  <c r="G5855" i="1"/>
  <c r="F5856" i="1"/>
  <c r="G5856" i="1"/>
  <c r="F5857" i="1"/>
  <c r="G5857" i="1"/>
  <c r="F5858" i="1"/>
  <c r="G5858" i="1"/>
  <c r="F5859" i="1"/>
  <c r="G5859" i="1"/>
  <c r="F5860" i="1"/>
  <c r="G5860" i="1"/>
  <c r="F5861" i="1"/>
  <c r="G5861" i="1"/>
  <c r="F5862" i="1"/>
  <c r="G5862" i="1"/>
  <c r="F5863" i="1"/>
  <c r="G5863" i="1"/>
  <c r="F5864" i="1"/>
  <c r="G5864" i="1"/>
  <c r="F5865" i="1"/>
  <c r="G5865" i="1"/>
  <c r="F5866" i="1"/>
  <c r="G5866" i="1"/>
  <c r="F5867" i="1"/>
  <c r="G5867" i="1"/>
  <c r="F5868" i="1"/>
  <c r="G5868" i="1"/>
  <c r="F5869" i="1"/>
  <c r="G5869" i="1"/>
  <c r="F5870" i="1"/>
  <c r="G5870" i="1"/>
  <c r="F5871" i="1"/>
  <c r="G5871" i="1"/>
  <c r="F5872" i="1"/>
  <c r="G5872" i="1"/>
  <c r="F5873" i="1"/>
  <c r="G5873" i="1"/>
  <c r="F5874" i="1"/>
  <c r="G5874" i="1"/>
  <c r="F5875" i="1"/>
  <c r="G5875" i="1"/>
  <c r="F5876" i="1"/>
  <c r="G5876" i="1"/>
  <c r="F5877" i="1"/>
  <c r="G5877" i="1"/>
  <c r="F5878" i="1"/>
  <c r="G5878" i="1"/>
  <c r="F5879" i="1"/>
  <c r="G5879" i="1"/>
  <c r="F5880" i="1"/>
  <c r="G5880" i="1"/>
  <c r="F5881" i="1"/>
  <c r="G5881" i="1"/>
  <c r="F5882" i="1"/>
  <c r="G5882" i="1"/>
  <c r="F5883" i="1"/>
  <c r="G5883" i="1"/>
  <c r="F5884" i="1"/>
  <c r="G5884" i="1"/>
  <c r="F5885" i="1"/>
  <c r="G5885" i="1"/>
  <c r="F5886" i="1"/>
  <c r="G5886" i="1"/>
  <c r="F5887" i="1"/>
  <c r="G5887" i="1"/>
  <c r="F5888" i="1"/>
  <c r="G5888" i="1"/>
  <c r="F5889" i="1"/>
  <c r="G5889" i="1"/>
  <c r="F5890" i="1"/>
  <c r="G5890" i="1"/>
  <c r="F5891" i="1"/>
  <c r="G5891" i="1"/>
  <c r="F5892" i="1"/>
  <c r="G5892" i="1"/>
  <c r="F5893" i="1"/>
  <c r="G5893" i="1"/>
  <c r="F5894" i="1"/>
  <c r="G5894" i="1"/>
  <c r="F5895" i="1"/>
  <c r="G5895" i="1"/>
  <c r="F5896" i="1"/>
  <c r="G5896" i="1"/>
  <c r="F5897" i="1"/>
  <c r="G5897" i="1"/>
  <c r="F5898" i="1"/>
  <c r="G5898" i="1"/>
  <c r="F5899" i="1"/>
  <c r="G5899" i="1"/>
  <c r="F5900" i="1"/>
  <c r="G5900" i="1"/>
  <c r="F5901" i="1"/>
  <c r="G5901" i="1"/>
  <c r="F5902" i="1"/>
  <c r="G5902" i="1"/>
  <c r="F5903" i="1"/>
  <c r="G5903" i="1"/>
  <c r="F5904" i="1"/>
  <c r="G5904" i="1"/>
  <c r="F5905" i="1"/>
  <c r="G5905" i="1"/>
  <c r="F5906" i="1"/>
  <c r="G5906" i="1"/>
  <c r="F5907" i="1"/>
  <c r="G5907" i="1"/>
  <c r="F5908" i="1"/>
  <c r="G5908" i="1"/>
  <c r="F5909" i="1"/>
  <c r="G5909" i="1"/>
  <c r="F5910" i="1"/>
  <c r="G5910" i="1"/>
  <c r="F5911" i="1"/>
  <c r="G5911" i="1"/>
  <c r="F5912" i="1"/>
  <c r="G5912" i="1"/>
  <c r="F5913" i="1"/>
  <c r="G5913" i="1"/>
  <c r="F5914" i="1"/>
  <c r="G5914" i="1"/>
  <c r="F5915" i="1"/>
  <c r="G5915" i="1"/>
  <c r="F5916" i="1"/>
  <c r="G5916" i="1"/>
  <c r="F5917" i="1"/>
  <c r="G5917" i="1"/>
  <c r="F5918" i="1"/>
  <c r="G5918" i="1"/>
  <c r="F5919" i="1"/>
  <c r="G5919" i="1"/>
  <c r="F5920" i="1"/>
  <c r="G5920" i="1"/>
  <c r="F5921" i="1"/>
  <c r="G5921" i="1"/>
  <c r="F5922" i="1"/>
  <c r="G5922" i="1"/>
  <c r="F5923" i="1"/>
  <c r="G5923" i="1"/>
  <c r="F5924" i="1"/>
  <c r="G5924" i="1"/>
  <c r="F5925" i="1"/>
  <c r="G5925" i="1"/>
  <c r="F5926" i="1"/>
  <c r="G5926" i="1"/>
  <c r="F5927" i="1"/>
  <c r="G5927" i="1"/>
  <c r="F5928" i="1"/>
  <c r="G5928" i="1"/>
  <c r="F5929" i="1"/>
  <c r="G5929" i="1"/>
  <c r="F5930" i="1"/>
  <c r="G5930" i="1"/>
  <c r="F5931" i="1"/>
  <c r="G5931" i="1"/>
  <c r="F5932" i="1"/>
  <c r="G5932" i="1"/>
  <c r="F5933" i="1"/>
  <c r="G5933" i="1"/>
  <c r="F5934" i="1"/>
  <c r="G5934" i="1"/>
  <c r="F5935" i="1"/>
  <c r="G5935" i="1"/>
  <c r="F5936" i="1"/>
  <c r="G5936" i="1"/>
  <c r="F5937" i="1"/>
  <c r="G5937" i="1"/>
  <c r="F5938" i="1"/>
  <c r="G5938" i="1"/>
  <c r="F5939" i="1"/>
  <c r="G5939" i="1"/>
  <c r="F5940" i="1"/>
  <c r="G5940" i="1"/>
  <c r="F5941" i="1"/>
  <c r="G5941" i="1"/>
  <c r="F5942" i="1"/>
  <c r="G5942" i="1"/>
  <c r="F5943" i="1"/>
  <c r="G5943" i="1"/>
  <c r="F5944" i="1"/>
  <c r="G5944" i="1"/>
  <c r="F5945" i="1"/>
  <c r="G5945" i="1"/>
  <c r="F5946" i="1"/>
  <c r="G5946" i="1"/>
  <c r="F5947" i="1"/>
  <c r="G5947" i="1"/>
  <c r="F5948" i="1"/>
  <c r="G5948" i="1"/>
  <c r="F5949" i="1"/>
  <c r="G5949" i="1"/>
  <c r="F5950" i="1"/>
  <c r="G5950" i="1"/>
  <c r="F5951" i="1"/>
  <c r="G5951" i="1"/>
  <c r="F5952" i="1"/>
  <c r="G5952" i="1"/>
  <c r="F5953" i="1"/>
  <c r="G5953" i="1"/>
  <c r="F5954" i="1"/>
  <c r="G5954" i="1"/>
  <c r="F5955" i="1"/>
  <c r="G5955" i="1"/>
  <c r="F5956" i="1"/>
  <c r="G5956" i="1"/>
  <c r="F5957" i="1"/>
  <c r="G5957" i="1"/>
  <c r="F5958" i="1"/>
  <c r="G5958" i="1"/>
  <c r="F5959" i="1"/>
  <c r="G5959" i="1"/>
  <c r="F5960" i="1"/>
  <c r="G5960" i="1"/>
  <c r="F5961" i="1"/>
  <c r="G5961" i="1"/>
  <c r="F5962" i="1"/>
  <c r="G5962" i="1"/>
  <c r="F5963" i="1"/>
  <c r="G5963" i="1"/>
  <c r="F5964" i="1"/>
  <c r="G5964" i="1"/>
  <c r="F5965" i="1"/>
  <c r="G5965" i="1"/>
  <c r="F5966" i="1"/>
  <c r="G5966" i="1"/>
  <c r="F5967" i="1"/>
  <c r="G5967" i="1"/>
  <c r="C5969" i="1"/>
  <c r="D5969" i="1"/>
  <c r="G5969" i="1" s="1"/>
  <c r="E5969" i="1"/>
  <c r="F5969" i="1"/>
  <c r="F5972" i="1" l="1"/>
  <c r="G5972" i="1"/>
  <c r="F3390" i="1"/>
  <c r="G3377" i="1"/>
  <c r="F3290" i="1"/>
  <c r="F3262" i="1"/>
  <c r="G3048" i="1"/>
  <c r="G3026" i="1"/>
  <c r="F2961" i="1"/>
  <c r="G2942" i="1"/>
  <c r="G2908" i="1"/>
  <c r="F2853" i="1"/>
  <c r="F2698" i="1"/>
  <c r="G2688" i="1"/>
  <c r="G2669" i="1"/>
  <c r="F2657" i="1"/>
  <c r="F2629" i="1"/>
  <c r="G2616" i="1"/>
  <c r="F2542" i="1"/>
  <c r="F2502" i="1"/>
  <c r="G2492" i="1"/>
  <c r="F2471" i="1"/>
  <c r="F2387" i="1"/>
  <c r="F2304" i="1"/>
  <c r="F2200" i="1"/>
  <c r="G2193" i="1"/>
  <c r="G1760" i="1"/>
  <c r="F1742" i="1"/>
  <c r="F1720" i="1"/>
  <c r="F1689" i="1"/>
  <c r="G1661" i="1"/>
  <c r="F1646" i="1"/>
  <c r="G1636" i="1"/>
  <c r="G1393" i="1"/>
  <c r="G1352" i="1"/>
  <c r="F1315" i="1"/>
  <c r="F1269" i="1"/>
  <c r="F1152" i="1"/>
  <c r="G1145" i="1"/>
  <c r="G1084" i="1"/>
  <c r="G1014" i="1"/>
  <c r="G995" i="1"/>
  <c r="G955" i="1"/>
  <c r="G821" i="1"/>
  <c r="F793" i="1"/>
  <c r="G771" i="1"/>
  <c r="F645" i="1"/>
  <c r="F162" i="1"/>
  <c r="G3502" i="1"/>
  <c r="G3320" i="1"/>
  <c r="G3206" i="1"/>
  <c r="G3035" i="1"/>
  <c r="G3019" i="1"/>
  <c r="G2991" i="1"/>
  <c r="G2874" i="1"/>
  <c r="G2830" i="1"/>
  <c r="G2772" i="1"/>
  <c r="G2722" i="1"/>
  <c r="G2448" i="1"/>
  <c r="G2354" i="1"/>
  <c r="G2325" i="1"/>
  <c r="G2121" i="1"/>
  <c r="G2096" i="1"/>
  <c r="G2052" i="1"/>
  <c r="G1966" i="1"/>
  <c r="G1888" i="1"/>
  <c r="G1787" i="1"/>
  <c r="G1614" i="1"/>
  <c r="G1402" i="1"/>
  <c r="G1231" i="1"/>
  <c r="G1200" i="1"/>
  <c r="G1053" i="1"/>
  <c r="G985" i="1"/>
  <c r="G660" i="1"/>
  <c r="G502" i="1"/>
  <c r="G205" i="1"/>
  <c r="G183" i="1"/>
  <c r="G136" i="1"/>
  <c r="G87" i="1"/>
  <c r="G32" i="1"/>
  <c r="G3548" i="1"/>
  <c r="G3434" i="1"/>
  <c r="G3342" i="1"/>
  <c r="G3270" i="1"/>
  <c r="G3178" i="1"/>
  <c r="G3153" i="1"/>
  <c r="G3128" i="1"/>
  <c r="G3106" i="1"/>
  <c r="G3090" i="1"/>
  <c r="G2969" i="1"/>
  <c r="G2376" i="1"/>
  <c r="G2347" i="1"/>
  <c r="G2312" i="1"/>
  <c r="G2086" i="1"/>
  <c r="G2042" i="1"/>
  <c r="G1900" i="1"/>
  <c r="G1881" i="1"/>
  <c r="G1370" i="1"/>
  <c r="G1221" i="1"/>
  <c r="G721" i="1"/>
  <c r="G574" i="1"/>
  <c r="G176" i="1"/>
  <c r="G145" i="1"/>
  <c r="G99" i="1"/>
  <c r="G74" i="1"/>
  <c r="F32" i="1"/>
</calcChain>
</file>

<file path=xl/sharedStrings.xml><?xml version="1.0" encoding="utf-8"?>
<sst xmlns="http://schemas.openxmlformats.org/spreadsheetml/2006/main" count="39430" uniqueCount="2302">
  <si>
    <t>Sales Analysis Report - Sales Detail (Date Range)</t>
  </si>
  <si>
    <t>MERITCLIFF PTY LTD</t>
  </si>
  <si>
    <t>Stock Items by Debtor Report</t>
  </si>
  <si>
    <t>Date Range : From - 03/11/2025  To - 09/11/2025</t>
  </si>
  <si>
    <t xml:space="preserve">Debtor Group2s in ( 1,2,3,4,5,6,7,8,9,11 ) </t>
  </si>
  <si>
    <t/>
  </si>
  <si>
    <t>Code</t>
  </si>
  <si>
    <t>Description</t>
  </si>
  <si>
    <t>Qty</t>
  </si>
  <si>
    <t>Amount</t>
  </si>
  <si>
    <t>Cost</t>
  </si>
  <si>
    <t>GP$</t>
  </si>
  <si>
    <t>GP%</t>
  </si>
  <si>
    <t>Invno</t>
  </si>
  <si>
    <t>Transdate</t>
  </si>
  <si>
    <t>Ref1</t>
  </si>
  <si>
    <t>Ref2</t>
  </si>
  <si>
    <t>Ref3</t>
  </si>
  <si>
    <t>Status</t>
  </si>
  <si>
    <t>Outstanding</t>
  </si>
  <si>
    <t>4</t>
  </si>
  <si>
    <t>Mackay Base Hospital</t>
  </si>
  <si>
    <t>BLD</t>
  </si>
  <si>
    <t>Beef - Blade/Bolar</t>
  </si>
  <si>
    <t>131460/01</t>
  </si>
  <si>
    <t>04/11/2025</t>
  </si>
  <si>
    <t>131460</t>
  </si>
  <si>
    <t>4302730462</t>
  </si>
  <si>
    <t>Invoice</t>
  </si>
  <si>
    <t>BMIN</t>
  </si>
  <si>
    <t>Beef - Mince</t>
  </si>
  <si>
    <t>131351/01</t>
  </si>
  <si>
    <t>03/11/2025</t>
  </si>
  <si>
    <t>131351</t>
  </si>
  <si>
    <t>131461/01</t>
  </si>
  <si>
    <t>131461</t>
  </si>
  <si>
    <t>BRSL</t>
  </si>
  <si>
    <t>Smallgoods - Beef Roast Sliced KR</t>
  </si>
  <si>
    <t>131633/01</t>
  </si>
  <si>
    <t>07/11/2025</t>
  </si>
  <si>
    <t>131633</t>
  </si>
  <si>
    <t>BSTR</t>
  </si>
  <si>
    <t>Beef - Strips</t>
  </si>
  <si>
    <t>CMIN</t>
  </si>
  <si>
    <t>Chicken - Mince</t>
  </si>
  <si>
    <t>CMLF</t>
  </si>
  <si>
    <t>Chicken - Maryland Fillet</t>
  </si>
  <si>
    <t>CSTR</t>
  </si>
  <si>
    <t>Chicken - Strips</t>
  </si>
  <si>
    <t>HAMSL</t>
  </si>
  <si>
    <t>Smallgoods - Ham Sliced KR</t>
  </si>
  <si>
    <t>LLEGBL</t>
  </si>
  <si>
    <t>Lamb - Leg (Boned &amp; Rolled)</t>
  </si>
  <si>
    <t>PLEGBL</t>
  </si>
  <si>
    <t>Pork - Leg Boned &amp; Rolled</t>
  </si>
  <si>
    <t>SBBQ</t>
  </si>
  <si>
    <t>Beef - Steak BBQ</t>
  </si>
  <si>
    <t>SSCKDSL</t>
  </si>
  <si>
    <t>Smallgoods - Beef Silverside Cooked &amp; Sliced KR</t>
  </si>
  <si>
    <t>SubTotal</t>
  </si>
  <si>
    <t>6</t>
  </si>
  <si>
    <t>Magpies Sporting Club Limited</t>
  </si>
  <si>
    <t>MSCBDI</t>
  </si>
  <si>
    <t>Beef - Diced MSC</t>
  </si>
  <si>
    <t>131611/01</t>
  </si>
  <si>
    <t>131611</t>
  </si>
  <si>
    <t>MSCBLD</t>
  </si>
  <si>
    <t>Beef - Blade/Bolar MSC</t>
  </si>
  <si>
    <t>131531/01</t>
  </si>
  <si>
    <t>06/11/2025</t>
  </si>
  <si>
    <t>131531</t>
  </si>
  <si>
    <t>MSCCBRPCR250</t>
  </si>
  <si>
    <t>Chicken - Fillet of Breast crumbed (200-250g) MSC</t>
  </si>
  <si>
    <t>131474/01</t>
  </si>
  <si>
    <t>05/11/2025</t>
  </si>
  <si>
    <t>131474</t>
  </si>
  <si>
    <t>131364/01</t>
  </si>
  <si>
    <t>131364</t>
  </si>
  <si>
    <t>MSCCFOT</t>
  </si>
  <si>
    <t>Chicken - Fillet of Thigh skinless MSC</t>
  </si>
  <si>
    <t>MSCCHOR</t>
  </si>
  <si>
    <t>Smallgoods - Spanish Chorizo PR MSC</t>
  </si>
  <si>
    <t>MSCCMLBI</t>
  </si>
  <si>
    <t>Chicken - Maryland bone in MSC</t>
  </si>
  <si>
    <t>131447/01</t>
  </si>
  <si>
    <t>131447</t>
  </si>
  <si>
    <t>MSCCPCB</t>
  </si>
  <si>
    <t>Chicken - Fillet of breast fresh (PC) MSC</t>
  </si>
  <si>
    <t>MSCCTDR</t>
  </si>
  <si>
    <t>Chicken - Tenderloin MSC</t>
  </si>
  <si>
    <t>MSCEF220</t>
  </si>
  <si>
    <t>Beef - Eye Fillet Grass Bonded 220g MSC</t>
  </si>
  <si>
    <t>MSCHAMSL</t>
  </si>
  <si>
    <t>Smallgoods - Ham Sliced PR MSC</t>
  </si>
  <si>
    <t>MSCPLEGBL</t>
  </si>
  <si>
    <t>Pork - Leg Boned &amp; Rolled MSC</t>
  </si>
  <si>
    <t>MSCRBSSAND100</t>
  </si>
  <si>
    <t>Beef - Rostbiff Steak Sandwich (100g) MSC</t>
  </si>
  <si>
    <t>MSCRFRA300</t>
  </si>
  <si>
    <t>Beef - Rib Fillet Riverina Angus 300g MSC</t>
  </si>
  <si>
    <t>MSCRUGFGWHB</t>
  </si>
  <si>
    <t>Beef - Rump Grain Fed Beef City whole MSC</t>
  </si>
  <si>
    <t>MSCRURA300</t>
  </si>
  <si>
    <t>Beef - Rump Riverina Angus (300g) MSC</t>
  </si>
  <si>
    <t>MSCRUYS200</t>
  </si>
  <si>
    <t>Beef - Rump Yardstick (200G) MSC</t>
  </si>
  <si>
    <t>MSCSCRM250</t>
  </si>
  <si>
    <t>Beef - Steak Crumbed (250g) MSC</t>
  </si>
  <si>
    <t>MSCSSCO</t>
  </si>
  <si>
    <t>Beef - Silverside (Corned) MSC</t>
  </si>
  <si>
    <t>MSCSTHN</t>
  </si>
  <si>
    <t>Beef - Sausages (Thin) MSC</t>
  </si>
  <si>
    <t>19</t>
  </si>
  <si>
    <t>Eimeo Pacific Hotel Pty Ltd</t>
  </si>
  <si>
    <t>131603/01</t>
  </si>
  <si>
    <t>131603</t>
  </si>
  <si>
    <t>131405/01</t>
  </si>
  <si>
    <t>131405</t>
  </si>
  <si>
    <t>CFOT</t>
  </si>
  <si>
    <t>Chicken - Fillet of Thigh skinless</t>
  </si>
  <si>
    <t>LBS</t>
  </si>
  <si>
    <t>Lamb - Backstrap Rolls Royce Loin</t>
  </si>
  <si>
    <t>PSTHK</t>
  </si>
  <si>
    <t>Pork - Sausages (Thick)</t>
  </si>
  <si>
    <t>SSAND150</t>
  </si>
  <si>
    <t>Beef - Rib Fillet Steak Sandwich 150g</t>
  </si>
  <si>
    <t>30</t>
  </si>
  <si>
    <t>Sorbellos Italian Restaurant (SIR96 Pty Ltd T/as)</t>
  </si>
  <si>
    <t>BACRLE</t>
  </si>
  <si>
    <t>Smallgoods - Bacon Rindless KR</t>
  </si>
  <si>
    <t>131598/01</t>
  </si>
  <si>
    <t>131598</t>
  </si>
  <si>
    <t>131375/01</t>
  </si>
  <si>
    <t>131375</t>
  </si>
  <si>
    <t>PMIN</t>
  </si>
  <si>
    <t>Pork - Mince</t>
  </si>
  <si>
    <t>RUGF250</t>
  </si>
  <si>
    <t>Beef - Rump Grain Fed Beef City (250g)</t>
  </si>
  <si>
    <t>51</t>
  </si>
  <si>
    <t>Harrup Park Country Club</t>
  </si>
  <si>
    <t>131632/01</t>
  </si>
  <si>
    <t>131632</t>
  </si>
  <si>
    <t>PO 2006234</t>
  </si>
  <si>
    <t>131402/01</t>
  </si>
  <si>
    <t>131402</t>
  </si>
  <si>
    <t>2006234</t>
  </si>
  <si>
    <t>BRISK</t>
  </si>
  <si>
    <t>Beef - Brisket Point End</t>
  </si>
  <si>
    <t>C13</t>
  </si>
  <si>
    <t>Chicken - #13 bird frozen each</t>
  </si>
  <si>
    <t>CDI</t>
  </si>
  <si>
    <t>Chicken - Diced</t>
  </si>
  <si>
    <t>CPCB</t>
  </si>
  <si>
    <t>Chicken - Fillet of breast fresh Skinless TDR off</t>
  </si>
  <si>
    <t>EF200</t>
  </si>
  <si>
    <t>Beef - Eye Fillet Grass Bonded 200g</t>
  </si>
  <si>
    <t>HAML</t>
  </si>
  <si>
    <t>Smallgoods - Ham Leg Full</t>
  </si>
  <si>
    <t>HAMSHR</t>
  </si>
  <si>
    <t>Smallgoods - Ham Shredded KR (5kg per ctn)</t>
  </si>
  <si>
    <t>131542/01</t>
  </si>
  <si>
    <t>131542</t>
  </si>
  <si>
    <t>BISTRO</t>
  </si>
  <si>
    <t>HAMSHRPR</t>
  </si>
  <si>
    <t>Smallgoods - Ham Shredded PR (4kg per ctn)</t>
  </si>
  <si>
    <t>LRUMP</t>
  </si>
  <si>
    <t>Lamb - Rump Cap off</t>
  </si>
  <si>
    <t>PSTLWH</t>
  </si>
  <si>
    <t>Pork - Striploin Whole</t>
  </si>
  <si>
    <t>131497/01</t>
  </si>
  <si>
    <t>131497</t>
  </si>
  <si>
    <t>RFGF300</t>
  </si>
  <si>
    <t>Beef - Rib Fillet Grain Fed (300g)</t>
  </si>
  <si>
    <t>RURA200</t>
  </si>
  <si>
    <t>Beef - Rump Riverina Angus (200g)</t>
  </si>
  <si>
    <t>RURA400</t>
  </si>
  <si>
    <t>Beef - Rump Riverina Angus (400g)</t>
  </si>
  <si>
    <t>SAMPLE</t>
  </si>
  <si>
    <t>Sample products</t>
  </si>
  <si>
    <t>131617/01</t>
  </si>
  <si>
    <t>131617</t>
  </si>
  <si>
    <t>SIRGF200</t>
  </si>
  <si>
    <t>Beef - Sirloin/Striploin Grain Fed (Beef City) 200g</t>
  </si>
  <si>
    <t>SIRGFWH</t>
  </si>
  <si>
    <t>Beef - Sirloin/Striploin Grain Fed (Beef City) whole</t>
  </si>
  <si>
    <t>131468/01</t>
  </si>
  <si>
    <t>131468</t>
  </si>
  <si>
    <t>TB250</t>
  </si>
  <si>
    <t>Beef - T-Bone Grain Fed MSA (250g)</t>
  </si>
  <si>
    <t>88</t>
  </si>
  <si>
    <t>Cash Sale Mackay</t>
  </si>
  <si>
    <t>BDICH</t>
  </si>
  <si>
    <t>Beef - Chuck Diced</t>
  </si>
  <si>
    <t>131429/01</t>
  </si>
  <si>
    <t>131429</t>
  </si>
  <si>
    <t>ANDREW KEMP</t>
  </si>
  <si>
    <t>BRWH</t>
  </si>
  <si>
    <t>Smallgoods - Beef Roast whole PR Cooked</t>
  </si>
  <si>
    <t>131608/01</t>
  </si>
  <si>
    <t>131608</t>
  </si>
  <si>
    <t>BUSY BEE</t>
  </si>
  <si>
    <t>194</t>
  </si>
  <si>
    <t>Ocean International Hotel - Seague Pty Ltd</t>
  </si>
  <si>
    <t>CFOB</t>
  </si>
  <si>
    <t>Chicken - Fillet of Breast frozen</t>
  </si>
  <si>
    <t>131618/01</t>
  </si>
  <si>
    <t>131618</t>
  </si>
  <si>
    <t>CHOR</t>
  </si>
  <si>
    <t>Smallgoods - Spanish Chorizo KR</t>
  </si>
  <si>
    <t>131543/01</t>
  </si>
  <si>
    <t>131543</t>
  </si>
  <si>
    <t>CWINGS</t>
  </si>
  <si>
    <t>Chicken - Wings</t>
  </si>
  <si>
    <t>131370/01</t>
  </si>
  <si>
    <t>131370</t>
  </si>
  <si>
    <t>PBELBL</t>
  </si>
  <si>
    <t>Pork - Belly Boneless rind on</t>
  </si>
  <si>
    <t>PCB</t>
  </si>
  <si>
    <t>Pork - Collar Butt Whole</t>
  </si>
  <si>
    <t>PLCH</t>
  </si>
  <si>
    <t>Pork - Chop Loin frozen</t>
  </si>
  <si>
    <t>SIRYSWH</t>
  </si>
  <si>
    <t>Beef - Sirloin/Striploin Yardstick whole</t>
  </si>
  <si>
    <t>269</t>
  </si>
  <si>
    <t>Cool Mango Salad Bar</t>
  </si>
  <si>
    <t>131437/01</t>
  </si>
  <si>
    <t>131437</t>
  </si>
  <si>
    <t>131329/01</t>
  </si>
  <si>
    <t>131329</t>
  </si>
  <si>
    <t>131595/01</t>
  </si>
  <si>
    <t>131595</t>
  </si>
  <si>
    <t>131522/01</t>
  </si>
  <si>
    <t>131522</t>
  </si>
  <si>
    <t>TS</t>
  </si>
  <si>
    <t>Beef - Topside whole Cap On</t>
  </si>
  <si>
    <t>275</t>
  </si>
  <si>
    <t>Bayview Canine Lodge</t>
  </si>
  <si>
    <t>CNECK</t>
  </si>
  <si>
    <t>Chicken - Necks (12kg ctn)</t>
  </si>
  <si>
    <t>131445/01</t>
  </si>
  <si>
    <t>131445</t>
  </si>
  <si>
    <t>304</t>
  </si>
  <si>
    <t>Sarina Hospital &amp; Primary Health Care</t>
  </si>
  <si>
    <t>131444/01</t>
  </si>
  <si>
    <t>131444</t>
  </si>
  <si>
    <t>4302376678</t>
  </si>
  <si>
    <t>LDI</t>
  </si>
  <si>
    <t>Lamb - Diced Fresh</t>
  </si>
  <si>
    <t>LMIN</t>
  </si>
  <si>
    <t>Lamb - Mince</t>
  </si>
  <si>
    <t>SSCO</t>
  </si>
  <si>
    <t>Beef - Silverside (Corned)</t>
  </si>
  <si>
    <t>419</t>
  </si>
  <si>
    <t>Middlemount Hotel Motel</t>
  </si>
  <si>
    <t>131553/01</t>
  </si>
  <si>
    <t>131553</t>
  </si>
  <si>
    <t>SALPEP</t>
  </si>
  <si>
    <t>Smallgoods - Salami Pepperoni PR</t>
  </si>
  <si>
    <t>503</t>
  </si>
  <si>
    <t>Cater Care Services Lake Vermont Camp</t>
  </si>
  <si>
    <t>CCBACRON</t>
  </si>
  <si>
    <t>Smallgoods - Bacon Rind On (KR) CC</t>
  </si>
  <si>
    <t>131590/01</t>
  </si>
  <si>
    <t>131590</t>
  </si>
  <si>
    <t>BL1560069</t>
  </si>
  <si>
    <t>131404/01</t>
  </si>
  <si>
    <t>131404</t>
  </si>
  <si>
    <t>BL1557377</t>
  </si>
  <si>
    <t>CCBDI</t>
  </si>
  <si>
    <t>Beef - Diced CC</t>
  </si>
  <si>
    <t>CCBLD</t>
  </si>
  <si>
    <t>Beef - Blade/Bolar CC</t>
  </si>
  <si>
    <t>CCBMIN</t>
  </si>
  <si>
    <t>Beef - Mince CC</t>
  </si>
  <si>
    <t>CCCCRT</t>
  </si>
  <si>
    <t>Chicken - Thigh Crumbed CC</t>
  </si>
  <si>
    <t>CCCDI</t>
  </si>
  <si>
    <t>Chicken - Diced CC</t>
  </si>
  <si>
    <t>CCCDRUM</t>
  </si>
  <si>
    <t>Chicken - Drumstick CC</t>
  </si>
  <si>
    <t>CCCFOB</t>
  </si>
  <si>
    <t>Chicken - Fillet of Breast frozen CC</t>
  </si>
  <si>
    <t>CCCHEER</t>
  </si>
  <si>
    <t>Smallgoods - Cheerios KR CC</t>
  </si>
  <si>
    <t>CCCWINGS</t>
  </si>
  <si>
    <t>Chicken - Wings CC</t>
  </si>
  <si>
    <t>CCHAMPR</t>
  </si>
  <si>
    <t>Smallgoods - Ham Prager Boneless KR CC</t>
  </si>
  <si>
    <t>CCKAB</t>
  </si>
  <si>
    <t>Smallgoods - Kabana KR CC</t>
  </si>
  <si>
    <t>CCLDI</t>
  </si>
  <si>
    <t>Lamb - Diced Frozen CC</t>
  </si>
  <si>
    <t>CCLLEGBL</t>
  </si>
  <si>
    <t>Lamb - Leg (Boned &amp; Rolled) CC</t>
  </si>
  <si>
    <t>CCPDI</t>
  </si>
  <si>
    <t>Pork - Diced CC</t>
  </si>
  <si>
    <t>CCPLEGBL</t>
  </si>
  <si>
    <t>Pork - Leg Boned &amp; Rolled CC</t>
  </si>
  <si>
    <t>CCPP</t>
  </si>
  <si>
    <t>Pork - Pickled CC</t>
  </si>
  <si>
    <t>CCPSTHK</t>
  </si>
  <si>
    <t>Pork - Sausages (Thick) CC</t>
  </si>
  <si>
    <t>CCRUSWH</t>
  </si>
  <si>
    <t>Beef - Rump Steer Grass Fed Whole CC</t>
  </si>
  <si>
    <t>CCSTHK</t>
  </si>
  <si>
    <t>Beef - Sausages (Thick) CC</t>
  </si>
  <si>
    <t>CCSTHN</t>
  </si>
  <si>
    <t>Beef - Sausages (Thin) CC</t>
  </si>
  <si>
    <t>552</t>
  </si>
  <si>
    <t>Queensland Clean Pty Ltd - Shamali's Cafe</t>
  </si>
  <si>
    <t>131387/01</t>
  </si>
  <si>
    <t>131387</t>
  </si>
  <si>
    <t>CTDR</t>
  </si>
  <si>
    <t>Chicken - Tenderloin</t>
  </si>
  <si>
    <t>131544/01</t>
  </si>
  <si>
    <t>131544</t>
  </si>
  <si>
    <t>PCUFT</t>
  </si>
  <si>
    <t>Pork - Cutlet French Trimmed</t>
  </si>
  <si>
    <t>RFBI400</t>
  </si>
  <si>
    <t>Beef - Rib Fillet Grain Bone-in 400g</t>
  </si>
  <si>
    <t>602</t>
  </si>
  <si>
    <t>Western Gateway Motel</t>
  </si>
  <si>
    <t>BSHR</t>
  </si>
  <si>
    <t>Beef - Ribs Short Chuck</t>
  </si>
  <si>
    <t>131558/01</t>
  </si>
  <si>
    <t>131558</t>
  </si>
  <si>
    <t>CKCA</t>
  </si>
  <si>
    <t>Chicken - Kiev Casings skin on / TDR on</t>
  </si>
  <si>
    <t>EFGF250</t>
  </si>
  <si>
    <t>Beef - Eye Fillet/Tenderloin Grain 250g</t>
  </si>
  <si>
    <t>CR131382/01</t>
  </si>
  <si>
    <t>131382</t>
  </si>
  <si>
    <t>Credit</t>
  </si>
  <si>
    <t>131382/01</t>
  </si>
  <si>
    <t>LSKH</t>
  </si>
  <si>
    <t>Lamb - Shank King Henry Hindquarter Fresh</t>
  </si>
  <si>
    <t>PSMIN</t>
  </si>
  <si>
    <t>Pork - Mince Sausage</t>
  </si>
  <si>
    <t>RFYS300</t>
  </si>
  <si>
    <t>Beef - Rib Fillet Yardstick 300g</t>
  </si>
  <si>
    <t>RUWAG6/7PC</t>
  </si>
  <si>
    <t>Beef - Rump Wagyu 6/7 Score (PC)</t>
  </si>
  <si>
    <t>RUWAG8/9PC</t>
  </si>
  <si>
    <t>Beef - Rump Wagyu 8/9 Score PC</t>
  </si>
  <si>
    <t>RUYS300</t>
  </si>
  <si>
    <t>Beef - Rump Yardstick (300G)</t>
  </si>
  <si>
    <t>RUYSPC</t>
  </si>
  <si>
    <t>Beef - Rump Yardstick (PC)</t>
  </si>
  <si>
    <t>608</t>
  </si>
  <si>
    <t>Civeo Pty Ltd (Dysart)</t>
  </si>
  <si>
    <t>CIVBACDI</t>
  </si>
  <si>
    <t>Smallgoods - Bacon Diced (PR) CIV</t>
  </si>
  <si>
    <t>131631/01</t>
  </si>
  <si>
    <t>131631</t>
  </si>
  <si>
    <t>564229</t>
  </si>
  <si>
    <t>CIVBACRON</t>
  </si>
  <si>
    <t>Smallgoods - Bacon Rind On (PR) CIV</t>
  </si>
  <si>
    <t>131371/01</t>
  </si>
  <si>
    <t>131371</t>
  </si>
  <si>
    <t>562993OF</t>
  </si>
  <si>
    <t>CIVBDI10</t>
  </si>
  <si>
    <t>Beef - Diced CIV</t>
  </si>
  <si>
    <t>CIVBMIN90</t>
  </si>
  <si>
    <t>Beef - Mince CIV</t>
  </si>
  <si>
    <t>CIVBRISK</t>
  </si>
  <si>
    <t>Beef - Brisket Point End CIV</t>
  </si>
  <si>
    <t>CIVBSAUSGTO</t>
  </si>
  <si>
    <t>Beef - Gourmet Sausages Tomato &amp; Onion CIV</t>
  </si>
  <si>
    <t>CIVBSTR</t>
  </si>
  <si>
    <t>Beef - Strips CIV</t>
  </si>
  <si>
    <t>CIVCDRUM</t>
  </si>
  <si>
    <t>Chicken - Drumstick CIV</t>
  </si>
  <si>
    <t>CIVCFOB</t>
  </si>
  <si>
    <t>Chicken - Fillet of Breast fresh (CIV ONLY)</t>
  </si>
  <si>
    <t>CIVCHOR</t>
  </si>
  <si>
    <t>Smallgoods - Spanish Chorizo PR CIV</t>
  </si>
  <si>
    <t>CIVCMLDI</t>
  </si>
  <si>
    <t>Chicken - Maryland Diced CIV</t>
  </si>
  <si>
    <t>CIVCMLF</t>
  </si>
  <si>
    <t>Chicken - Maryland Fillet CIV</t>
  </si>
  <si>
    <t>CIVCSTR</t>
  </si>
  <si>
    <t>Chicken - Strips CIV</t>
  </si>
  <si>
    <t>CIVCTP</t>
  </si>
  <si>
    <t>Chicken - Thigh Bone in CIV</t>
  </si>
  <si>
    <t>CIVCWINGS</t>
  </si>
  <si>
    <t>Chicken - Wings CIV</t>
  </si>
  <si>
    <t>CIVDEVON</t>
  </si>
  <si>
    <t>Smallgoods - Devon PR CIV</t>
  </si>
  <si>
    <t>CIVFRANKS</t>
  </si>
  <si>
    <t>Smallgoods - Frankfurter PR CIV</t>
  </si>
  <si>
    <t>CIVHAMPR</t>
  </si>
  <si>
    <t>Smallgoods - Ham Prager Boneless PR CIV</t>
  </si>
  <si>
    <t>CIVKAB</t>
  </si>
  <si>
    <t>Smallgoods - Kabana PR CIV</t>
  </si>
  <si>
    <t>CIVLLEGBL</t>
  </si>
  <si>
    <t>Lamb - Leg (Boned &amp; Rolled) CIV</t>
  </si>
  <si>
    <t>CIVMORT</t>
  </si>
  <si>
    <t>Smallgoods - Mortadella PR CIV</t>
  </si>
  <si>
    <t>CIVPCB</t>
  </si>
  <si>
    <t>Pork - Collar Butt Whole CIV</t>
  </si>
  <si>
    <t>CIVPDI</t>
  </si>
  <si>
    <t>Pork - Diced CIV</t>
  </si>
  <si>
    <t>CIVPLEGBL</t>
  </si>
  <si>
    <t>Pork - Leg Boned &amp; Rolled CIV</t>
  </si>
  <si>
    <t>CIVPSTHK</t>
  </si>
  <si>
    <t>Pork - Sausages (Thick) CIV</t>
  </si>
  <si>
    <t>CIVRISS</t>
  </si>
  <si>
    <t>Beef - Rissoles CIV</t>
  </si>
  <si>
    <t>CIVRUGFWH</t>
  </si>
  <si>
    <t>Beef - Rump Grain Fed Mine whole CIV</t>
  </si>
  <si>
    <t>CIVSALHUN</t>
  </si>
  <si>
    <t>Smallgoods - Salami Hungarian PR CIV</t>
  </si>
  <si>
    <t>CIVSALPEP</t>
  </si>
  <si>
    <t>Smallgoods - Salami Pepperoni PR CIV</t>
  </si>
  <si>
    <t>CIVSSCO</t>
  </si>
  <si>
    <t>Beef - Silverside (Corned) CIV</t>
  </si>
  <si>
    <t>CIVSTHK</t>
  </si>
  <si>
    <t>Beef - Sausages (Thick) CIV</t>
  </si>
  <si>
    <t>CIVSTHN</t>
  </si>
  <si>
    <t>Beef - Sausages (Thin) CIV</t>
  </si>
  <si>
    <t>CIVSTRASS</t>
  </si>
  <si>
    <t>Smallgoods - Strassburg PR CIV</t>
  </si>
  <si>
    <t>624</t>
  </si>
  <si>
    <t>Civeo Pty Ltd (Nebo)</t>
  </si>
  <si>
    <t>131465/01</t>
  </si>
  <si>
    <t>131465</t>
  </si>
  <si>
    <t>563163OF</t>
  </si>
  <si>
    <t>131630/01</t>
  </si>
  <si>
    <t>131630</t>
  </si>
  <si>
    <t>564871</t>
  </si>
  <si>
    <t>131466/01</t>
  </si>
  <si>
    <t>131466</t>
  </si>
  <si>
    <t>563453OF</t>
  </si>
  <si>
    <t>131383/01</t>
  </si>
  <si>
    <t>131383</t>
  </si>
  <si>
    <t>563153OF</t>
  </si>
  <si>
    <t>CIVBSM</t>
  </si>
  <si>
    <t>Beef - Sausage Mince CIV</t>
  </si>
  <si>
    <t>CIVCDI</t>
  </si>
  <si>
    <t>Chicken - Diced CIV</t>
  </si>
  <si>
    <t>CIVCHIP</t>
  </si>
  <si>
    <t>Beef - Sausages Chipolatas CIV</t>
  </si>
  <si>
    <t>CIVLDI</t>
  </si>
  <si>
    <t>Lamb - Diced Frozen CIV</t>
  </si>
  <si>
    <t>CIVPCHIPPO</t>
  </si>
  <si>
    <t>Pork - Sausages Chipolatas CIV</t>
  </si>
  <si>
    <t>CIVPLCH</t>
  </si>
  <si>
    <t>Pork - Chop Loin frozen CIV</t>
  </si>
  <si>
    <t>CIVPP</t>
  </si>
  <si>
    <t>Pork - Pickled CIV</t>
  </si>
  <si>
    <t>CIVPSHBLSL</t>
  </si>
  <si>
    <t>Pork - Shoulder Bone/Skinless CIV</t>
  </si>
  <si>
    <t>625</t>
  </si>
  <si>
    <t>Civeo Pty Ltd (Coppabella)</t>
  </si>
  <si>
    <t>131628/01</t>
  </si>
  <si>
    <t>131628</t>
  </si>
  <si>
    <t>564284</t>
  </si>
  <si>
    <t>131440/01</t>
  </si>
  <si>
    <t>131440</t>
  </si>
  <si>
    <t>562594</t>
  </si>
  <si>
    <t>131634/01</t>
  </si>
  <si>
    <t>131634</t>
  </si>
  <si>
    <t>565962</t>
  </si>
  <si>
    <t>131297/01</t>
  </si>
  <si>
    <t>131297</t>
  </si>
  <si>
    <t>562593OF</t>
  </si>
  <si>
    <t>CIVBLD</t>
  </si>
  <si>
    <t>Beef - Blade/Bolar CIV</t>
  </si>
  <si>
    <t>CIVCBRCRSS</t>
  </si>
  <si>
    <t>Chicken - Southern Style Crumbed 120g CIV</t>
  </si>
  <si>
    <t>CIVCDR&amp;W</t>
  </si>
  <si>
    <t>Chicken - Drumette &amp; Wingette Mix CIV</t>
  </si>
  <si>
    <t>CIVCHCUT</t>
  </si>
  <si>
    <t>Chicken - Thigh Cutlet (Skin on) CIV</t>
  </si>
  <si>
    <t>CIVCMLBI</t>
  </si>
  <si>
    <t>Chicken - Maryland bone in CIV</t>
  </si>
  <si>
    <t>CIVCPAT</t>
  </si>
  <si>
    <t>Chicken - Burger Patties 120g frozen CIV</t>
  </si>
  <si>
    <t>CIVLFQCH</t>
  </si>
  <si>
    <t>Lamb - Chop Forequarter Frozen CIV</t>
  </si>
  <si>
    <t>CIVPAST</t>
  </si>
  <si>
    <t>Smallgoods - Pastrami PR CIV</t>
  </si>
  <si>
    <t>CIVPSTR</t>
  </si>
  <si>
    <t>Pork - Strips CIV</t>
  </si>
  <si>
    <t>626</t>
  </si>
  <si>
    <t>Civeo Pty Ltd (Moranbah)</t>
  </si>
  <si>
    <t>131629/01</t>
  </si>
  <si>
    <t>131629</t>
  </si>
  <si>
    <t>564925</t>
  </si>
  <si>
    <t>131282/01</t>
  </si>
  <si>
    <t>131282</t>
  </si>
  <si>
    <t>563246OF</t>
  </si>
  <si>
    <t>131355/01</t>
  </si>
  <si>
    <t>131355</t>
  </si>
  <si>
    <t>563938OF</t>
  </si>
  <si>
    <t>DUCK22</t>
  </si>
  <si>
    <t>Game - Duck whole each</t>
  </si>
  <si>
    <t>131393/01</t>
  </si>
  <si>
    <t>131393</t>
  </si>
  <si>
    <t xml:space="preserve">TRAVIS </t>
  </si>
  <si>
    <t>QUAIL</t>
  </si>
  <si>
    <t>Game - Quail</t>
  </si>
  <si>
    <t>627</t>
  </si>
  <si>
    <t>Civeo Pty Ltd (Middlemount)</t>
  </si>
  <si>
    <t>131557/01</t>
  </si>
  <si>
    <t>131557</t>
  </si>
  <si>
    <t>564164</t>
  </si>
  <si>
    <t>131276/01</t>
  </si>
  <si>
    <t>131276</t>
  </si>
  <si>
    <t>564163OF</t>
  </si>
  <si>
    <t>131407/01</t>
  </si>
  <si>
    <t>131407</t>
  </si>
  <si>
    <t>562793OF</t>
  </si>
  <si>
    <t>131565/01</t>
  </si>
  <si>
    <t>131565</t>
  </si>
  <si>
    <t>563708</t>
  </si>
  <si>
    <t>629</t>
  </si>
  <si>
    <t>Masala Indian Cuisine</t>
  </si>
  <si>
    <t>131448/01</t>
  </si>
  <si>
    <t>131448</t>
  </si>
  <si>
    <t>643</t>
  </si>
  <si>
    <t>Doc's Kitchen</t>
  </si>
  <si>
    <t>131530/01</t>
  </si>
  <si>
    <t>131530</t>
  </si>
  <si>
    <t>OSSO</t>
  </si>
  <si>
    <t>Beef - Osso Bucco (Beef Shank bone in)</t>
  </si>
  <si>
    <t>646</t>
  </si>
  <si>
    <t>Emerald Maraboon Tavern - (Sapphirejest Pty Ltd)</t>
  </si>
  <si>
    <t>WMCBBRPCR</t>
  </si>
  <si>
    <t>Chicken - Fillet of Breast crumbed  (10KG) WM</t>
  </si>
  <si>
    <t>131546/01</t>
  </si>
  <si>
    <t>131546</t>
  </si>
  <si>
    <t>WMCBRCR250</t>
  </si>
  <si>
    <t>Chicken - Fillet of Breast crumbed (250g) WM</t>
  </si>
  <si>
    <t>131391/01</t>
  </si>
  <si>
    <t>131391</t>
  </si>
  <si>
    <t>WMCFOT</t>
  </si>
  <si>
    <t>Chicken - Fillet of Thigh fresh skinless WM</t>
  </si>
  <si>
    <t>WMCWINGS</t>
  </si>
  <si>
    <t>Chicken - Wings WM</t>
  </si>
  <si>
    <t>WMEF200</t>
  </si>
  <si>
    <t>Beef - Eye Fillet Grass Bonded 200g WM</t>
  </si>
  <si>
    <t>WMHAMSL</t>
  </si>
  <si>
    <t>Smallgoods - Ham Sliced PR WM</t>
  </si>
  <si>
    <t>WMRFGFBC300</t>
  </si>
  <si>
    <t>Beef - Rib Fillet Grain Fed (Beef City) 300g WM</t>
  </si>
  <si>
    <t>WMRUYS250</t>
  </si>
  <si>
    <t>Beef - Rump Yardstick (250g) WM</t>
  </si>
  <si>
    <t>WMSIRYSPC</t>
  </si>
  <si>
    <t>Beef - Sirloin/Striploin Yardstick PC WM</t>
  </si>
  <si>
    <t>WMSSAND150</t>
  </si>
  <si>
    <t>Beef - Rib Fillet Steak Sandwich 150g WM</t>
  </si>
  <si>
    <t>657</t>
  </si>
  <si>
    <t>Nebo Hotel</t>
  </si>
  <si>
    <t>131625/01</t>
  </si>
  <si>
    <t>131625</t>
  </si>
  <si>
    <t>CPCBF/B</t>
  </si>
  <si>
    <t>Chicken - Fillet of breast fresh butterflied</t>
  </si>
  <si>
    <t>131401/01</t>
  </si>
  <si>
    <t>131401</t>
  </si>
  <si>
    <t>RB200</t>
  </si>
  <si>
    <t>Beef - Rostbiff Steak (200g)</t>
  </si>
  <si>
    <t>TB400</t>
  </si>
  <si>
    <t>Beef - T-Bone Grain Fed MSA (400g)</t>
  </si>
  <si>
    <t>665</t>
  </si>
  <si>
    <t>Osborne Nebo Pty Ltd</t>
  </si>
  <si>
    <t>BDI</t>
  </si>
  <si>
    <t>Beef - Diced</t>
  </si>
  <si>
    <t>131395/01</t>
  </si>
  <si>
    <t>131395</t>
  </si>
  <si>
    <t>131616/01</t>
  </si>
  <si>
    <t>131616</t>
  </si>
  <si>
    <t>CAMP</t>
  </si>
  <si>
    <t>131498/01</t>
  </si>
  <si>
    <t>131498</t>
  </si>
  <si>
    <t>BSR</t>
  </si>
  <si>
    <t>Beef - Ribs Short</t>
  </si>
  <si>
    <t>GCC13SM</t>
  </si>
  <si>
    <t>Chicken - #13 bird seasoned fresh</t>
  </si>
  <si>
    <t>LFQCH</t>
  </si>
  <si>
    <t>Lamb - Chop Forequarter Frozen</t>
  </si>
  <si>
    <t>LSHK</t>
  </si>
  <si>
    <t>Lamb - Shank Frozen</t>
  </si>
  <si>
    <t>PSHCH</t>
  </si>
  <si>
    <t>Pork - Chop shoulder BBQ frozen</t>
  </si>
  <si>
    <t>PSR</t>
  </si>
  <si>
    <t>Pork - Ribs Spare</t>
  </si>
  <si>
    <t>RUGF200</t>
  </si>
  <si>
    <t>Beef - Rump Grain Fed Beef City (200g)</t>
  </si>
  <si>
    <t>RUGFWH</t>
  </si>
  <si>
    <t>Beef - Rump Grain Fed Mine whole</t>
  </si>
  <si>
    <t>STHK</t>
  </si>
  <si>
    <t>Beef - Sausages (Thick)</t>
  </si>
  <si>
    <t>STHN</t>
  </si>
  <si>
    <t>Beef - Sausages (Thin)</t>
  </si>
  <si>
    <t>TURKBB</t>
  </si>
  <si>
    <t>Game - Turkey Breast Buffet Boneless joint on</t>
  </si>
  <si>
    <t>689</t>
  </si>
  <si>
    <t>Stay on Sullivan</t>
  </si>
  <si>
    <t>131527/01</t>
  </si>
  <si>
    <t>131527</t>
  </si>
  <si>
    <t>CTP</t>
  </si>
  <si>
    <t>Chicken - Thigh Bone in</t>
  </si>
  <si>
    <t>LLCH</t>
  </si>
  <si>
    <t>Lamb - Chop Loin Frozen</t>
  </si>
  <si>
    <t>693</t>
  </si>
  <si>
    <t>Discovery Parks Emerald</t>
  </si>
  <si>
    <t>131392/01</t>
  </si>
  <si>
    <t>131392</t>
  </si>
  <si>
    <t>131556/01</t>
  </si>
  <si>
    <t>131556</t>
  </si>
  <si>
    <t>CDRUM</t>
  </si>
  <si>
    <t>Chicken - Drumstick</t>
  </si>
  <si>
    <t>CMLBI</t>
  </si>
  <si>
    <t>Chicken - Maryland bone in</t>
  </si>
  <si>
    <t>721</t>
  </si>
  <si>
    <t>Discovery Parks Mount Isa</t>
  </si>
  <si>
    <t>131307/01</t>
  </si>
  <si>
    <t>131307</t>
  </si>
  <si>
    <t>1762041715028</t>
  </si>
  <si>
    <t>CHIP</t>
  </si>
  <si>
    <t>Beef - Sausages Chipolatas</t>
  </si>
  <si>
    <t>LDIFZN</t>
  </si>
  <si>
    <t>Lamb - Diced Frozen</t>
  </si>
  <si>
    <t>PDI</t>
  </si>
  <si>
    <t>Pork - Diced</t>
  </si>
  <si>
    <t>RUGF300</t>
  </si>
  <si>
    <t>Beef - Rump Grain Fed Beef City (300g)</t>
  </si>
  <si>
    <t>728</t>
  </si>
  <si>
    <t>Crossroads Cafe</t>
  </si>
  <si>
    <t>131386/01</t>
  </si>
  <si>
    <t>131386</t>
  </si>
  <si>
    <t>PLOINPC</t>
  </si>
  <si>
    <t>Pork - Chop Loin fresh</t>
  </si>
  <si>
    <t>SCRM250</t>
  </si>
  <si>
    <t>Beef - Steak Crumbed (250g)</t>
  </si>
  <si>
    <t>740</t>
  </si>
  <si>
    <t>Masala Indian Cuisine Northern Beaches</t>
  </si>
  <si>
    <t>131535/01</t>
  </si>
  <si>
    <t>131535</t>
  </si>
  <si>
    <t>746</t>
  </si>
  <si>
    <t>The Village on Blain (The BAV Trust)</t>
  </si>
  <si>
    <t>131528/01</t>
  </si>
  <si>
    <t>131528</t>
  </si>
  <si>
    <t>131409/01</t>
  </si>
  <si>
    <t>131409</t>
  </si>
  <si>
    <t>RFGFWH</t>
  </si>
  <si>
    <t>Beef - Rib Fillet Grain Whole (Beef City)</t>
  </si>
  <si>
    <t>798</t>
  </si>
  <si>
    <t>Shamrock Hotel</t>
  </si>
  <si>
    <t>BCHEEK</t>
  </si>
  <si>
    <t>Beef - Cheeks</t>
  </si>
  <si>
    <t>131612/01</t>
  </si>
  <si>
    <t>131612</t>
  </si>
  <si>
    <t>1762423697610</t>
  </si>
  <si>
    <t>131368/01</t>
  </si>
  <si>
    <t>131368</t>
  </si>
  <si>
    <t>1762064352579</t>
  </si>
  <si>
    <t>BPAT150</t>
  </si>
  <si>
    <t>Beef - Pattie 150g</t>
  </si>
  <si>
    <t>CBRCR250</t>
  </si>
  <si>
    <t>Chicken - Fillet of Breast crumbed (250g)</t>
  </si>
  <si>
    <t>131442/01</t>
  </si>
  <si>
    <t>131442</t>
  </si>
  <si>
    <t>1762150918087</t>
  </si>
  <si>
    <t>131533/01</t>
  </si>
  <si>
    <t>131533</t>
  </si>
  <si>
    <t>1762340591758</t>
  </si>
  <si>
    <t>LSR</t>
  </si>
  <si>
    <t>Lamb - Ribs Spare Cap on</t>
  </si>
  <si>
    <t>RUYS250</t>
  </si>
  <si>
    <t>Beef - Rump Yardstick (250G)</t>
  </si>
  <si>
    <t>SIRWH</t>
  </si>
  <si>
    <t>Beef - Sirloin/Striploin Grass Fed whole</t>
  </si>
  <si>
    <t>807</t>
  </si>
  <si>
    <t>Emerald I.G.A</t>
  </si>
  <si>
    <t>131570/01</t>
  </si>
  <si>
    <t>131570</t>
  </si>
  <si>
    <t>131411/01</t>
  </si>
  <si>
    <t>131411</t>
  </si>
  <si>
    <t>BONES</t>
  </si>
  <si>
    <t>Beef - Bones frozen</t>
  </si>
  <si>
    <t>CCR</t>
  </si>
  <si>
    <t>Chicken - Thigh Crumbed</t>
  </si>
  <si>
    <t>PBONES</t>
  </si>
  <si>
    <t>Pork - Bones</t>
  </si>
  <si>
    <t>RF300</t>
  </si>
  <si>
    <t>Beef - Rib Fillet Grass 300g</t>
  </si>
  <si>
    <t>RFSWH</t>
  </si>
  <si>
    <t>Beef - Rib Fillet Grass Whole</t>
  </si>
  <si>
    <t>RISS</t>
  </si>
  <si>
    <t>Beef - Rissoles</t>
  </si>
  <si>
    <t>RU250S</t>
  </si>
  <si>
    <t>Beef - Rump Steer Grass Fed (250g)</t>
  </si>
  <si>
    <t>SCRM</t>
  </si>
  <si>
    <t>Beef - Steak Crumbed</t>
  </si>
  <si>
    <t>822</t>
  </si>
  <si>
    <t>Sirrom Corporation (Aust) Pty Ltd - Sarina</t>
  </si>
  <si>
    <t>BACRON</t>
  </si>
  <si>
    <t>Smallgoods - Bacon Rind On PR</t>
  </si>
  <si>
    <t>131501/01</t>
  </si>
  <si>
    <t>131501</t>
  </si>
  <si>
    <t>51125KA</t>
  </si>
  <si>
    <t>C9</t>
  </si>
  <si>
    <t>Chicken - #09  bird frozen each</t>
  </si>
  <si>
    <t>CPAT</t>
  </si>
  <si>
    <t>Chicken - Burger Patties 120g frozen</t>
  </si>
  <si>
    <t>HAMPR</t>
  </si>
  <si>
    <t>Smallgoods - Ham Prager Boneless KR</t>
  </si>
  <si>
    <t>KAB</t>
  </si>
  <si>
    <t>Smallgoods - Kabana KR</t>
  </si>
  <si>
    <t>LNCH</t>
  </si>
  <si>
    <t>Lamb - Neck Chops</t>
  </si>
  <si>
    <t>PCRM</t>
  </si>
  <si>
    <t>Pork - Schnitzel Crumbed</t>
  </si>
  <si>
    <t>PSTR</t>
  </si>
  <si>
    <t>Pork - Strips</t>
  </si>
  <si>
    <t>857</t>
  </si>
  <si>
    <t>Northern Beaches Bowls Club</t>
  </si>
  <si>
    <t>BACDI</t>
  </si>
  <si>
    <t>Smallgoods - Bacon Diced PR</t>
  </si>
  <si>
    <t>131536/01</t>
  </si>
  <si>
    <t>131536</t>
  </si>
  <si>
    <t>131443/01</t>
  </si>
  <si>
    <t>131443</t>
  </si>
  <si>
    <t>131615/01</t>
  </si>
  <si>
    <t>131615</t>
  </si>
  <si>
    <t>131302/01</t>
  </si>
  <si>
    <t>131302</t>
  </si>
  <si>
    <t>131361/01</t>
  </si>
  <si>
    <t>131361</t>
  </si>
  <si>
    <t>EF250</t>
  </si>
  <si>
    <t>Beef - Eye Fillet Grass Bonded 250g</t>
  </si>
  <si>
    <t>EFWH</t>
  </si>
  <si>
    <t>Beef - Eye Fillet Grass Bonded Whole</t>
  </si>
  <si>
    <t>LSHBL</t>
  </si>
  <si>
    <t>Lamb - Shoulder Boneless</t>
  </si>
  <si>
    <t>RFRAPC</t>
  </si>
  <si>
    <t>Beef - Rib Fillet Riverina Angus (PC)</t>
  </si>
  <si>
    <t>RURA300</t>
  </si>
  <si>
    <t>Beef - Rump Riverina Angus (300g)</t>
  </si>
  <si>
    <t>SALHUN</t>
  </si>
  <si>
    <t>Smallgoods - Salami Hungarian KR</t>
  </si>
  <si>
    <t>SQSTR</t>
  </si>
  <si>
    <t>Seafood - Squid Strips 1kg</t>
  </si>
  <si>
    <t>873</t>
  </si>
  <si>
    <t>Cater Care Services Ernest Henry</t>
  </si>
  <si>
    <t>CCBACDI</t>
  </si>
  <si>
    <t>Smallgoods - Bacon Diced (KR) CC</t>
  </si>
  <si>
    <t>131471/01</t>
  </si>
  <si>
    <t>131471</t>
  </si>
  <si>
    <t>BL1555184</t>
  </si>
  <si>
    <t>CCCABWH</t>
  </si>
  <si>
    <t>Smallgoods - Cabanossi Whole PR CC</t>
  </si>
  <si>
    <t>CCCHOR</t>
  </si>
  <si>
    <t>Smallgoods - Spanish Chorizo KR CC</t>
  </si>
  <si>
    <t>CCCMLBI</t>
  </si>
  <si>
    <t>Chicken - Maryland bone in CC</t>
  </si>
  <si>
    <t>CCCSTR</t>
  </si>
  <si>
    <t>Chicken - Strips CC</t>
  </si>
  <si>
    <t>CCCTP</t>
  </si>
  <si>
    <t>Chicken - Thigh Bone in CC</t>
  </si>
  <si>
    <t>CCHAML</t>
  </si>
  <si>
    <t>Smallgoods - Ham Leg Full CC</t>
  </si>
  <si>
    <t>CCLFRY</t>
  </si>
  <si>
    <t>Lamb - Lamb Fry CC</t>
  </si>
  <si>
    <t>CCLMIN</t>
  </si>
  <si>
    <t>Lamb - Mince CC</t>
  </si>
  <si>
    <t>CCLXF3D2</t>
  </si>
  <si>
    <t>Beef - Bolar/ Blade (MSA) - Est.218 CC</t>
  </si>
  <si>
    <t>CCPCRM</t>
  </si>
  <si>
    <t>Pork - Schnitzel Crumbed CC</t>
  </si>
  <si>
    <t>CCSSCO</t>
  </si>
  <si>
    <t>Beef - Silverside (Corned) CC</t>
  </si>
  <si>
    <t>886</t>
  </si>
  <si>
    <t>Oaks Mackay Rivermarque F&amp;B 1041</t>
  </si>
  <si>
    <t>131373/01</t>
  </si>
  <si>
    <t>131373</t>
  </si>
  <si>
    <t>2464332</t>
  </si>
  <si>
    <t>131620/01</t>
  </si>
  <si>
    <t>131620</t>
  </si>
  <si>
    <t>2466161</t>
  </si>
  <si>
    <t>891</t>
  </si>
  <si>
    <t>Motel 707</t>
  </si>
  <si>
    <t>CR131216/01</t>
  </si>
  <si>
    <t>131216</t>
  </si>
  <si>
    <t>RUSWH</t>
  </si>
  <si>
    <t>Beef - Rump Steer Grass Fed Whole</t>
  </si>
  <si>
    <t>131385/01</t>
  </si>
  <si>
    <t>131385</t>
  </si>
  <si>
    <t>SCRM200</t>
  </si>
  <si>
    <t>Beef - Steak Crumbed (200g)</t>
  </si>
  <si>
    <t>903</t>
  </si>
  <si>
    <t>Mackay Regional Council</t>
  </si>
  <si>
    <t>131441/01</t>
  </si>
  <si>
    <t>131441</t>
  </si>
  <si>
    <t>2029992</t>
  </si>
  <si>
    <t>BSM</t>
  </si>
  <si>
    <t>Beef - Sausage Mince</t>
  </si>
  <si>
    <t>904</t>
  </si>
  <si>
    <t>The Crib Hut</t>
  </si>
  <si>
    <t>131366/01</t>
  </si>
  <si>
    <t>131366</t>
  </si>
  <si>
    <t>131606/01</t>
  </si>
  <si>
    <t>131606</t>
  </si>
  <si>
    <t>131494/01</t>
  </si>
  <si>
    <t>131494</t>
  </si>
  <si>
    <t>FRANKS</t>
  </si>
  <si>
    <t>Smallgoods - Frankfurter KR</t>
  </si>
  <si>
    <t>19251</t>
  </si>
  <si>
    <t>131124</t>
  </si>
  <si>
    <t>923</t>
  </si>
  <si>
    <t>Sirrom Corporation (Aust) Pty Ltd - Nth Goonyella/</t>
  </si>
  <si>
    <t>BACRONKR</t>
  </si>
  <si>
    <t>Smallgoods - Bacon Rind On (KR)</t>
  </si>
  <si>
    <t>131319/01</t>
  </si>
  <si>
    <t>131319</t>
  </si>
  <si>
    <t xml:space="preserve">080004861 </t>
  </si>
  <si>
    <t>PUSAF</t>
  </si>
  <si>
    <t>Pork - Rib Fingers</t>
  </si>
  <si>
    <t>TURKBC</t>
  </si>
  <si>
    <t>Game - Turkey Breast frozen cooked</t>
  </si>
  <si>
    <t>131493/01</t>
  </si>
  <si>
    <t>131493</t>
  </si>
  <si>
    <t>TERRY</t>
  </si>
  <si>
    <t>924</t>
  </si>
  <si>
    <t>Dysart Bowls Club</t>
  </si>
  <si>
    <t>131406/01</t>
  </si>
  <si>
    <t>131406</t>
  </si>
  <si>
    <t>131619/01</t>
  </si>
  <si>
    <t>131619</t>
  </si>
  <si>
    <t>LLCH2</t>
  </si>
  <si>
    <t>Lamb - Chop Loin Fresh</t>
  </si>
  <si>
    <t>RFBI500</t>
  </si>
  <si>
    <t>Beef - Rib Fillet Grain Bone-in 500g</t>
  </si>
  <si>
    <t>RFGF250</t>
  </si>
  <si>
    <t>Beef - Rib Fillet Grain Fed (250g)</t>
  </si>
  <si>
    <t>RUGF400</t>
  </si>
  <si>
    <t>Beef - Rump Grain Fed Beef City (400g)</t>
  </si>
  <si>
    <t>SIRGF350</t>
  </si>
  <si>
    <t>Beef - Sirloin/Striploin Grain Fed (Beef City) 350g</t>
  </si>
  <si>
    <t>TB450</t>
  </si>
  <si>
    <t>Beef - T-Bone Grain Fed MSA (450g)</t>
  </si>
  <si>
    <t>926</t>
  </si>
  <si>
    <t>Cater Care Services Ensham Village</t>
  </si>
  <si>
    <t>131207/01</t>
  </si>
  <si>
    <t>131207</t>
  </si>
  <si>
    <t>BL1553027</t>
  </si>
  <si>
    <t>CCBSM</t>
  </si>
  <si>
    <t>Beef - Sausage Mince CC</t>
  </si>
  <si>
    <t>CCC9</t>
  </si>
  <si>
    <t>Chicken - #09  bird frozen each CC</t>
  </si>
  <si>
    <t>CCFRANKS</t>
  </si>
  <si>
    <t>Smallgoods - Frankfurter KR CC</t>
  </si>
  <si>
    <t>CCPLCH</t>
  </si>
  <si>
    <t>Pork - Chop Loin frozen CC</t>
  </si>
  <si>
    <t>CCPSTHN</t>
  </si>
  <si>
    <t>Pork - Sausages (Thin) CC</t>
  </si>
  <si>
    <t>CCSALHUN</t>
  </si>
  <si>
    <t>Smallgoods - Salami Hungarian KR CC</t>
  </si>
  <si>
    <t>936</t>
  </si>
  <si>
    <t>Luvy Pty Ltd (9th Lane Grind)</t>
  </si>
  <si>
    <t>BSS</t>
  </si>
  <si>
    <t>Beef - Shabu Shabu</t>
  </si>
  <si>
    <t>131331/01</t>
  </si>
  <si>
    <t>131331</t>
  </si>
  <si>
    <t>958</t>
  </si>
  <si>
    <t>Banana Hotel</t>
  </si>
  <si>
    <t>131496/01</t>
  </si>
  <si>
    <t>131496</t>
  </si>
  <si>
    <t>19252</t>
  </si>
  <si>
    <t>131120</t>
  </si>
  <si>
    <t>CR131120/01</t>
  </si>
  <si>
    <t>RUGF500</t>
  </si>
  <si>
    <t>Beef - Rump Grain Fed Beef City (500g)</t>
  </si>
  <si>
    <t>961</t>
  </si>
  <si>
    <t>Cater Care Services Cracow</t>
  </si>
  <si>
    <t>CC8681</t>
  </si>
  <si>
    <t>Beef - Rump whole/sliced (MSA) - Est. 291 CC</t>
  </si>
  <si>
    <t>131352/01</t>
  </si>
  <si>
    <t>131352</t>
  </si>
  <si>
    <t>BL1558225</t>
  </si>
  <si>
    <t>CCBSTR</t>
  </si>
  <si>
    <t>Beef - Strips CC</t>
  </si>
  <si>
    <t>CCHAMSHR</t>
  </si>
  <si>
    <t>Smallgoods - Ham Shredded KR CC (5kg per ctn)</t>
  </si>
  <si>
    <t>CCPCHIPPO</t>
  </si>
  <si>
    <t>Pork - Sausages Chipolatas CC</t>
  </si>
  <si>
    <t>964</t>
  </si>
  <si>
    <t>Cater Care Services Jellinbah</t>
  </si>
  <si>
    <t>131268/01</t>
  </si>
  <si>
    <t>131268</t>
  </si>
  <si>
    <t>BL1557260</t>
  </si>
  <si>
    <t>CCPSTR</t>
  </si>
  <si>
    <t>Pork - Strips CC</t>
  </si>
  <si>
    <t>971</t>
  </si>
  <si>
    <t>Discovery Parks Blackwater</t>
  </si>
  <si>
    <t>131410/01</t>
  </si>
  <si>
    <t>131410</t>
  </si>
  <si>
    <t>131567/01</t>
  </si>
  <si>
    <t>131567</t>
  </si>
  <si>
    <t>CR131567/01</t>
  </si>
  <si>
    <t>1003</t>
  </si>
  <si>
    <t>The Deck Steakhouse</t>
  </si>
  <si>
    <t>TDBMIN</t>
  </si>
  <si>
    <t>Beef - Mince TD</t>
  </si>
  <si>
    <t>131609/01</t>
  </si>
  <si>
    <t>131609</t>
  </si>
  <si>
    <t>TDEFGF200</t>
  </si>
  <si>
    <t>Beef - Eye Fillet/Tenderloin Grain 200g TD</t>
  </si>
  <si>
    <t>131580/01</t>
  </si>
  <si>
    <t>131580</t>
  </si>
  <si>
    <t>131384/01</t>
  </si>
  <si>
    <t>131384</t>
  </si>
  <si>
    <t>TDLRCOFF</t>
  </si>
  <si>
    <t>Lamb - Rack Chined Cap Off whole TD</t>
  </si>
  <si>
    <t>TDPCUFT</t>
  </si>
  <si>
    <t>Pork - Cutlet French Trimmed TD</t>
  </si>
  <si>
    <t>TDPLR99936</t>
  </si>
  <si>
    <t>Pork - Ribs Baby Back Ribs 99936 (raw) TD</t>
  </si>
  <si>
    <t>TDRFBI400</t>
  </si>
  <si>
    <t>Beef - Rib Fillet Grain Bone-in 400g TD</t>
  </si>
  <si>
    <t>TDRFWAG67</t>
  </si>
  <si>
    <t>Beef - Rib Fillet Wagyu 6/7 Score PC TD</t>
  </si>
  <si>
    <t>TDRFYS250</t>
  </si>
  <si>
    <t>Beef - Rib Fillet Yardstick 250g TD</t>
  </si>
  <si>
    <t>TDRFYS350</t>
  </si>
  <si>
    <t>Beef - Rib Fillet Yardstick 350g TD</t>
  </si>
  <si>
    <t>TDRURA300</t>
  </si>
  <si>
    <t>Beef - Rump Riverina Angus (300g) TD</t>
  </si>
  <si>
    <t>TDRURA500</t>
  </si>
  <si>
    <t>Beef - Rump Riverina Angus (500g) TD</t>
  </si>
  <si>
    <t>TDRUYS250</t>
  </si>
  <si>
    <t>Beef - Rump Yardstick (250g) TD</t>
  </si>
  <si>
    <t>TDRUYS300</t>
  </si>
  <si>
    <t>Beef - Rump Yardstick (300g) TD</t>
  </si>
  <si>
    <t>TDSSAND100</t>
  </si>
  <si>
    <t>Beef - Rib Fillet Steak Sandwich 100g TD</t>
  </si>
  <si>
    <t>1015</t>
  </si>
  <si>
    <t>Middlemount Bakery</t>
  </si>
  <si>
    <t>131377/01</t>
  </si>
  <si>
    <t>131377</t>
  </si>
  <si>
    <t>131554/01</t>
  </si>
  <si>
    <t>131554</t>
  </si>
  <si>
    <t>1025</t>
  </si>
  <si>
    <t>Cater Care Services Bauxite Hills Mine</t>
  </si>
  <si>
    <t>131568/01</t>
  </si>
  <si>
    <t>131568</t>
  </si>
  <si>
    <t>BL1560010</t>
  </si>
  <si>
    <t>CCLFQCH</t>
  </si>
  <si>
    <t>Lamb - Chop Forequarter Frozen CC</t>
  </si>
  <si>
    <t>CCPSHCH</t>
  </si>
  <si>
    <t>Pork - Chop shoulder BBQ frozen CC</t>
  </si>
  <si>
    <t>CCSTRASS</t>
  </si>
  <si>
    <t>Smallgoods - Strassburg KR CC</t>
  </si>
  <si>
    <t>1028</t>
  </si>
  <si>
    <t>Fairbairn Bakery Emerald</t>
  </si>
  <si>
    <t>131548/01</t>
  </si>
  <si>
    <t>131548</t>
  </si>
  <si>
    <t>131388/01</t>
  </si>
  <si>
    <t>131388</t>
  </si>
  <si>
    <t>SUSI</t>
  </si>
  <si>
    <t>131389/01</t>
  </si>
  <si>
    <t>131389</t>
  </si>
  <si>
    <t>131545/01</t>
  </si>
  <si>
    <t>131545</t>
  </si>
  <si>
    <t>CBMIN</t>
  </si>
  <si>
    <t>Beef - Coarse Mince</t>
  </si>
  <si>
    <t>CBRCR200</t>
  </si>
  <si>
    <t>Chicken - Fillet of Breast crumbed (200g)</t>
  </si>
  <si>
    <t>1035</t>
  </si>
  <si>
    <t>Jamaica Blue Mount Pleasant</t>
  </si>
  <si>
    <t>SSAND100</t>
  </si>
  <si>
    <t>Beef - Rib Fillet Steak Sandwich 100g</t>
  </si>
  <si>
    <t>131592/01</t>
  </si>
  <si>
    <t>131592</t>
  </si>
  <si>
    <t>1040</t>
  </si>
  <si>
    <t>Joa Sushi</t>
  </si>
  <si>
    <t>131515/01</t>
  </si>
  <si>
    <t>131515</t>
  </si>
  <si>
    <t>MT P</t>
  </si>
  <si>
    <t>131475/01</t>
  </si>
  <si>
    <t>131475</t>
  </si>
  <si>
    <t>SYDNEY</t>
  </si>
  <si>
    <t>131436/01</t>
  </si>
  <si>
    <t>131436</t>
  </si>
  <si>
    <t>131435/01</t>
  </si>
  <si>
    <t>131435</t>
  </si>
  <si>
    <t>131328/01</t>
  </si>
  <si>
    <t>131328</t>
  </si>
  <si>
    <t>131327/01</t>
  </si>
  <si>
    <t>131327</t>
  </si>
  <si>
    <t>131596/01</t>
  </si>
  <si>
    <t>131596</t>
  </si>
  <si>
    <t>131591/01</t>
  </si>
  <si>
    <t>131591</t>
  </si>
  <si>
    <t>131521/01</t>
  </si>
  <si>
    <t>131521</t>
  </si>
  <si>
    <t>SYDNEY ST</t>
  </si>
  <si>
    <t>131520/01</t>
  </si>
  <si>
    <t>131520</t>
  </si>
  <si>
    <t>MT PLEASANT</t>
  </si>
  <si>
    <t>1056</t>
  </si>
  <si>
    <t>Middlemount Golf and Country Club</t>
  </si>
  <si>
    <t>131398/01</t>
  </si>
  <si>
    <t>131398</t>
  </si>
  <si>
    <t>131547/01</t>
  </si>
  <si>
    <t>131547</t>
  </si>
  <si>
    <t>SIRYS300</t>
  </si>
  <si>
    <t>Beef - Sirloin/Striploin Yardstick (300g)</t>
  </si>
  <si>
    <t>1058</t>
  </si>
  <si>
    <t>Cater Care Services Botanist Cafe Mackay Airport</t>
  </si>
  <si>
    <t>131358/01</t>
  </si>
  <si>
    <t>131358</t>
  </si>
  <si>
    <t>BL1557779</t>
  </si>
  <si>
    <t>131593/01</t>
  </si>
  <si>
    <t>131593</t>
  </si>
  <si>
    <t>BL1561859</t>
  </si>
  <si>
    <t>1068</t>
  </si>
  <si>
    <t>PFD Food Services Banjup</t>
  </si>
  <si>
    <t>ROPRSL10</t>
  </si>
  <si>
    <t>Roll_d - Beef Premium sliced (10 x 1kg)</t>
  </si>
  <si>
    <t>131512/01</t>
  </si>
  <si>
    <t>131512</t>
  </si>
  <si>
    <t>PV041326</t>
  </si>
  <si>
    <t>1076</t>
  </si>
  <si>
    <t>Pumpt Carvery Caneland</t>
  </si>
  <si>
    <t>131342/01</t>
  </si>
  <si>
    <t>131342</t>
  </si>
  <si>
    <t>131525/01</t>
  </si>
  <si>
    <t>131525</t>
  </si>
  <si>
    <t>131431/01</t>
  </si>
  <si>
    <t>131431</t>
  </si>
  <si>
    <t>131599/01</t>
  </si>
  <si>
    <t>131599</t>
  </si>
  <si>
    <t>PSKIN</t>
  </si>
  <si>
    <t>Pork - Skin</t>
  </si>
  <si>
    <t>RBSSAND100</t>
  </si>
  <si>
    <t>Beef - Rostbiff Steak Sandwich (100g)</t>
  </si>
  <si>
    <t>1077</t>
  </si>
  <si>
    <t>PFD Food Services Chullora</t>
  </si>
  <si>
    <t>ROKB5</t>
  </si>
  <si>
    <t>Roll_d - Beef Knuckle Bones (5kg)</t>
  </si>
  <si>
    <t>131511/01</t>
  </si>
  <si>
    <t>131511</t>
  </si>
  <si>
    <t>PV040008</t>
  </si>
  <si>
    <t>1079</t>
  </si>
  <si>
    <t>Canine Country (Raw &amp; Co Pty ltd)</t>
  </si>
  <si>
    <t>CBONE</t>
  </si>
  <si>
    <t>Chicken - Frames</t>
  </si>
  <si>
    <t>131397/01</t>
  </si>
  <si>
    <t>131397</t>
  </si>
  <si>
    <t>131457/01</t>
  </si>
  <si>
    <t>131457</t>
  </si>
  <si>
    <t>131508/01</t>
  </si>
  <si>
    <t>131508</t>
  </si>
  <si>
    <t>1084</t>
  </si>
  <si>
    <t>Cater Care Services Ravenswood</t>
  </si>
  <si>
    <t>131323/01</t>
  </si>
  <si>
    <t>131323</t>
  </si>
  <si>
    <t>BL1553003</t>
  </si>
  <si>
    <t>131516/01</t>
  </si>
  <si>
    <t>131516</t>
  </si>
  <si>
    <t>BL1555093</t>
  </si>
  <si>
    <t>131322/01</t>
  </si>
  <si>
    <t>131322</t>
  </si>
  <si>
    <t>BL1558340</t>
  </si>
  <si>
    <t>1085</t>
  </si>
  <si>
    <t>Ma's Pizza Kitchen Greenfields</t>
  </si>
  <si>
    <t>BACRLEPR</t>
  </si>
  <si>
    <t>Smallgoods - Bacon Rindless PR</t>
  </si>
  <si>
    <t>131589/01</t>
  </si>
  <si>
    <t>131589</t>
  </si>
  <si>
    <t>131365/01</t>
  </si>
  <si>
    <t>131365</t>
  </si>
  <si>
    <t>BPULL</t>
  </si>
  <si>
    <t>Smallgoods - Beef Pulled PR</t>
  </si>
  <si>
    <t>BREBAKFLO</t>
  </si>
  <si>
    <t>Breads - Bakers Flour 12.5kg</t>
  </si>
  <si>
    <t>BREGARSIN</t>
  </si>
  <si>
    <t>Breads - Garlic Bread Single Pack</t>
  </si>
  <si>
    <t>BREGARTW</t>
  </si>
  <si>
    <t>Breads - Garlic Bread Twin Pack</t>
  </si>
  <si>
    <t>BREPBAS12</t>
  </si>
  <si>
    <t>Breads - Pizza Bases Gluten Free 12 inch</t>
  </si>
  <si>
    <t>BSRCKD</t>
  </si>
  <si>
    <t>Beef - Ribs Short Cooked</t>
  </si>
  <si>
    <t>CABSL</t>
  </si>
  <si>
    <t>Smallgoods - Cabanossi Sliced PR</t>
  </si>
  <si>
    <t>CANANCH</t>
  </si>
  <si>
    <t>Canned - Anchovy Fillets 690g</t>
  </si>
  <si>
    <t>CANOLIVBLK</t>
  </si>
  <si>
    <t>Canned - Olives Sliced Black A10</t>
  </si>
  <si>
    <t>CANPIN</t>
  </si>
  <si>
    <t>Canned - Pineapple Pizza Cuts</t>
  </si>
  <si>
    <t>CHEFETA</t>
  </si>
  <si>
    <t>Dairy - Cheese Feta 2kg</t>
  </si>
  <si>
    <t>CHEMOZSHR</t>
  </si>
  <si>
    <t>Dairy - Cheese Mozzarella shredded Caboolture 12kg</t>
  </si>
  <si>
    <t>CLEGLEXL</t>
  </si>
  <si>
    <t>Cleaning - Glove Vinyl Blue Exlarge (100)</t>
  </si>
  <si>
    <t>CLEGLMED</t>
  </si>
  <si>
    <t>Cleaning - Glove Vinyl Blue Medium (100)</t>
  </si>
  <si>
    <t>CPUL</t>
  </si>
  <si>
    <t>Smallgoods - Chicken Pulled PR</t>
  </si>
  <si>
    <t>DRYYEAST</t>
  </si>
  <si>
    <t>Breads - Yeast Dry Instant 500g</t>
  </si>
  <si>
    <t>PACPIZBOXMAS12</t>
  </si>
  <si>
    <t>Packaging - Pizza Box Ma's Custom 12inch (75)</t>
  </si>
  <si>
    <t>PACPIZBOXMAS15</t>
  </si>
  <si>
    <t>Packaging - Pizza Box Ma's Custom 15inch (50)</t>
  </si>
  <si>
    <t>PACPIZBOXMAS9</t>
  </si>
  <si>
    <t>Packaging - Pizza Box Ma's Custom 9inch (100)</t>
  </si>
  <si>
    <t>PRMEAT41/50</t>
  </si>
  <si>
    <t>Seafood - Prawn Meat 41/50 (1kg)</t>
  </si>
  <si>
    <t>SALCAL</t>
  </si>
  <si>
    <t>Smallgoods - Salami Calabrese PR</t>
  </si>
  <si>
    <t>SALPEPKR</t>
  </si>
  <si>
    <t>Smallgoods - Salami Pepperoni KR</t>
  </si>
  <si>
    <t>SAUPIZ</t>
  </si>
  <si>
    <t>Condiments - Sauce Pizza 5 x 3kg</t>
  </si>
  <si>
    <t>SAUSBBQJB</t>
  </si>
  <si>
    <t>Condiments - Sauce BBQ JB Pouch 5x3kg</t>
  </si>
  <si>
    <t>1086</t>
  </si>
  <si>
    <t>Ma's Pizza Kitchen Parkside Plaza</t>
  </si>
  <si>
    <t>131326/01</t>
  </si>
  <si>
    <t>131326</t>
  </si>
  <si>
    <t>131532/01</t>
  </si>
  <si>
    <t>131532</t>
  </si>
  <si>
    <t>BGRD</t>
  </si>
  <si>
    <t>Smallgoods - Beef Ground (2kg) PR</t>
  </si>
  <si>
    <t>CR131326/01</t>
  </si>
  <si>
    <t>BREPBAS9</t>
  </si>
  <si>
    <t>Breads - Pizza Bases Gluten Free 9 inch</t>
  </si>
  <si>
    <t>CANJALPEP</t>
  </si>
  <si>
    <t>Canned - Jalapeno Peppers Sliced A10</t>
  </si>
  <si>
    <t>CANPEPRSTSTR</t>
  </si>
  <si>
    <t>Canned - Roasted Pepper Strips</t>
  </si>
  <si>
    <t>CHEPARFW</t>
  </si>
  <si>
    <t>Dairy - Cheese Parmesan shaved Fred Walker 1kg</t>
  </si>
  <si>
    <t>CLEGBAG</t>
  </si>
  <si>
    <t>Cleaning - Garbage Bags Heavy Duty</t>
  </si>
  <si>
    <t>CLEGLL</t>
  </si>
  <si>
    <t>Cleaning - Glove Vinyl Blue Large (100)</t>
  </si>
  <si>
    <t>CLEWIPBROLL</t>
  </si>
  <si>
    <t>Cleaning - Wipes Blue Roll 50x30cm</t>
  </si>
  <si>
    <t>CONGARCR</t>
  </si>
  <si>
    <t>Seasoning - Garlic Crushed 1kg</t>
  </si>
  <si>
    <t>CONTANP</t>
  </si>
  <si>
    <t>Condiments - Tandoori Paste 1.15kg</t>
  </si>
  <si>
    <t>DESCUST1L</t>
  </si>
  <si>
    <t>Sweets - Custard Foster Clark UHT 1lt</t>
  </si>
  <si>
    <t>DRYIMPR</t>
  </si>
  <si>
    <t>Breads - Improver 15kg</t>
  </si>
  <si>
    <t>FOIL442L</t>
  </si>
  <si>
    <t>Packaging - Foil Container 442 lid (500)</t>
  </si>
  <si>
    <t>NUTEL</t>
  </si>
  <si>
    <t>Sweets - Nutella Piping Bag 1KG (sleeve)</t>
  </si>
  <si>
    <t>OILVEG</t>
  </si>
  <si>
    <t>Canned - Blended Vegetable Oil 20ltr</t>
  </si>
  <si>
    <t>PACFC445</t>
  </si>
  <si>
    <t>Packaging - Foil container 445x100</t>
  </si>
  <si>
    <t>PACFLID445</t>
  </si>
  <si>
    <t>Packaging - Foil Container Lid 445 x100</t>
  </si>
  <si>
    <t>PACPIZBOX18</t>
  </si>
  <si>
    <t>Packaging - Pizza Box plain 18inch (50)</t>
  </si>
  <si>
    <t>PMRIBCKD</t>
  </si>
  <si>
    <t>Pork - Ribs Meaty Cooked</t>
  </si>
  <si>
    <t>PRECGOU</t>
  </si>
  <si>
    <t>Pre-packaged - Chicken Breast Goujons 1kg</t>
  </si>
  <si>
    <t>PRECTNUG</t>
  </si>
  <si>
    <t>Pre-packaged - Chicken Tempura Nugget (1kg)</t>
  </si>
  <si>
    <t>SAUAIOGAR</t>
  </si>
  <si>
    <t>Condiments - Sauce Garlic Aioli 1L</t>
  </si>
  <si>
    <t>SAUCHOC</t>
  </si>
  <si>
    <t>Sweets - Sauce chocolate</t>
  </si>
  <si>
    <t>SAUHOLL</t>
  </si>
  <si>
    <t>Condiments - Sauce Hollandaise 1L</t>
  </si>
  <si>
    <t>SAUTOMSQ</t>
  </si>
  <si>
    <t>Condiments - Sauce Tomato Squeeze 100x14g</t>
  </si>
  <si>
    <t>131537/01</t>
  </si>
  <si>
    <t>131537</t>
  </si>
  <si>
    <t>WATER</t>
  </si>
  <si>
    <t>Canned - Spring Water (Nu-Pure)</t>
  </si>
  <si>
    <t>1087</t>
  </si>
  <si>
    <t>Ma's Pizza Kitchen Rural View</t>
  </si>
  <si>
    <t>131559/01</t>
  </si>
  <si>
    <t>131559</t>
  </si>
  <si>
    <t>131344/01</t>
  </si>
  <si>
    <t>131344</t>
  </si>
  <si>
    <t>CLEDEGR</t>
  </si>
  <si>
    <t>Cleaning - Degreaser / Floor Cleaner 5lt</t>
  </si>
  <si>
    <t>PRMEAT31/40</t>
  </si>
  <si>
    <t>Seafood - Prawn Meat 31/40 (1kg)</t>
  </si>
  <si>
    <t>SAUPLUM</t>
  </si>
  <si>
    <t>Condiments - Sauce Plum 3kg</t>
  </si>
  <si>
    <t>2076</t>
  </si>
  <si>
    <t>Francis of Assisi Home</t>
  </si>
  <si>
    <t>131346/01</t>
  </si>
  <si>
    <t>131346</t>
  </si>
  <si>
    <t>131526/01</t>
  </si>
  <si>
    <t>131526</t>
  </si>
  <si>
    <t>PSTHN</t>
  </si>
  <si>
    <t>Pork - Sausages (Thin)</t>
  </si>
  <si>
    <t>2101</t>
  </si>
  <si>
    <t>Sirrom Corporation (Aust) Pty Ltd - Glenden Motel</t>
  </si>
  <si>
    <t>131473/01</t>
  </si>
  <si>
    <t>131473</t>
  </si>
  <si>
    <t>PO080004872</t>
  </si>
  <si>
    <t>PUSA</t>
  </si>
  <si>
    <t>Pork - Ribs Sow frozen</t>
  </si>
  <si>
    <t>2102</t>
  </si>
  <si>
    <t>Sirrom Corporation (Aust) Pty Ltd - Collinsville</t>
  </si>
  <si>
    <t>131272/01</t>
  </si>
  <si>
    <t>131272</t>
  </si>
  <si>
    <t>080004795</t>
  </si>
  <si>
    <t>CDR&amp;W</t>
  </si>
  <si>
    <t>Chicken - Drumette &amp; Wingette Mix</t>
  </si>
  <si>
    <t>2115</t>
  </si>
  <si>
    <t>Village National Operations Pty Ltd - Coal</t>
  </si>
  <si>
    <t>131502/01</t>
  </si>
  <si>
    <t>131502</t>
  </si>
  <si>
    <t>131374/01</t>
  </si>
  <si>
    <t>131374</t>
  </si>
  <si>
    <t>C9QTR</t>
  </si>
  <si>
    <t>Chicken - #09 (Cut into 4) frozen</t>
  </si>
  <si>
    <t>CBRCR</t>
  </si>
  <si>
    <t>Chicken - Fillet of Breast crumbed</t>
  </si>
  <si>
    <t>CHEER</t>
  </si>
  <si>
    <t>Smallgoods - Cheerios KR</t>
  </si>
  <si>
    <t>131604/01</t>
  </si>
  <si>
    <t>131604</t>
  </si>
  <si>
    <t>DEVON</t>
  </si>
  <si>
    <t>Smallgoods - Devon KR</t>
  </si>
  <si>
    <t>PAST</t>
  </si>
  <si>
    <t>Smallgoods - Pastrami PR</t>
  </si>
  <si>
    <t>STRASS</t>
  </si>
  <si>
    <t>Smallgoods - Strassburg KR</t>
  </si>
  <si>
    <t>2116</t>
  </si>
  <si>
    <t>Village National Operations Pty Ltd - Pritchard</t>
  </si>
  <si>
    <t>131555/01</t>
  </si>
  <si>
    <t>131555</t>
  </si>
  <si>
    <t>131408/01</t>
  </si>
  <si>
    <t>131408</t>
  </si>
  <si>
    <t>2150</t>
  </si>
  <si>
    <t>Fusion 128</t>
  </si>
  <si>
    <t>131613/01</t>
  </si>
  <si>
    <t>131613</t>
  </si>
  <si>
    <t>SIRRA270</t>
  </si>
  <si>
    <t>Beef - Sirloin/Striploin Riverina Angus (270g)</t>
  </si>
  <si>
    <t>131534/01</t>
  </si>
  <si>
    <t>131534</t>
  </si>
  <si>
    <t>2187</t>
  </si>
  <si>
    <t>North Mackay Bowls Club Inc (Goosies)</t>
  </si>
  <si>
    <t>131362/01</t>
  </si>
  <si>
    <t>131362</t>
  </si>
  <si>
    <t>2202</t>
  </si>
  <si>
    <t>S W Mackay Pty Ltd T/A Wara Sushi Parkside</t>
  </si>
  <si>
    <t>131594/01</t>
  </si>
  <si>
    <t>131594</t>
  </si>
  <si>
    <t>131341/01</t>
  </si>
  <si>
    <t>131341</t>
  </si>
  <si>
    <t>131523/01</t>
  </si>
  <si>
    <t>131523</t>
  </si>
  <si>
    <t>131432/01</t>
  </si>
  <si>
    <t>131432</t>
  </si>
  <si>
    <t>PCBSL</t>
  </si>
  <si>
    <t>Pork - Collar Butt Sliced</t>
  </si>
  <si>
    <t>2236</t>
  </si>
  <si>
    <t>Pumpt Carvery Mount Pleasant</t>
  </si>
  <si>
    <t>131345/01</t>
  </si>
  <si>
    <t>131345</t>
  </si>
  <si>
    <t>131600/01</t>
  </si>
  <si>
    <t>131600</t>
  </si>
  <si>
    <t>131524/01</t>
  </si>
  <si>
    <t>131524</t>
  </si>
  <si>
    <t>131434/01</t>
  </si>
  <si>
    <t>131434</t>
  </si>
  <si>
    <t>2238</t>
  </si>
  <si>
    <t>BP Paget (Rampage Retail Pty Ltd)</t>
  </si>
  <si>
    <t>131571/01</t>
  </si>
  <si>
    <t>131571</t>
  </si>
  <si>
    <t>29633251</t>
  </si>
  <si>
    <t>131403/01</t>
  </si>
  <si>
    <t>131403</t>
  </si>
  <si>
    <t>29579928</t>
  </si>
  <si>
    <t>RU300S</t>
  </si>
  <si>
    <t>Beef - Rump Grass Fed (300g)</t>
  </si>
  <si>
    <t>TB350</t>
  </si>
  <si>
    <t>Beef - T-Bone Grain Fed MSA (350g)</t>
  </si>
  <si>
    <t>2240</t>
  </si>
  <si>
    <t>KC'S Bar &amp; Grill (Small Enterprises PL)</t>
  </si>
  <si>
    <t>131419/01</t>
  </si>
  <si>
    <t>131419</t>
  </si>
  <si>
    <t>131573/01</t>
  </si>
  <si>
    <t>131573</t>
  </si>
  <si>
    <t>RURAPC</t>
  </si>
  <si>
    <t>Beef - Rump Riverina Angus (PC)</t>
  </si>
  <si>
    <t>SIRRA250</t>
  </si>
  <si>
    <t>Beef - Sirloin/Striploin Riverina Angus (250g)</t>
  </si>
  <si>
    <t>2256</t>
  </si>
  <si>
    <t>Cater Care Services BGIS Woleebee Creek</t>
  </si>
  <si>
    <t>131316/01</t>
  </si>
  <si>
    <t>131316</t>
  </si>
  <si>
    <t>BL1557534</t>
  </si>
  <si>
    <t>CCBSR</t>
  </si>
  <si>
    <t>Beef - Ribs Short CC</t>
  </si>
  <si>
    <t>CCCFOT</t>
  </si>
  <si>
    <t>Chicken - Fillet of Thigh skinless CC</t>
  </si>
  <si>
    <t>CCCHIP</t>
  </si>
  <si>
    <t>Beef - Sausages Chipolatas CC</t>
  </si>
  <si>
    <t>CCCKS</t>
  </si>
  <si>
    <t>Smallgoods - Kransky Cheese KR CC</t>
  </si>
  <si>
    <t>CCDEVON</t>
  </si>
  <si>
    <t>Smallgoods - Devon KR CC</t>
  </si>
  <si>
    <t>CCLSHK</t>
  </si>
  <si>
    <t>Lamb - Shank Frozen CC</t>
  </si>
  <si>
    <t>CCPCB</t>
  </si>
  <si>
    <t>Pork - Collar Butt Whole CC</t>
  </si>
  <si>
    <t>CCPMIN</t>
  </si>
  <si>
    <t>Pork - Mince CC</t>
  </si>
  <si>
    <t>CCSAUSBRAT</t>
  </si>
  <si>
    <t>Pork - Sausages Bratwurst CC</t>
  </si>
  <si>
    <t>CCSIR200</t>
  </si>
  <si>
    <t>Beef - Sirloin/Striploin Grass Fed (200g) CC</t>
  </si>
  <si>
    <t>2257</t>
  </si>
  <si>
    <t>Cater Care Services BGIS Shell Ruby Jo</t>
  </si>
  <si>
    <t>131320/01</t>
  </si>
  <si>
    <t>131320</t>
  </si>
  <si>
    <t>BL1558353</t>
  </si>
  <si>
    <t>CCCMIN</t>
  </si>
  <si>
    <t>Chicken - Mince CC</t>
  </si>
  <si>
    <t>CCCMLF</t>
  </si>
  <si>
    <t>Chicken - Maryland Fillet CC</t>
  </si>
  <si>
    <t>2261</t>
  </si>
  <si>
    <t>All About Smoko</t>
  </si>
  <si>
    <t>131428/01</t>
  </si>
  <si>
    <t>131428</t>
  </si>
  <si>
    <t>2286</t>
  </si>
  <si>
    <t>BLUFF HOTEL</t>
  </si>
  <si>
    <t>LCCR</t>
  </si>
  <si>
    <t>Lamb - Cutlet (Crumbed)</t>
  </si>
  <si>
    <t>131560/01</t>
  </si>
  <si>
    <t>131560</t>
  </si>
  <si>
    <t>2295</t>
  </si>
  <si>
    <t>Sarina Beach Motel</t>
  </si>
  <si>
    <t>131549/01</t>
  </si>
  <si>
    <t>131549</t>
  </si>
  <si>
    <t>131450/01</t>
  </si>
  <si>
    <t>131450</t>
  </si>
  <si>
    <t>2297</t>
  </si>
  <si>
    <t>Lotta Latte's Cafe</t>
  </si>
  <si>
    <t>BACHSRL</t>
  </si>
  <si>
    <t>Smallgoods - Bacon Rindless Hickory Smoked PR</t>
  </si>
  <si>
    <t>131376/01</t>
  </si>
  <si>
    <t>131376</t>
  </si>
  <si>
    <t>2309</t>
  </si>
  <si>
    <t>RSL Townsville</t>
  </si>
  <si>
    <t>131311/01</t>
  </si>
  <si>
    <t>131311</t>
  </si>
  <si>
    <t>EFGFWH</t>
  </si>
  <si>
    <t>Beef - Eye Fillet/Tendeloin Grain Whole</t>
  </si>
  <si>
    <t>RBSSAND150</t>
  </si>
  <si>
    <t>Beef - Rostbiff Steak Sandwich (150g)</t>
  </si>
  <si>
    <t>2325</t>
  </si>
  <si>
    <t>Reef Gateway Hotel - AVC</t>
  </si>
  <si>
    <t>AVCCBBRPCR</t>
  </si>
  <si>
    <t>Chicken - Fillet of Breast crumbed  (10KG) AVC</t>
  </si>
  <si>
    <t>131417/01</t>
  </si>
  <si>
    <t>131417</t>
  </si>
  <si>
    <t>5596533</t>
  </si>
  <si>
    <t>2326</t>
  </si>
  <si>
    <t>Boomerang Hotel - QVC</t>
  </si>
  <si>
    <t>AVCBMIN</t>
  </si>
  <si>
    <t>Beef - Mince AVC</t>
  </si>
  <si>
    <t>131400/01</t>
  </si>
  <si>
    <t>131400</t>
  </si>
  <si>
    <t>5596840</t>
  </si>
  <si>
    <t>131602/01</t>
  </si>
  <si>
    <t>131602</t>
  </si>
  <si>
    <t>5601856</t>
  </si>
  <si>
    <t>131552/01</t>
  </si>
  <si>
    <t>131552</t>
  </si>
  <si>
    <t>5600700</t>
  </si>
  <si>
    <t>AVCCFOT</t>
  </si>
  <si>
    <t>Chicken - Fillet of Thigh skinless AVC</t>
  </si>
  <si>
    <t>AVCPBELBL</t>
  </si>
  <si>
    <t>Pork - Belly Boneless rind on AVC</t>
  </si>
  <si>
    <t>AVCPCUFT</t>
  </si>
  <si>
    <t>Pork - Cutlet French Trimmed 300g AVC</t>
  </si>
  <si>
    <t>131451/01</t>
  </si>
  <si>
    <t>131451</t>
  </si>
  <si>
    <t>5598870</t>
  </si>
  <si>
    <t>AVCPLEGBL</t>
  </si>
  <si>
    <t>Pork - Leg Boned &amp; Rolled AVC</t>
  </si>
  <si>
    <t>AVCPMIN</t>
  </si>
  <si>
    <t>Pork - Mince AVC</t>
  </si>
  <si>
    <t>AVCRB250</t>
  </si>
  <si>
    <t>Beef - Rostbiff Steak Beef City (250g) AVC</t>
  </si>
  <si>
    <t>AVCRBSSAND150</t>
  </si>
  <si>
    <t>Beef - Rostbiff Steak Sandwich (150g) AVC</t>
  </si>
  <si>
    <t>AVCRFBI400</t>
  </si>
  <si>
    <t>Beef - Rib Fillet Grain Bone-in 400g AVC</t>
  </si>
  <si>
    <t>AVCRUGFBC400</t>
  </si>
  <si>
    <t>Beef - Rump Grain Fed Beef City 400g AVC</t>
  </si>
  <si>
    <t>131399/01</t>
  </si>
  <si>
    <t>131399</t>
  </si>
  <si>
    <t>5596874</t>
  </si>
  <si>
    <t>AVCSIRGF300</t>
  </si>
  <si>
    <t>Beef - Sirloin/Striploin Grain Fed (Beef City) 300g AVC</t>
  </si>
  <si>
    <t>2331</t>
  </si>
  <si>
    <t>Metropolitan Hotel Mackay - AVC</t>
  </si>
  <si>
    <t>AVCBACDI</t>
  </si>
  <si>
    <t>Smallgoods - Bacon Diced (PR) AVC</t>
  </si>
  <si>
    <t>131614/01</t>
  </si>
  <si>
    <t>131614</t>
  </si>
  <si>
    <t>5601959</t>
  </si>
  <si>
    <t>AVCBACRLE</t>
  </si>
  <si>
    <t>Smallgoods - Bacon Rindless PR AVC</t>
  </si>
  <si>
    <t>131541/01</t>
  </si>
  <si>
    <t>131541</t>
  </si>
  <si>
    <t>5600798</t>
  </si>
  <si>
    <t>131330/01</t>
  </si>
  <si>
    <t>131330</t>
  </si>
  <si>
    <t>5597026</t>
  </si>
  <si>
    <t>AVCBSTR</t>
  </si>
  <si>
    <t>Beef - Strips AVC</t>
  </si>
  <si>
    <t>131454/01</t>
  </si>
  <si>
    <t>131454</t>
  </si>
  <si>
    <t>5598986</t>
  </si>
  <si>
    <t>AVCCPCBT/B</t>
  </si>
  <si>
    <t>Chicken - Fillet of breast fresh butterflied AVC</t>
  </si>
  <si>
    <t>AVCEFGFBC180</t>
  </si>
  <si>
    <t>Beef - Eye Fillet/Tenderloin Grain Fed (Beef City) 180g AVC</t>
  </si>
  <si>
    <t>AVCHAMSL</t>
  </si>
  <si>
    <t>Smallgoods - Ham Sliced PR AVC</t>
  </si>
  <si>
    <t>AVCLMIN</t>
  </si>
  <si>
    <t>Lamb - Mince AVC</t>
  </si>
  <si>
    <t>AVCPSHBL</t>
  </si>
  <si>
    <t>Pork - Shoulder Bone/Skinless AVC</t>
  </si>
  <si>
    <t>AVCRFGFBC300</t>
  </si>
  <si>
    <t>Beef - Rib Fillet Grain Fed (Beef City) 300g AVC</t>
  </si>
  <si>
    <t>AVCRUGFBC500</t>
  </si>
  <si>
    <t>Beef - Rump Grain Fed Beef City 500g AVC</t>
  </si>
  <si>
    <t>AVCSCRM400</t>
  </si>
  <si>
    <t>Beef - Steak Crumbed (400g) AVC</t>
  </si>
  <si>
    <t>131350/01</t>
  </si>
  <si>
    <t>131350</t>
  </si>
  <si>
    <t>2334</t>
  </si>
  <si>
    <t>Commercial Hotel - AVC</t>
  </si>
  <si>
    <t>131378/01</t>
  </si>
  <si>
    <t>131378</t>
  </si>
  <si>
    <t>5596641</t>
  </si>
  <si>
    <t>AVCCHOR</t>
  </si>
  <si>
    <t>Smallgoods - Spanish Chorizo PR AVC</t>
  </si>
  <si>
    <t>AVCHAMSHR</t>
  </si>
  <si>
    <t>Smallgoods - Ham Shredded PR AVC (4kg per ctn)</t>
  </si>
  <si>
    <t>AVCRFGFBCWH</t>
  </si>
  <si>
    <t>Beef - Rib Fillet Grain Fed (Beef City ) Whole AVC</t>
  </si>
  <si>
    <t>AVCRUGFBCWH</t>
  </si>
  <si>
    <t>Beef - Rump Grain Fed Beef City whole AVC</t>
  </si>
  <si>
    <t>AVCSALHUN</t>
  </si>
  <si>
    <t>Smallgoods - Salami Hungarian PR AVC</t>
  </si>
  <si>
    <t>AVCSALPEP</t>
  </si>
  <si>
    <t>Smallgoods - Salami Pepperoni PR AVC</t>
  </si>
  <si>
    <t>AVCSIRGFBCWH</t>
  </si>
  <si>
    <t>Beef - Sirloin/Striploin Grain Fed (Beef City) Whole AVC</t>
  </si>
  <si>
    <t>2337</t>
  </si>
  <si>
    <t>Capella Hotel - AVC</t>
  </si>
  <si>
    <t>131379/01</t>
  </si>
  <si>
    <t>131379</t>
  </si>
  <si>
    <t>5596987</t>
  </si>
  <si>
    <t>AVCLLEGBL</t>
  </si>
  <si>
    <t>Lamb - Leg (Boned &amp; Rolled) AVC</t>
  </si>
  <si>
    <t>AVCPLR99936</t>
  </si>
  <si>
    <t>Pork - Ribs Baby Back Ribs 99936 (raw) AVC</t>
  </si>
  <si>
    <t>2338</t>
  </si>
  <si>
    <t>Grand View Hotel (GVH Op Co Pty Ltd)</t>
  </si>
  <si>
    <t>WMBACRLE</t>
  </si>
  <si>
    <t>Smallgoods - Bacon Rindless PR WM</t>
  </si>
  <si>
    <t>131420/01</t>
  </si>
  <si>
    <t>131420</t>
  </si>
  <si>
    <t>WMCFOB</t>
  </si>
  <si>
    <t>Chicken - Fillet of Breast fresh WM</t>
  </si>
  <si>
    <t>WMCMLF</t>
  </si>
  <si>
    <t>Chicken - Maryland Fillet WM</t>
  </si>
  <si>
    <t>WMRUGFBCPC</t>
  </si>
  <si>
    <t>Beef - Rump Grain Fed Beef City PC WM</t>
  </si>
  <si>
    <t>2352</t>
  </si>
  <si>
    <t>Joa Sushi - Airlie Beach</t>
  </si>
  <si>
    <t>131415/01</t>
  </si>
  <si>
    <t>131415</t>
  </si>
  <si>
    <t>131563/01</t>
  </si>
  <si>
    <t>131563</t>
  </si>
  <si>
    <t>2358</t>
  </si>
  <si>
    <t>Ibis Mackay Airport (MAPL Hotel Pty Ltd - Accor)</t>
  </si>
  <si>
    <t>131551/01</t>
  </si>
  <si>
    <t>131551</t>
  </si>
  <si>
    <t>PO00704</t>
  </si>
  <si>
    <t>131452/01</t>
  </si>
  <si>
    <t>131452</t>
  </si>
  <si>
    <t>00700</t>
  </si>
  <si>
    <t>PCHIPPO</t>
  </si>
  <si>
    <t>Pork - Sausages Chipolatas</t>
  </si>
  <si>
    <t>2369</t>
  </si>
  <si>
    <t>Hotel Metropole (Metro Op Co Pty Ltd)</t>
  </si>
  <si>
    <t>WMLLEGBL</t>
  </si>
  <si>
    <t>Lamb - Leg (Boned &amp; Rolled) WM</t>
  </si>
  <si>
    <t>131564/01</t>
  </si>
  <si>
    <t>131564</t>
  </si>
  <si>
    <t>WMSIRBCPC</t>
  </si>
  <si>
    <t>Beef - Sirloin/Striploin Grain Fed (Beef City) (PC) WM</t>
  </si>
  <si>
    <t>2375</t>
  </si>
  <si>
    <t xml:space="preserve">Gilbert Street Kitchens Pty Ltd T/As The St. Food </t>
  </si>
  <si>
    <t>131470/01</t>
  </si>
  <si>
    <t>131470</t>
  </si>
  <si>
    <t>PO 7285</t>
  </si>
  <si>
    <t>131467/01</t>
  </si>
  <si>
    <t>131467</t>
  </si>
  <si>
    <t>PO-00007307</t>
  </si>
  <si>
    <t>2382</t>
  </si>
  <si>
    <t>Kilmory Pty Ltd (Broadsound)</t>
  </si>
  <si>
    <t>131579/01</t>
  </si>
  <si>
    <t>131579</t>
  </si>
  <si>
    <t>FREIGHT</t>
  </si>
  <si>
    <t>Freight Charge (Income)</t>
  </si>
  <si>
    <t>131509/01</t>
  </si>
  <si>
    <t>131509</t>
  </si>
  <si>
    <t>2387</t>
  </si>
  <si>
    <t>RSL Thuringowa</t>
  </si>
  <si>
    <t>131540/01</t>
  </si>
  <si>
    <t>131540</t>
  </si>
  <si>
    <t>131607/01</t>
  </si>
  <si>
    <t>131607</t>
  </si>
  <si>
    <t>2396</t>
  </si>
  <si>
    <t>Mirani Hotel</t>
  </si>
  <si>
    <t>131476/01</t>
  </si>
  <si>
    <t>131476</t>
  </si>
  <si>
    <t>2407</t>
  </si>
  <si>
    <t>Cater Care Services Clarke Creek</t>
  </si>
  <si>
    <t>131585/01</t>
  </si>
  <si>
    <t>131585</t>
  </si>
  <si>
    <t>BL1558113</t>
  </si>
  <si>
    <t>CCFREIGHT</t>
  </si>
  <si>
    <t>Freight - Freight Charge CC</t>
  </si>
  <si>
    <t>131588/01</t>
  </si>
  <si>
    <t>131588</t>
  </si>
  <si>
    <t>CR130505/01</t>
  </si>
  <si>
    <t>130505</t>
  </si>
  <si>
    <t>BL1543542</t>
  </si>
  <si>
    <t>2414</t>
  </si>
  <si>
    <t>The Roast Shack</t>
  </si>
  <si>
    <t>131503/01</t>
  </si>
  <si>
    <t>131503</t>
  </si>
  <si>
    <t>131605/01</t>
  </si>
  <si>
    <t>131605</t>
  </si>
  <si>
    <t>131372/01</t>
  </si>
  <si>
    <t>131372</t>
  </si>
  <si>
    <t>2418</t>
  </si>
  <si>
    <t>Retreat Hotel</t>
  </si>
  <si>
    <t>RU400S</t>
  </si>
  <si>
    <t>Beef - Rump Steer Grass Fed (400g)</t>
  </si>
  <si>
    <t>131394/01</t>
  </si>
  <si>
    <t>131394</t>
  </si>
  <si>
    <t>2425</t>
  </si>
  <si>
    <t>Village National Properties Pty Ltd - Isaac</t>
  </si>
  <si>
    <t>131367/01</t>
  </si>
  <si>
    <t>131367</t>
  </si>
  <si>
    <t>2426</t>
  </si>
  <si>
    <t>Gary Choy (Marian Fish and Chips)</t>
  </si>
  <si>
    <t>131519/01</t>
  </si>
  <si>
    <t>131519</t>
  </si>
  <si>
    <t>2429</t>
  </si>
  <si>
    <t>BIGBITE Foodtruck</t>
  </si>
  <si>
    <t>BCH</t>
  </si>
  <si>
    <t>Beef - Chuck Whole</t>
  </si>
  <si>
    <t>131459/01</t>
  </si>
  <si>
    <t>131459</t>
  </si>
  <si>
    <t>2436</t>
  </si>
  <si>
    <t>Ma's Pizza Kitchen Andergrove</t>
  </si>
  <si>
    <t>131586/01</t>
  </si>
  <si>
    <t>131586</t>
  </si>
  <si>
    <t>131363/01</t>
  </si>
  <si>
    <t>131363</t>
  </si>
  <si>
    <t>CLEGLSML</t>
  </si>
  <si>
    <t>Cleaning - Glove Vinyl Blue Small (100)</t>
  </si>
  <si>
    <t>DESBISB</t>
  </si>
  <si>
    <t>Sweets - Biscuit Base 1kg</t>
  </si>
  <si>
    <t>2439</t>
  </si>
  <si>
    <t>S W Mackay Pty Ltd T/A Wara Sushi Mt P</t>
  </si>
  <si>
    <t>131597/01</t>
  </si>
  <si>
    <t>131597</t>
  </si>
  <si>
    <t>131433/01</t>
  </si>
  <si>
    <t>131433</t>
  </si>
  <si>
    <t>131340/01</t>
  </si>
  <si>
    <t>131340</t>
  </si>
  <si>
    <t>2440</t>
  </si>
  <si>
    <t>Cater Care Services Baralaba</t>
  </si>
  <si>
    <t>131360/01</t>
  </si>
  <si>
    <t>131360</t>
  </si>
  <si>
    <t>BL1555149</t>
  </si>
  <si>
    <t>2450</t>
  </si>
  <si>
    <t>Superior Food Services Brisbane Pinkenba</t>
  </si>
  <si>
    <t>QFBMIN</t>
  </si>
  <si>
    <t>Beef - Mince (1kg x 12) QF</t>
  </si>
  <si>
    <t>CR130574/01</t>
  </si>
  <si>
    <t>130574</t>
  </si>
  <si>
    <t>PO 41015341</t>
  </si>
  <si>
    <t>QFCFOB</t>
  </si>
  <si>
    <t>Chicken - Fillet of Breast (1kg x 12) QF</t>
  </si>
  <si>
    <t>2474</t>
  </si>
  <si>
    <t>Beachfront Bar &amp; Restaurant</t>
  </si>
  <si>
    <t>131566/01</t>
  </si>
  <si>
    <t>131566</t>
  </si>
  <si>
    <t>2480</t>
  </si>
  <si>
    <t>Trinity Beach Tavern (QVC)</t>
  </si>
  <si>
    <t>131486/01</t>
  </si>
  <si>
    <t>131486</t>
  </si>
  <si>
    <t>5599564</t>
  </si>
  <si>
    <t>AVCLSKH</t>
  </si>
  <si>
    <t>Lamb - Shank King Henry Hindquarter Fresh AVC</t>
  </si>
  <si>
    <t>2481</t>
  </si>
  <si>
    <t>The Anthill (QVC)</t>
  </si>
  <si>
    <t>131427/01</t>
  </si>
  <si>
    <t>131427</t>
  </si>
  <si>
    <t>5596827</t>
  </si>
  <si>
    <t>2482</t>
  </si>
  <si>
    <t>Mount Sheridan Tavern (AVC)</t>
  </si>
  <si>
    <t>131510/01</t>
  </si>
  <si>
    <t>131510</t>
  </si>
  <si>
    <t>5600435</t>
  </si>
  <si>
    <t>2483</t>
  </si>
  <si>
    <t>Palm Cove Tavern (QVC)</t>
  </si>
  <si>
    <t>131423/01</t>
  </si>
  <si>
    <t>131423</t>
  </si>
  <si>
    <t>5595523</t>
  </si>
  <si>
    <t>2484</t>
  </si>
  <si>
    <t>Dunwoody's Tavern (QVC)</t>
  </si>
  <si>
    <t>131426/01</t>
  </si>
  <si>
    <t>131426</t>
  </si>
  <si>
    <t>5596613</t>
  </si>
  <si>
    <t>131487/01</t>
  </si>
  <si>
    <t>131487</t>
  </si>
  <si>
    <t>5599510</t>
  </si>
  <si>
    <t>2485</t>
  </si>
  <si>
    <t>Barron River Hotel (AVC)</t>
  </si>
  <si>
    <t>131424/01</t>
  </si>
  <si>
    <t>131424</t>
  </si>
  <si>
    <t>5595688</t>
  </si>
  <si>
    <t>2486</t>
  </si>
  <si>
    <t>Grafton Hotel Edmonton (QVC)</t>
  </si>
  <si>
    <t>131425/01</t>
  </si>
  <si>
    <t>131425</t>
  </si>
  <si>
    <t>2491</t>
  </si>
  <si>
    <t>Black Nugget Hotel</t>
  </si>
  <si>
    <t>131499/01</t>
  </si>
  <si>
    <t>131499</t>
  </si>
  <si>
    <t>131624/01</t>
  </si>
  <si>
    <t>131624</t>
  </si>
  <si>
    <t>2495</t>
  </si>
  <si>
    <t>Seabreeze Tavern (Seabreeze Op Co Pty Ltd)</t>
  </si>
  <si>
    <t>WMBMIN</t>
  </si>
  <si>
    <t>Beef - Mince WM</t>
  </si>
  <si>
    <t>131601/01</t>
  </si>
  <si>
    <t>131601</t>
  </si>
  <si>
    <t>WMCMIN</t>
  </si>
  <si>
    <t>Chicken - Mince WM</t>
  </si>
  <si>
    <t>131449/01</t>
  </si>
  <si>
    <t>131449</t>
  </si>
  <si>
    <t>WMPMIN</t>
  </si>
  <si>
    <t>Pork - Mince WM</t>
  </si>
  <si>
    <t>WMRUYSPC</t>
  </si>
  <si>
    <t>Beef - Rump Yardstick (PC) WM</t>
  </si>
  <si>
    <t>WMSCRM300</t>
  </si>
  <si>
    <t>Beef - Steak Crumbed (300g) WM</t>
  </si>
  <si>
    <t>2496</t>
  </si>
  <si>
    <t>Tip Top Meats</t>
  </si>
  <si>
    <t>BSSCTN</t>
  </si>
  <si>
    <t>Beef - Shabu Shabu (5 x 2kg ctn)</t>
  </si>
  <si>
    <t>131513/01</t>
  </si>
  <si>
    <t>131513</t>
  </si>
  <si>
    <t>CARLO</t>
  </si>
  <si>
    <t>2497</t>
  </si>
  <si>
    <t>Discovery Parks Biloela</t>
  </si>
  <si>
    <t>131495/01</t>
  </si>
  <si>
    <t>131495</t>
  </si>
  <si>
    <t>1762204969849</t>
  </si>
  <si>
    <t>TB300</t>
  </si>
  <si>
    <t>Beef - T-Bone Grain Fed MSA (300g)</t>
  </si>
  <si>
    <t>2502</t>
  </si>
  <si>
    <t>Commercial Hotel Kingaroy (CHK Op Co Pty Ltd)</t>
  </si>
  <si>
    <t>WMBPAT150</t>
  </si>
  <si>
    <t>Beef - Pattie 150g WM</t>
  </si>
  <si>
    <t>131301/01</t>
  </si>
  <si>
    <t>131301</t>
  </si>
  <si>
    <t>WMPLEGBL</t>
  </si>
  <si>
    <t>Pork - Leg Boned &amp; Rolled WM</t>
  </si>
  <si>
    <t>WMTB350</t>
  </si>
  <si>
    <t>Beef - T-Bone Grain Fed MSA (350g) WM</t>
  </si>
  <si>
    <t>2503</t>
  </si>
  <si>
    <t xml:space="preserve">The Commercial Hotel Motel Chinchilla (Comm Op Co </t>
  </si>
  <si>
    <t>WMCPCBB300</t>
  </si>
  <si>
    <t>Chicken - Fillet of Breast fresh butterflied 200 - 220g WM</t>
  </si>
  <si>
    <t>131315/01</t>
  </si>
  <si>
    <t>131315</t>
  </si>
  <si>
    <t>2504</t>
  </si>
  <si>
    <t>The Club Motor Inn Chinchilla (Club Op Co Pty Ltd)</t>
  </si>
  <si>
    <t>WMBSR</t>
  </si>
  <si>
    <t>Beef - Ribs Short WM</t>
  </si>
  <si>
    <t>131306/01</t>
  </si>
  <si>
    <t>131306</t>
  </si>
  <si>
    <t>WMEF250</t>
  </si>
  <si>
    <t>Beef - Eye Fillet Grass Bonded 250g WM</t>
  </si>
  <si>
    <t>WMLSHBL</t>
  </si>
  <si>
    <t>Lamb - Shoulder Boneless WM</t>
  </si>
  <si>
    <t>WMPBELBL</t>
  </si>
  <si>
    <t>Pork - Belly Boneless rind on WM</t>
  </si>
  <si>
    <t>WMTB400</t>
  </si>
  <si>
    <t>Beef - T-Bone Grain Fed MSA (400g) WM</t>
  </si>
  <si>
    <t>2505</t>
  </si>
  <si>
    <t>The Australian Hotel Motel (St George Op Co Pty Lt</t>
  </si>
  <si>
    <t>WMBDI</t>
  </si>
  <si>
    <t>Beef - Diced WM</t>
  </si>
  <si>
    <t>131314/01</t>
  </si>
  <si>
    <t>131314</t>
  </si>
  <si>
    <t>WMBLD</t>
  </si>
  <si>
    <t>Beef - Blade/Bolar WM</t>
  </si>
  <si>
    <t>WMBSTR</t>
  </si>
  <si>
    <t>Beef - Strips WM</t>
  </si>
  <si>
    <t>WMCDI</t>
  </si>
  <si>
    <t>Chicken - Diced WM</t>
  </si>
  <si>
    <t>WMCDR&amp;W</t>
  </si>
  <si>
    <t>Chicken - Drumette &amp; Wingette Mix WM</t>
  </si>
  <si>
    <t>WMCFOTSON</t>
  </si>
  <si>
    <t>Chicken - Fillet of Thigh Skin On WM</t>
  </si>
  <si>
    <t>WMCPCB300</t>
  </si>
  <si>
    <t>Chicken - Fillet of Breast fresh (300g) WM</t>
  </si>
  <si>
    <t>WMLDI</t>
  </si>
  <si>
    <t>Lamb - Diced Fresh WM</t>
  </si>
  <si>
    <t>WMPSTHK</t>
  </si>
  <si>
    <t>Pork - Sausages (Thick) WM</t>
  </si>
  <si>
    <t>WMRF300</t>
  </si>
  <si>
    <t>Beef - Rib Fillet Grass 300g WM</t>
  </si>
  <si>
    <t>WMROSBPC</t>
  </si>
  <si>
    <t>Beef - Rostbiff Grain Fed (PC) 250g - 120 day</t>
  </si>
  <si>
    <t>WMTB300</t>
  </si>
  <si>
    <t>Beef - T-Bone Grain Fed MSA (300g) WM</t>
  </si>
  <si>
    <t>2506</t>
  </si>
  <si>
    <t>Windsor Hotel Dalby (Windsor Op Co Pty Ltd)</t>
  </si>
  <si>
    <t>131458/01</t>
  </si>
  <si>
    <t>131458</t>
  </si>
  <si>
    <t>WMGDI</t>
  </si>
  <si>
    <t>Game - Goat diced WM</t>
  </si>
  <si>
    <t>2509</t>
  </si>
  <si>
    <t>Birch Hotel Capella</t>
  </si>
  <si>
    <t>131500/01</t>
  </si>
  <si>
    <t>131500</t>
  </si>
  <si>
    <t>2510</t>
  </si>
  <si>
    <t>Sirrom Corporation (Aust) Pty Ltd - Burton Mine</t>
  </si>
  <si>
    <t>BACDIKR</t>
  </si>
  <si>
    <t>Smallgoods - Bacon Diced (KR)</t>
  </si>
  <si>
    <t>131338/01</t>
  </si>
  <si>
    <t>131338</t>
  </si>
  <si>
    <t>080004757</t>
  </si>
  <si>
    <t>SCRM120</t>
  </si>
  <si>
    <t>Beef - Steak Crumbed (120g)</t>
  </si>
  <si>
    <t>2511</t>
  </si>
  <si>
    <t>Stockman's Australia Pty Ltd</t>
  </si>
  <si>
    <t>792</t>
  </si>
  <si>
    <t>Chicken - Nibbles Variety</t>
  </si>
  <si>
    <t>131506/01</t>
  </si>
  <si>
    <t>131506</t>
  </si>
  <si>
    <t>PO 19703</t>
  </si>
  <si>
    <t>8065</t>
  </si>
  <si>
    <t>Chicken - Frames Oakfield</t>
  </si>
  <si>
    <t>2523</t>
  </si>
  <si>
    <t>Colonial Palms Motor Inn</t>
  </si>
  <si>
    <t>131562/01</t>
  </si>
  <si>
    <t>131562</t>
  </si>
  <si>
    <t>2530</t>
  </si>
  <si>
    <t>Kookaburra Store Mirani</t>
  </si>
  <si>
    <t>131488/01</t>
  </si>
  <si>
    <t>131488</t>
  </si>
  <si>
    <t>2540</t>
  </si>
  <si>
    <t>Cater Care Services Osborne Operations</t>
  </si>
  <si>
    <t>131317/01</t>
  </si>
  <si>
    <t>131317</t>
  </si>
  <si>
    <t>BL1557638</t>
  </si>
  <si>
    <t>CCBRISK</t>
  </si>
  <si>
    <t>Beef - Brisket Point End CC</t>
  </si>
  <si>
    <t>CCPSR</t>
  </si>
  <si>
    <t>Pork - Ribs Spare CC</t>
  </si>
  <si>
    <t>CCSCRM</t>
  </si>
  <si>
    <t>Beef - Steak Crumbed CC</t>
  </si>
  <si>
    <t>CCTURKBB</t>
  </si>
  <si>
    <t>Game - Turkey Breast Buffet Boneless joint on CC</t>
  </si>
  <si>
    <t>2542</t>
  </si>
  <si>
    <t>Compass Group Australia Pty Ltd (Cathedral College</t>
  </si>
  <si>
    <t>CGBDI</t>
  </si>
  <si>
    <t>Beef - Diced CG</t>
  </si>
  <si>
    <t>131336/01</t>
  </si>
  <si>
    <t>131336</t>
  </si>
  <si>
    <t>C65003704</t>
  </si>
  <si>
    <t>CGBMIN90</t>
  </si>
  <si>
    <t>Beef - Mince 90cl CG</t>
  </si>
  <si>
    <t>131348/01</t>
  </si>
  <si>
    <t>131348</t>
  </si>
  <si>
    <t>C65037375</t>
  </si>
  <si>
    <t>CGLDI</t>
  </si>
  <si>
    <t>Lamb - Diced Frozen 25mm CG</t>
  </si>
  <si>
    <t>CGPMIN</t>
  </si>
  <si>
    <t>Pork - Mince CG</t>
  </si>
  <si>
    <t>CGPSHBL</t>
  </si>
  <si>
    <t>Pork - Shoulder Bone/Skinless CG</t>
  </si>
  <si>
    <t>CGPSTHN</t>
  </si>
  <si>
    <t>Pork - Sausages (Thin) CG</t>
  </si>
  <si>
    <t>CGPSTR</t>
  </si>
  <si>
    <t>Pork - Strips CG</t>
  </si>
  <si>
    <t>CGTS</t>
  </si>
  <si>
    <t>Beef - Topside whole Cap On CG</t>
  </si>
  <si>
    <t>2545</t>
  </si>
  <si>
    <t>Compass Group Australia Pty Ltd (JCU George Robert</t>
  </si>
  <si>
    <t>CGBCH</t>
  </si>
  <si>
    <t>Beef - Chuck Whole CG</t>
  </si>
  <si>
    <t>131334/01</t>
  </si>
  <si>
    <t>131334</t>
  </si>
  <si>
    <t>C65002323</t>
  </si>
  <si>
    <t>CGBPAT150</t>
  </si>
  <si>
    <t>Beef - Pattie 150g CG</t>
  </si>
  <si>
    <t>CGBRISK</t>
  </si>
  <si>
    <t>Beef - Brisket Point End CG</t>
  </si>
  <si>
    <t>CGBSTR</t>
  </si>
  <si>
    <t>Beef - Strips CG</t>
  </si>
  <si>
    <t>CGPCRM</t>
  </si>
  <si>
    <t>Pork - Schnitzel Crumbed CG</t>
  </si>
  <si>
    <t>CGPLCH</t>
  </si>
  <si>
    <t>Pork - Chop Loin frozen CG</t>
  </si>
  <si>
    <t>2548</t>
  </si>
  <si>
    <t>Compass Group Australia Pty Ltd (RAAF TSV Combined</t>
  </si>
  <si>
    <t>131335/01</t>
  </si>
  <si>
    <t>131335</t>
  </si>
  <si>
    <t>C65001884</t>
  </si>
  <si>
    <t>CGLMIN</t>
  </si>
  <si>
    <t>Lamb - Mince (HALAL) CG</t>
  </si>
  <si>
    <t>131347/01</t>
  </si>
  <si>
    <t>131347</t>
  </si>
  <si>
    <t>C65037417</t>
  </si>
  <si>
    <t>CGPBELBL</t>
  </si>
  <si>
    <t>Pork - Belly Boneless rind on CG</t>
  </si>
  <si>
    <t>CR131092/01</t>
  </si>
  <si>
    <t>131092</t>
  </si>
  <si>
    <t>C64913835</t>
  </si>
  <si>
    <t>CGPDI</t>
  </si>
  <si>
    <t>Pork - Diced CG</t>
  </si>
  <si>
    <t>CGPLEGBL</t>
  </si>
  <si>
    <t>Pork - Leg Boned &amp; Rolled CG</t>
  </si>
  <si>
    <t>CGRUGFWH</t>
  </si>
  <si>
    <t>Beef - Rump Grain Fed Mine whole CG</t>
  </si>
  <si>
    <t>CGSTHN</t>
  </si>
  <si>
    <t>Beef - Sausages (Thin) CG</t>
  </si>
  <si>
    <t>2550</t>
  </si>
  <si>
    <t>Compass Group Australia Pty Ltd (Qantas Club TSV)</t>
  </si>
  <si>
    <t>131333/01</t>
  </si>
  <si>
    <t>131333</t>
  </si>
  <si>
    <t>C64983993</t>
  </si>
  <si>
    <t>CGCHIP</t>
  </si>
  <si>
    <t>Beef - Sausages Chipolatas CG</t>
  </si>
  <si>
    <t>131353/01</t>
  </si>
  <si>
    <t>131353</t>
  </si>
  <si>
    <t>C65037493</t>
  </si>
  <si>
    <t>CGCMIN</t>
  </si>
  <si>
    <t>Chicken - Mince CG</t>
  </si>
  <si>
    <t>131349/01</t>
  </si>
  <si>
    <t>131349</t>
  </si>
  <si>
    <t>0556066</t>
  </si>
  <si>
    <t>2552</t>
  </si>
  <si>
    <t>Compass Group Australia Pty Ltd (Terowie Village)</t>
  </si>
  <si>
    <t>CGBACAUS</t>
  </si>
  <si>
    <t>Smallgoods - Bacon AUS R/L CG</t>
  </si>
  <si>
    <t>131274/01</t>
  </si>
  <si>
    <t>131274</t>
  </si>
  <si>
    <t>0553865</t>
  </si>
  <si>
    <t>CGCPCR200</t>
  </si>
  <si>
    <t>Chicken - Crumbed Breast Panko 200g CG</t>
  </si>
  <si>
    <t>131627/01</t>
  </si>
  <si>
    <t>131627</t>
  </si>
  <si>
    <t>REQ0557327</t>
  </si>
  <si>
    <t>CGDUCKBR</t>
  </si>
  <si>
    <t>Game - Duck Breast (220g) CG</t>
  </si>
  <si>
    <t>131623/01</t>
  </si>
  <si>
    <t>131623</t>
  </si>
  <si>
    <t>REQ0553866</t>
  </si>
  <si>
    <t>CGRU200S</t>
  </si>
  <si>
    <t>Beef - Rump Grass Fed (200g) CG</t>
  </si>
  <si>
    <t>CGSOTW</t>
  </si>
  <si>
    <t>Meat - Sausages of the Week CG</t>
  </si>
  <si>
    <t>2553</t>
  </si>
  <si>
    <t>Compass Group Australia Pty Ltd (Buffel Park)</t>
  </si>
  <si>
    <t>131626/01</t>
  </si>
  <si>
    <t>131626</t>
  </si>
  <si>
    <t>REQ0557497</t>
  </si>
  <si>
    <t>CGLLEGBL</t>
  </si>
  <si>
    <t>Lamb - Leg (Boned &amp; Rolled) CG</t>
  </si>
  <si>
    <t>2557</t>
  </si>
  <si>
    <t>Compass Group Australia Pty Ltd (Hail Creek Cateri</t>
  </si>
  <si>
    <t>131412/01</t>
  </si>
  <si>
    <t>131412</t>
  </si>
  <si>
    <t>0555921</t>
  </si>
  <si>
    <t>131337/01</t>
  </si>
  <si>
    <t>131337</t>
  </si>
  <si>
    <t>C64983277</t>
  </si>
  <si>
    <t>CGCFOB</t>
  </si>
  <si>
    <t>Chicken - Fillet of Breast frozen CG</t>
  </si>
  <si>
    <t>CGRU250S</t>
  </si>
  <si>
    <t>Beef - Rump Steer Grass Fed (250g) CG</t>
  </si>
  <si>
    <t>2558</t>
  </si>
  <si>
    <t>Pats Sapphire Central</t>
  </si>
  <si>
    <t>131390/01</t>
  </si>
  <si>
    <t>131390</t>
  </si>
  <si>
    <t>2561</t>
  </si>
  <si>
    <t>Augusta Farms Meat Market</t>
  </si>
  <si>
    <t>131505/01</t>
  </si>
  <si>
    <t>131505</t>
  </si>
  <si>
    <t>CFOTSON</t>
  </si>
  <si>
    <t>Chicken - Fillet of Thigh Skin on</t>
  </si>
  <si>
    <t>CHCUT</t>
  </si>
  <si>
    <t>Chicken - Thigh Cutlet (Skin on)</t>
  </si>
  <si>
    <t>2562</t>
  </si>
  <si>
    <t>Baiada Poultry Pty ltd</t>
  </si>
  <si>
    <t>131455/01</t>
  </si>
  <si>
    <t>131455</t>
  </si>
  <si>
    <t>131584/01</t>
  </si>
  <si>
    <t>131584</t>
  </si>
  <si>
    <t>131396/01</t>
  </si>
  <si>
    <t>131396</t>
  </si>
  <si>
    <t>131507/01</t>
  </si>
  <si>
    <t>131507</t>
  </si>
  <si>
    <t>2564</t>
  </si>
  <si>
    <t>Aliant Food Service</t>
  </si>
  <si>
    <t>CTDRBURSPCA15</t>
  </si>
  <si>
    <t>Chicken - Burger Urge Tenderloin RSPCA (6x2.5kg)</t>
  </si>
  <si>
    <t>131491/01</t>
  </si>
  <si>
    <t>131491</t>
  </si>
  <si>
    <t>PO 30013314</t>
  </si>
  <si>
    <t>PCBURSPCA15</t>
  </si>
  <si>
    <t>Chicken - Burger Urge Breast RSPCA (6x2.5kg)</t>
  </si>
  <si>
    <t>2567</t>
  </si>
  <si>
    <t>Compass Group Australia Pty Ltd (Ross Island Barra</t>
  </si>
  <si>
    <t>CGBDI25</t>
  </si>
  <si>
    <t>131422/01</t>
  </si>
  <si>
    <t>131422</t>
  </si>
  <si>
    <t>C65052851</t>
  </si>
  <si>
    <t>2568</t>
  </si>
  <si>
    <t>Compass Group Australia Pty Ltd (Lavarack - Easter</t>
  </si>
  <si>
    <t>131462/01</t>
  </si>
  <si>
    <t>131462</t>
  </si>
  <si>
    <t>C65060950</t>
  </si>
  <si>
    <t>131332/01</t>
  </si>
  <si>
    <t>131332</t>
  </si>
  <si>
    <t>C64961010</t>
  </si>
  <si>
    <t>CGBSM</t>
  </si>
  <si>
    <t>Beef - Sausage Mince CG</t>
  </si>
  <si>
    <t>CGPCB</t>
  </si>
  <si>
    <t>Pork - Collar Butt Whole CG</t>
  </si>
  <si>
    <t>2569</t>
  </si>
  <si>
    <t>Compass Group Australia Pty Ltd (Lavarack - Centra</t>
  </si>
  <si>
    <t>131463/01</t>
  </si>
  <si>
    <t>131463</t>
  </si>
  <si>
    <t>C65061333</t>
  </si>
  <si>
    <t>2589</t>
  </si>
  <si>
    <t>Compass Group Australia Pty Ltd (Lavarack - Cadets</t>
  </si>
  <si>
    <t>131300/01</t>
  </si>
  <si>
    <t>131300</t>
  </si>
  <si>
    <t>C65034784</t>
  </si>
  <si>
    <t>131464/01</t>
  </si>
  <si>
    <t>131464</t>
  </si>
  <si>
    <t>C65061458</t>
  </si>
  <si>
    <t>CGPSTHK</t>
  </si>
  <si>
    <t>Pork - Sausages (Thick) CG</t>
  </si>
  <si>
    <t>CGRISS</t>
  </si>
  <si>
    <t>Beef - Rissoles CG</t>
  </si>
  <si>
    <t>2591</t>
  </si>
  <si>
    <t>Sirrom Corporation (Aust) Pty Ltd - Foxleigh Villa</t>
  </si>
  <si>
    <t>131574/01</t>
  </si>
  <si>
    <t>131574</t>
  </si>
  <si>
    <t>PO080004848</t>
  </si>
  <si>
    <t>2606</t>
  </si>
  <si>
    <t>Theo's Cafe (Jay Mahakali Pty Ltd)</t>
  </si>
  <si>
    <t>131550/01</t>
  </si>
  <si>
    <t>131550</t>
  </si>
  <si>
    <t>2608</t>
  </si>
  <si>
    <t>Souths Leagues Club</t>
  </si>
  <si>
    <t>131538/01</t>
  </si>
  <si>
    <t>131538</t>
  </si>
  <si>
    <t>INSCO</t>
  </si>
  <si>
    <t>Beef - Topside whole Inscos Cap Off</t>
  </si>
  <si>
    <t>CR131254/01</t>
  </si>
  <si>
    <t>131254</t>
  </si>
  <si>
    <t>LFRY</t>
  </si>
  <si>
    <t>Lamb - Lamb Fry</t>
  </si>
  <si>
    <t>2609</t>
  </si>
  <si>
    <t>Souths Suburban Bowls Club</t>
  </si>
  <si>
    <t>131453/01</t>
  </si>
  <si>
    <t>131453</t>
  </si>
  <si>
    <t>2610</t>
  </si>
  <si>
    <t>Sirrom Corporation (Aust) Pty Ltd - Gracemere Vill</t>
  </si>
  <si>
    <t>131430/01</t>
  </si>
  <si>
    <t>131430</t>
  </si>
  <si>
    <t>080004864</t>
  </si>
  <si>
    <t>2615</t>
  </si>
  <si>
    <t>Barto Gold Mining Pty Ltd</t>
  </si>
  <si>
    <t>131304/01</t>
  </si>
  <si>
    <t>131304</t>
  </si>
  <si>
    <t>45040734</t>
  </si>
  <si>
    <t>2617</t>
  </si>
  <si>
    <t>QRI Services Pty Ltd</t>
  </si>
  <si>
    <t>131622/01</t>
  </si>
  <si>
    <t>131622</t>
  </si>
  <si>
    <t>2623</t>
  </si>
  <si>
    <t>Walkerston Bakery (Jostro Pty Ltd)</t>
  </si>
  <si>
    <t>131539/01</t>
  </si>
  <si>
    <t>131539</t>
  </si>
  <si>
    <t>131357/01</t>
  </si>
  <si>
    <t>131357</t>
  </si>
  <si>
    <t>BKID</t>
  </si>
  <si>
    <t>Beef - Kidney</t>
  </si>
  <si>
    <t>2624</t>
  </si>
  <si>
    <t>Sirrom Corporation (Aust) Pty Ltd - Susan River Vi</t>
  </si>
  <si>
    <t>131380/01</t>
  </si>
  <si>
    <t>131380</t>
  </si>
  <si>
    <t>080004819</t>
  </si>
  <si>
    <t>CDRUMFIL</t>
  </si>
  <si>
    <t>Chicken - Drumstick fillet skinless</t>
  </si>
  <si>
    <t>2625</t>
  </si>
  <si>
    <t>The Real Korean Restaurant Pty Ltd</t>
  </si>
  <si>
    <t>131343/01</t>
  </si>
  <si>
    <t>131343</t>
  </si>
  <si>
    <t>2629</t>
  </si>
  <si>
    <t>Sirrom Corporation (Aust) Pty Ltd - Wandoan</t>
  </si>
  <si>
    <t>131324/01</t>
  </si>
  <si>
    <t>131324</t>
  </si>
  <si>
    <t>080004836</t>
  </si>
  <si>
    <t>2630</t>
  </si>
  <si>
    <t>Artisan Bakehouse Whitsundays</t>
  </si>
  <si>
    <t>131561/01</t>
  </si>
  <si>
    <t>131561</t>
  </si>
  <si>
    <t>131416/01</t>
  </si>
  <si>
    <t>131416</t>
  </si>
  <si>
    <t>2631</t>
  </si>
  <si>
    <t>BGIS Pty Ltd - Charlie Camp</t>
  </si>
  <si>
    <t>131321/01</t>
  </si>
  <si>
    <t>131321</t>
  </si>
  <si>
    <t>16694865</t>
  </si>
  <si>
    <t>PP</t>
  </si>
  <si>
    <t>Pork - Pickled</t>
  </si>
  <si>
    <t>2634</t>
  </si>
  <si>
    <t>Compass Group Australia Pty Ltd (Qantas Club CNS)</t>
  </si>
  <si>
    <t>131318/01</t>
  </si>
  <si>
    <t>131318</t>
  </si>
  <si>
    <t>C65036197</t>
  </si>
  <si>
    <t>2635</t>
  </si>
  <si>
    <t>Compass Group Australia Pty Ltd (Northern Heritage</t>
  </si>
  <si>
    <t>131339/01</t>
  </si>
  <si>
    <t>131339</t>
  </si>
  <si>
    <t>C65036634</t>
  </si>
  <si>
    <t>2637</t>
  </si>
  <si>
    <t>Cattle Camp Op Co Pty Ltd</t>
  </si>
  <si>
    <t>WMCPCB250</t>
  </si>
  <si>
    <t>Chicken - Fillet of Breast fresh (250g) WM</t>
  </si>
  <si>
    <t>131309/01</t>
  </si>
  <si>
    <t>131309</t>
  </si>
  <si>
    <t>WMRUGFWH</t>
  </si>
  <si>
    <t>Beef - Rump Grain Fed Beef City Whole WM</t>
  </si>
  <si>
    <t>2639</t>
  </si>
  <si>
    <t>Moorvale Earthmoving Pty Ltd</t>
  </si>
  <si>
    <t>131275/01</t>
  </si>
  <si>
    <t>131275</t>
  </si>
  <si>
    <t xml:space="preserve"> MEOH01-0070274</t>
  </si>
  <si>
    <t>2642</t>
  </si>
  <si>
    <t>Isa Hotel (MIH Op Co Pty Ltd)</t>
  </si>
  <si>
    <t>131308/01</t>
  </si>
  <si>
    <t>131308</t>
  </si>
  <si>
    <t>WMLFQRACK</t>
  </si>
  <si>
    <t>Lamb - Rack Forequarter  WM</t>
  </si>
  <si>
    <t>WMPRMEAT41/50</t>
  </si>
  <si>
    <t>Seafood - Prawn Meat 41/50 (1kg) WM</t>
  </si>
  <si>
    <t>WMRUWAGPC</t>
  </si>
  <si>
    <t>Beef - Rump Wagyu 6/7 Score (PC) WM</t>
  </si>
  <si>
    <t>WMSQSTR</t>
  </si>
  <si>
    <t>Seafood - Squid Strips 1kg WM</t>
  </si>
  <si>
    <t>2647</t>
  </si>
  <si>
    <t>Mackay Private Hospital Pty Ltd (Rehabilitation)</t>
  </si>
  <si>
    <t>131529/01</t>
  </si>
  <si>
    <t>131529</t>
  </si>
  <si>
    <t>2654</t>
  </si>
  <si>
    <t>BP Moss Marine (Quattro Retail Pty Ltd)</t>
  </si>
  <si>
    <t>131369/01</t>
  </si>
  <si>
    <t>131369</t>
  </si>
  <si>
    <t>29582279</t>
  </si>
  <si>
    <t>2655</t>
  </si>
  <si>
    <t>Lees Hotel Ingham (Lees Op Co Pty Limited)</t>
  </si>
  <si>
    <t>131310/01</t>
  </si>
  <si>
    <t>131310</t>
  </si>
  <si>
    <t>2662</t>
  </si>
  <si>
    <t>Cape Gloucester Resort</t>
  </si>
  <si>
    <t>131569/01</t>
  </si>
  <si>
    <t>131569</t>
  </si>
  <si>
    <t>131413/01</t>
  </si>
  <si>
    <t>131413</t>
  </si>
  <si>
    <t>2664</t>
  </si>
  <si>
    <t>Sirrom Corporation (Aust) Pty Ltd - Wilpinjong</t>
  </si>
  <si>
    <t>131356/01</t>
  </si>
  <si>
    <t>131356</t>
  </si>
  <si>
    <t>080004602</t>
  </si>
  <si>
    <t>SIR300</t>
  </si>
  <si>
    <t>Beef - Sirloin/Striploin Grass Fed (300g)</t>
  </si>
  <si>
    <t>2669</t>
  </si>
  <si>
    <t>Compass Group Australia Pty Ltd (Grosvenor Caterin</t>
  </si>
  <si>
    <t>131266/01</t>
  </si>
  <si>
    <t>131266</t>
  </si>
  <si>
    <t>C64915440</t>
  </si>
  <si>
    <t>2673</t>
  </si>
  <si>
    <t>McGuires Hotel (MKY ENT Pty Ltd)</t>
  </si>
  <si>
    <t>131446/01</t>
  </si>
  <si>
    <t>131446</t>
  </si>
  <si>
    <t>2674</t>
  </si>
  <si>
    <t>Euro Fusion Cafe (Teresa Martin)</t>
  </si>
  <si>
    <t>131578/01</t>
  </si>
  <si>
    <t>131578</t>
  </si>
  <si>
    <t>2675</t>
  </si>
  <si>
    <t>Sirrom Corporation (Aust) Pty Ltd - Lotus Creek Vi</t>
  </si>
  <si>
    <t>131583/01</t>
  </si>
  <si>
    <t>131583</t>
  </si>
  <si>
    <t>8000411</t>
  </si>
  <si>
    <t>2677</t>
  </si>
  <si>
    <t>Cater Care Services Lady Loretta</t>
  </si>
  <si>
    <t>131421/01</t>
  </si>
  <si>
    <t>131421</t>
  </si>
  <si>
    <t>BL1557272</t>
  </si>
  <si>
    <t>2680</t>
  </si>
  <si>
    <t>AIM Mining Corporation (Warrawoona Village)</t>
  </si>
  <si>
    <t>131305/01</t>
  </si>
  <si>
    <t>131305</t>
  </si>
  <si>
    <t>20015341</t>
  </si>
  <si>
    <t>PRWH</t>
  </si>
  <si>
    <t>Smallgoods - Pork Roast whole cooked PR</t>
  </si>
  <si>
    <t>2681</t>
  </si>
  <si>
    <t>Simon George &amp; Sons (Brisbane)</t>
  </si>
  <si>
    <t>LOTUS</t>
  </si>
  <si>
    <t>Vegetable delivery to Lotus Creek</t>
  </si>
  <si>
    <t>131587/01</t>
  </si>
  <si>
    <t>131587</t>
  </si>
  <si>
    <t>131518/01</t>
  </si>
  <si>
    <t>131518</t>
  </si>
  <si>
    <t>2683</t>
  </si>
  <si>
    <t>Ampol Nebo (AK Nebo Pty Ltd)</t>
  </si>
  <si>
    <t>131469/01</t>
  </si>
  <si>
    <t>131469</t>
  </si>
  <si>
    <t>131621/01</t>
  </si>
  <si>
    <t>131621</t>
  </si>
  <si>
    <t>CR131469/01</t>
  </si>
  <si>
    <t>RUGF450</t>
  </si>
  <si>
    <t>Beef - Rump Grain Fed Beef City (450g)</t>
  </si>
  <si>
    <t>2685</t>
  </si>
  <si>
    <t>Merinda Village Hotel (MVillage Trading Trust)</t>
  </si>
  <si>
    <t>131418/01</t>
  </si>
  <si>
    <t>131418</t>
  </si>
  <si>
    <t>131582/01</t>
  </si>
  <si>
    <t>131582</t>
  </si>
  <si>
    <t>SCRM300</t>
  </si>
  <si>
    <t>Beef - Steak Crumbed (300g)</t>
  </si>
  <si>
    <t>SIRRA300</t>
  </si>
  <si>
    <t>Beef - Sirloin/Striploin Riverina Angus PC (300g)</t>
  </si>
  <si>
    <t>2690</t>
  </si>
  <si>
    <t>Gamekeeper Enterprises (Palace Hotel Proserpine)</t>
  </si>
  <si>
    <t>131581/01</t>
  </si>
  <si>
    <t>131581</t>
  </si>
  <si>
    <t>TDSCRM300</t>
  </si>
  <si>
    <t>Beef - Steak Crumbed (300g) TD</t>
  </si>
  <si>
    <t>2693</t>
  </si>
  <si>
    <t>Compass Group Australia Pty Ltd (Anglo Living - Ca</t>
  </si>
  <si>
    <t>131575/01</t>
  </si>
  <si>
    <t>131575</t>
  </si>
  <si>
    <t>REQ0556819</t>
  </si>
  <si>
    <t>131576/01</t>
  </si>
  <si>
    <t>131576</t>
  </si>
  <si>
    <t>C64937631</t>
  </si>
  <si>
    <t>2694</t>
  </si>
  <si>
    <t>Compass Group Australia Pty Ltd (Anglo Living - Da</t>
  </si>
  <si>
    <t>131354/01</t>
  </si>
  <si>
    <t>131354</t>
  </si>
  <si>
    <t>C64979682</t>
  </si>
  <si>
    <t>2697</t>
  </si>
  <si>
    <t>Total Food Network Australia (APMS NQ Pty Ltd)</t>
  </si>
  <si>
    <t>RFBIWH</t>
  </si>
  <si>
    <t>Beef - Rib Fillet Grain Bone-in whole</t>
  </si>
  <si>
    <t>131438/01</t>
  </si>
  <si>
    <t>131438</t>
  </si>
  <si>
    <t>2698</t>
  </si>
  <si>
    <t>Mount Morgan Space Solutions Pty Ltd</t>
  </si>
  <si>
    <t>131492/01</t>
  </si>
  <si>
    <t>131492</t>
  </si>
  <si>
    <t>2701</t>
  </si>
  <si>
    <t>Dingo Beach Hotel</t>
  </si>
  <si>
    <t>131572/01</t>
  </si>
  <si>
    <t>131572</t>
  </si>
  <si>
    <t>CBRCR300</t>
  </si>
  <si>
    <t>Chicken - Fillet of Breast crumbed (300g)</t>
  </si>
  <si>
    <t>131414/01</t>
  </si>
  <si>
    <t>131414</t>
  </si>
  <si>
    <t>RURA350</t>
  </si>
  <si>
    <t>Beef - Rump Riverina Angus (350g)</t>
  </si>
  <si>
    <t>2703</t>
  </si>
  <si>
    <t>Koumala Hotel (Permanent Way Solution)</t>
  </si>
  <si>
    <t>131456/01</t>
  </si>
  <si>
    <t>131456</t>
  </si>
  <si>
    <t>2705</t>
  </si>
  <si>
    <t>Civeo Pty Ltd (Rosewood)</t>
  </si>
  <si>
    <t>131265/01</t>
  </si>
  <si>
    <t>131265</t>
  </si>
  <si>
    <t>563400OF</t>
  </si>
  <si>
    <t>131577/01</t>
  </si>
  <si>
    <t>131577</t>
  </si>
  <si>
    <t>563978</t>
  </si>
  <si>
    <t>CIVPCBSL</t>
  </si>
  <si>
    <t>Pork - Collar Butt Sliced 180-220g CIV</t>
  </si>
  <si>
    <t>CIVPSTHN</t>
  </si>
  <si>
    <t>Pork - Sausages (Thin) CIV</t>
  </si>
  <si>
    <t>CIVTBGF250</t>
  </si>
  <si>
    <t>Beef - T-Bone Grain Fed (250g) CIV</t>
  </si>
  <si>
    <t>2706</t>
  </si>
  <si>
    <t>Civeo Pty Ltd (Waratah)</t>
  </si>
  <si>
    <t>131517/01</t>
  </si>
  <si>
    <t>131517</t>
  </si>
  <si>
    <t>563975</t>
  </si>
  <si>
    <t>131381/01</t>
  </si>
  <si>
    <t>131381</t>
  </si>
  <si>
    <t>563155OF</t>
  </si>
  <si>
    <t>2711</t>
  </si>
  <si>
    <t>Chick-A-Dee Gourmet Food Bar</t>
  </si>
  <si>
    <t>C16SM</t>
  </si>
  <si>
    <t>Chicken - #16 Seasoned+Marinated Fresh CTN</t>
  </si>
  <si>
    <t>131610/01</t>
  </si>
  <si>
    <t>131610</t>
  </si>
  <si>
    <t>131472/01</t>
  </si>
  <si>
    <t>131472</t>
  </si>
  <si>
    <t>2729</t>
  </si>
  <si>
    <t>Sandisl Pty Ltd</t>
  </si>
  <si>
    <t>CBIN</t>
  </si>
  <si>
    <t>Chicken - Bin bulk fresh</t>
  </si>
  <si>
    <t>19269</t>
  </si>
  <si>
    <t>GOLDEN COCKEREL</t>
  </si>
  <si>
    <t>9001380443</t>
  </si>
  <si>
    <t>COGS CHICKEN</t>
  </si>
  <si>
    <t>Cost of Goods Sold - Chicken</t>
  </si>
  <si>
    <t>19270</t>
  </si>
  <si>
    <t>9001380620</t>
  </si>
  <si>
    <t>19271</t>
  </si>
  <si>
    <t>SANDISL</t>
  </si>
  <si>
    <t>9001380973</t>
  </si>
  <si>
    <t>COGS DRY GOODS</t>
  </si>
  <si>
    <t>Cost of Goods Sold - Dry Goods</t>
  </si>
  <si>
    <t>19275</t>
  </si>
  <si>
    <t>VADALS</t>
  </si>
  <si>
    <t>808603</t>
  </si>
  <si>
    <t>REPAIRS EQUIPMENT</t>
  </si>
  <si>
    <t>Repairs and Maintenance Equipment</t>
  </si>
  <si>
    <t>19265</t>
  </si>
  <si>
    <t>VEMAG</t>
  </si>
  <si>
    <t>00065213</t>
  </si>
  <si>
    <t>19274</t>
  </si>
  <si>
    <t>FREEDOM FORKLIF</t>
  </si>
  <si>
    <t>87008</t>
  </si>
  <si>
    <t>19264</t>
  </si>
  <si>
    <t>00065212</t>
  </si>
  <si>
    <t>19276</t>
  </si>
  <si>
    <t>BACAL&amp;CO</t>
  </si>
  <si>
    <t>INV-42929</t>
  </si>
  <si>
    <t>2730</t>
  </si>
  <si>
    <t>Sundowner Op Co Pty Ltd</t>
  </si>
  <si>
    <t>131313/01</t>
  </si>
  <si>
    <t>131313</t>
  </si>
  <si>
    <t>WMBRISK</t>
  </si>
  <si>
    <t>Beef - Brisket Point End WM</t>
  </si>
  <si>
    <t>WMSCRM250</t>
  </si>
  <si>
    <t>Beef - Steak Crumbed (250g) WM</t>
  </si>
  <si>
    <t>2731</t>
  </si>
  <si>
    <t>Mill Inn Op Co Pty Ltd</t>
  </si>
  <si>
    <t>131312/01</t>
  </si>
  <si>
    <t>131312</t>
  </si>
  <si>
    <t>WMSIRNYPC</t>
  </si>
  <si>
    <t>Beef - Sirloin/Striploin Yardstick bone-in dry-aged NY PC WM</t>
  </si>
  <si>
    <t>WMTB600</t>
  </si>
  <si>
    <t>Beef - T-Bone Grain Fed MSA (600g) WM</t>
  </si>
  <si>
    <t>2733</t>
  </si>
  <si>
    <t>Metropole Hotel Townsville</t>
  </si>
  <si>
    <t>131439/01</t>
  </si>
  <si>
    <t>131439</t>
  </si>
  <si>
    <t>9999999</t>
  </si>
  <si>
    <t>ZZZZTOTAL</t>
  </si>
  <si>
    <t>09/11/2025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</si>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</sst>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dd/mm/yyyy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left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1" fillId="0" borderId="2" xfId="0" applyFont="1" applyBorder="1"/>
    <xf numFmtId="4" fontId="2" fillId="0" borderId="2" xfId="0" applyNumberFormat="1" applyFont="1" applyBorder="1" applyAlignment="1">
      <alignment horizontal="left"/>
    </xf>
    <xf numFmtId="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0D90-0EDF-412A-898A-2FF30120A4D6}">
  <dimension ref="A1:N5972"/>
  <sheetViews>
    <sheetView tabSelected="1" topLeftCell="A5951" workbookViewId="0">
      <selection activeCell="E5979" sqref="E5979"/>
    </sheetView>
  </sheetViews>
  <sheetFormatPr defaultRowHeight="15" x14ac:dyDescent="0.25"/>
  <cols>
    <col min="1" max="2" width="9.140625" style="2"/>
    <col min="3" max="3" width="9.140625" style="3"/>
    <col min="4" max="4" width="11.7109375" style="4" bestFit="1" customWidth="1"/>
    <col min="5" max="5" width="18.5703125" style="4" customWidth="1"/>
    <col min="6" max="6" width="10.140625" style="4" bestFit="1" customWidth="1"/>
    <col min="7" max="7" width="9.140625" style="5"/>
    <col min="8" max="8" width="9.140625" style="2"/>
    <col min="9" max="9" width="9.140625" style="6"/>
    <col min="10" max="13" width="9.140625" style="2"/>
    <col min="14" max="14" width="9.140625" style="4"/>
    <col min="15" max="16384" width="9.140625" style="1"/>
  </cols>
  <sheetData>
    <row r="1" spans="1:14" s="7" customFormat="1" x14ac:dyDescent="0.25">
      <c r="A1" s="2" t="s">
        <v>0</v>
      </c>
      <c r="N1" s="8" t="s">
        <v>1</v>
      </c>
    </row>
    <row r="2" spans="1:14" x14ac:dyDescent="0.25">
      <c r="A2" s="2" t="s">
        <v>2</v>
      </c>
      <c r="E2" s="4" t="s">
        <v>3</v>
      </c>
    </row>
    <row r="3" spans="1:14" x14ac:dyDescent="0.25">
      <c r="A3" s="2" t="s">
        <v>4</v>
      </c>
    </row>
    <row r="5" spans="1:14" x14ac:dyDescent="0.25">
      <c r="A5" s="9" t="s">
        <v>5</v>
      </c>
      <c r="B5" s="9" t="s">
        <v>5</v>
      </c>
      <c r="C5" s="10" t="s">
        <v>5</v>
      </c>
      <c r="D5" s="10" t="s">
        <v>5</v>
      </c>
      <c r="E5" s="10" t="s">
        <v>5</v>
      </c>
      <c r="F5" s="10" t="s">
        <v>5</v>
      </c>
      <c r="G5" s="11" t="s">
        <v>5</v>
      </c>
      <c r="H5" s="9" t="s">
        <v>5</v>
      </c>
      <c r="I5" s="12" t="s">
        <v>5</v>
      </c>
      <c r="J5" s="9" t="s">
        <v>5</v>
      </c>
      <c r="K5" s="9" t="s">
        <v>5</v>
      </c>
      <c r="L5" s="9" t="s">
        <v>5</v>
      </c>
      <c r="M5" s="9" t="s">
        <v>5</v>
      </c>
      <c r="N5" s="10" t="s">
        <v>5</v>
      </c>
    </row>
    <row r="6" spans="1:14" x14ac:dyDescent="0.25">
      <c r="A6" s="13" t="s">
        <v>6</v>
      </c>
      <c r="B6" s="13" t="s">
        <v>7</v>
      </c>
      <c r="C6" s="14" t="s">
        <v>8</v>
      </c>
      <c r="D6" s="8" t="s">
        <v>9</v>
      </c>
      <c r="E6" s="8" t="s">
        <v>10</v>
      </c>
      <c r="F6" s="8" t="s">
        <v>11</v>
      </c>
      <c r="G6" s="15" t="s">
        <v>12</v>
      </c>
      <c r="H6" s="13" t="s">
        <v>13</v>
      </c>
      <c r="I6" s="16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8" t="s">
        <v>19</v>
      </c>
    </row>
    <row r="7" spans="1:14" s="17" customFormat="1" ht="18.75" x14ac:dyDescent="0.3"/>
    <row r="8" spans="1:14" s="7" customFormat="1" x14ac:dyDescent="0.25">
      <c r="A8" s="13" t="s">
        <v>20</v>
      </c>
      <c r="B8" s="18" t="s">
        <v>21</v>
      </c>
      <c r="C8" s="19"/>
      <c r="D8" s="20" t="s">
        <v>5</v>
      </c>
      <c r="E8" s="19"/>
      <c r="F8" s="19"/>
      <c r="G8" s="19"/>
      <c r="H8" s="19"/>
      <c r="I8" s="19"/>
      <c r="J8" s="19"/>
      <c r="K8" s="19"/>
      <c r="L8" s="19"/>
      <c r="M8" s="19"/>
      <c r="N8" s="19"/>
    </row>
    <row r="10" spans="1:14" x14ac:dyDescent="0.25">
      <c r="A10" s="2" t="s">
        <v>22</v>
      </c>
      <c r="B10" s="2" t="s">
        <v>23</v>
      </c>
      <c r="C10" s="3">
        <v>29.44</v>
      </c>
      <c r="D10" s="4">
        <v>451.02080000000001</v>
      </c>
      <c r="E10" s="4">
        <v>323.83999999999997</v>
      </c>
      <c r="F10" s="4">
        <f t="shared" ref="F10:F30" si="0">D10-E10</f>
        <v>127.18080000000003</v>
      </c>
      <c r="G10" s="5">
        <f t="shared" ref="G10:G30" si="1">IF(((D10)=0),0,(D10-E10)/ D10)</f>
        <v>0.28198433420365543</v>
      </c>
      <c r="H10" s="2" t="s">
        <v>24</v>
      </c>
      <c r="I10" s="6" t="s">
        <v>25</v>
      </c>
      <c r="J10" s="2" t="s">
        <v>26</v>
      </c>
      <c r="K10" s="2" t="s">
        <v>27</v>
      </c>
      <c r="L10" s="2" t="s">
        <v>28</v>
      </c>
      <c r="M10" s="2" t="s">
        <v>5</v>
      </c>
      <c r="N10" s="4">
        <v>1685.55</v>
      </c>
    </row>
    <row r="11" spans="1:14" x14ac:dyDescent="0.25">
      <c r="A11" s="2" t="s">
        <v>29</v>
      </c>
      <c r="B11" s="2" t="s">
        <v>30</v>
      </c>
      <c r="C11" s="3">
        <v>18.440000000000001</v>
      </c>
      <c r="D11" s="4">
        <v>282.50080000000003</v>
      </c>
      <c r="E11" s="4">
        <v>184.4</v>
      </c>
      <c r="F11" s="4">
        <f t="shared" si="0"/>
        <v>98.100800000000021</v>
      </c>
      <c r="G11" s="5">
        <f t="shared" si="1"/>
        <v>0.3472584856396867</v>
      </c>
      <c r="H11" s="2" t="s">
        <v>31</v>
      </c>
      <c r="I11" s="6" t="s">
        <v>32</v>
      </c>
      <c r="J11" s="2" t="s">
        <v>33</v>
      </c>
      <c r="K11" s="2" t="s">
        <v>27</v>
      </c>
      <c r="L11" s="2" t="s">
        <v>28</v>
      </c>
      <c r="M11" s="2" t="s">
        <v>5</v>
      </c>
      <c r="N11" s="4">
        <v>3057.86</v>
      </c>
    </row>
    <row r="12" spans="1:14" x14ac:dyDescent="0.25">
      <c r="A12" s="2" t="s">
        <v>29</v>
      </c>
      <c r="B12" s="2" t="s">
        <v>30</v>
      </c>
      <c r="C12" s="3">
        <v>36.96</v>
      </c>
      <c r="D12" s="4">
        <v>566.22720000000004</v>
      </c>
      <c r="E12" s="4">
        <v>369.6</v>
      </c>
      <c r="F12" s="4">
        <f t="shared" si="0"/>
        <v>196.62720000000002</v>
      </c>
      <c r="G12" s="5">
        <f t="shared" si="1"/>
        <v>0.3472584856396867</v>
      </c>
      <c r="H12" s="2" t="s">
        <v>34</v>
      </c>
      <c r="I12" s="6" t="s">
        <v>25</v>
      </c>
      <c r="J12" s="2" t="s">
        <v>35</v>
      </c>
      <c r="K12" s="2" t="s">
        <v>27</v>
      </c>
      <c r="L12" s="2" t="s">
        <v>28</v>
      </c>
      <c r="M12" s="2" t="s">
        <v>5</v>
      </c>
      <c r="N12" s="4">
        <v>566.23</v>
      </c>
    </row>
    <row r="13" spans="1:14" x14ac:dyDescent="0.25">
      <c r="A13" s="2" t="s">
        <v>36</v>
      </c>
      <c r="B13" s="2" t="s">
        <v>37</v>
      </c>
      <c r="C13" s="3">
        <v>16</v>
      </c>
      <c r="D13" s="4">
        <v>540.32000000000005</v>
      </c>
      <c r="E13" s="4">
        <v>357.92</v>
      </c>
      <c r="F13" s="4">
        <f t="shared" si="0"/>
        <v>182.40000000000003</v>
      </c>
      <c r="G13" s="5">
        <f t="shared" si="1"/>
        <v>0.33757773171453959</v>
      </c>
      <c r="H13" s="2" t="s">
        <v>38</v>
      </c>
      <c r="I13" s="6" t="s">
        <v>39</v>
      </c>
      <c r="J13" s="2" t="s">
        <v>40</v>
      </c>
      <c r="K13" s="2" t="s">
        <v>27</v>
      </c>
      <c r="L13" s="2" t="s">
        <v>28</v>
      </c>
      <c r="M13" s="2" t="s">
        <v>5</v>
      </c>
      <c r="N13" s="4">
        <v>3095.92</v>
      </c>
    </row>
    <row r="14" spans="1:14" x14ac:dyDescent="0.25">
      <c r="A14" s="2" t="s">
        <v>36</v>
      </c>
      <c r="B14" s="2" t="s">
        <v>37</v>
      </c>
      <c r="C14" s="3">
        <v>8</v>
      </c>
      <c r="D14" s="4">
        <v>270.16000000000003</v>
      </c>
      <c r="E14" s="4">
        <v>178.96</v>
      </c>
      <c r="F14" s="4">
        <f t="shared" si="0"/>
        <v>91.200000000000017</v>
      </c>
      <c r="G14" s="5">
        <f t="shared" si="1"/>
        <v>0.33757773171453959</v>
      </c>
      <c r="H14" s="2" t="s">
        <v>31</v>
      </c>
      <c r="I14" s="6" t="s">
        <v>32</v>
      </c>
      <c r="J14" s="2" t="s">
        <v>33</v>
      </c>
      <c r="K14" s="2" t="s">
        <v>27</v>
      </c>
      <c r="L14" s="2" t="s">
        <v>28</v>
      </c>
      <c r="M14" s="2" t="s">
        <v>5</v>
      </c>
      <c r="N14" s="4">
        <v>3057.86</v>
      </c>
    </row>
    <row r="15" spans="1:14" x14ac:dyDescent="0.25">
      <c r="A15" s="2" t="s">
        <v>36</v>
      </c>
      <c r="B15" s="2" t="s">
        <v>37</v>
      </c>
      <c r="C15" s="3">
        <v>10</v>
      </c>
      <c r="D15" s="4">
        <v>337.7</v>
      </c>
      <c r="E15" s="4">
        <v>223.7</v>
      </c>
      <c r="F15" s="4">
        <f t="shared" si="0"/>
        <v>114</v>
      </c>
      <c r="G15" s="5">
        <f t="shared" si="1"/>
        <v>0.33757773171453953</v>
      </c>
      <c r="H15" s="2" t="s">
        <v>24</v>
      </c>
      <c r="I15" s="6" t="s">
        <v>25</v>
      </c>
      <c r="J15" s="2" t="s">
        <v>26</v>
      </c>
      <c r="K15" s="2" t="s">
        <v>27</v>
      </c>
      <c r="L15" s="2" t="s">
        <v>28</v>
      </c>
      <c r="M15" s="2" t="s">
        <v>5</v>
      </c>
      <c r="N15" s="4">
        <v>1685.55</v>
      </c>
    </row>
    <row r="16" spans="1:14" x14ac:dyDescent="0.25">
      <c r="A16" s="2" t="s">
        <v>41</v>
      </c>
      <c r="B16" s="2" t="s">
        <v>42</v>
      </c>
      <c r="C16" s="3">
        <v>18.36</v>
      </c>
      <c r="D16" s="4">
        <v>321.48360000000002</v>
      </c>
      <c r="E16" s="4">
        <v>215.73</v>
      </c>
      <c r="F16" s="4">
        <f t="shared" si="0"/>
        <v>105.75360000000003</v>
      </c>
      <c r="G16" s="5">
        <f t="shared" si="1"/>
        <v>0.32895488292404351</v>
      </c>
      <c r="H16" s="2" t="s">
        <v>38</v>
      </c>
      <c r="I16" s="6" t="s">
        <v>39</v>
      </c>
      <c r="J16" s="2" t="s">
        <v>40</v>
      </c>
      <c r="K16" s="2" t="s">
        <v>27</v>
      </c>
      <c r="L16" s="2" t="s">
        <v>28</v>
      </c>
      <c r="M16" s="2" t="s">
        <v>5</v>
      </c>
      <c r="N16" s="4">
        <v>3095.92</v>
      </c>
    </row>
    <row r="17" spans="1:14" x14ac:dyDescent="0.25">
      <c r="A17" s="2" t="s">
        <v>43</v>
      </c>
      <c r="B17" s="2" t="s">
        <v>44</v>
      </c>
      <c r="C17" s="3">
        <v>9.6300000000000008</v>
      </c>
      <c r="D17" s="4">
        <v>101.8854</v>
      </c>
      <c r="E17" s="4">
        <v>52.002000000000002</v>
      </c>
      <c r="F17" s="4">
        <f t="shared" si="0"/>
        <v>49.883400000000002</v>
      </c>
      <c r="G17" s="5">
        <f t="shared" si="1"/>
        <v>0.4896030245746692</v>
      </c>
      <c r="H17" s="2" t="s">
        <v>24</v>
      </c>
      <c r="I17" s="6" t="s">
        <v>25</v>
      </c>
      <c r="J17" s="2" t="s">
        <v>26</v>
      </c>
      <c r="K17" s="2" t="s">
        <v>27</v>
      </c>
      <c r="L17" s="2" t="s">
        <v>28</v>
      </c>
      <c r="M17" s="2" t="s">
        <v>5</v>
      </c>
      <c r="N17" s="4">
        <v>1685.55</v>
      </c>
    </row>
    <row r="18" spans="1:14" x14ac:dyDescent="0.25">
      <c r="A18" s="2" t="s">
        <v>45</v>
      </c>
      <c r="B18" s="2" t="s">
        <v>46</v>
      </c>
      <c r="C18" s="3">
        <v>70.540000000000006</v>
      </c>
      <c r="D18" s="4">
        <v>946.64679999999998</v>
      </c>
      <c r="E18" s="4">
        <v>514.94200000000001</v>
      </c>
      <c r="F18" s="4">
        <f t="shared" si="0"/>
        <v>431.70479999999998</v>
      </c>
      <c r="G18" s="5">
        <f t="shared" si="1"/>
        <v>0.4560357675111773</v>
      </c>
      <c r="H18" s="2" t="s">
        <v>31</v>
      </c>
      <c r="I18" s="6" t="s">
        <v>32</v>
      </c>
      <c r="J18" s="2" t="s">
        <v>33</v>
      </c>
      <c r="K18" s="2" t="s">
        <v>27</v>
      </c>
      <c r="L18" s="2" t="s">
        <v>28</v>
      </c>
      <c r="M18" s="2" t="s">
        <v>5</v>
      </c>
      <c r="N18" s="4">
        <v>3057.86</v>
      </c>
    </row>
    <row r="19" spans="1:14" x14ac:dyDescent="0.25">
      <c r="A19" s="2" t="s">
        <v>45</v>
      </c>
      <c r="B19" s="2" t="s">
        <v>46</v>
      </c>
      <c r="C19" s="3">
        <v>72.739999999999995</v>
      </c>
      <c r="D19" s="4">
        <v>976.17079999999999</v>
      </c>
      <c r="E19" s="4">
        <v>531.00199999999995</v>
      </c>
      <c r="F19" s="4">
        <f t="shared" si="0"/>
        <v>445.16880000000003</v>
      </c>
      <c r="G19" s="5">
        <f t="shared" si="1"/>
        <v>0.45603576751117741</v>
      </c>
      <c r="H19" s="2" t="s">
        <v>38</v>
      </c>
      <c r="I19" s="6" t="s">
        <v>39</v>
      </c>
      <c r="J19" s="2" t="s">
        <v>40</v>
      </c>
      <c r="K19" s="2" t="s">
        <v>27</v>
      </c>
      <c r="L19" s="2" t="s">
        <v>28</v>
      </c>
      <c r="M19" s="2" t="s">
        <v>5</v>
      </c>
      <c r="N19" s="4">
        <v>3095.92</v>
      </c>
    </row>
    <row r="20" spans="1:14" x14ac:dyDescent="0.25">
      <c r="A20" s="2" t="s">
        <v>47</v>
      </c>
      <c r="B20" s="2" t="s">
        <v>48</v>
      </c>
      <c r="C20" s="3">
        <v>18.239999999999998</v>
      </c>
      <c r="D20" s="4">
        <v>314.45760000000001</v>
      </c>
      <c r="E20" s="4">
        <v>142.27199999999999</v>
      </c>
      <c r="F20" s="4">
        <f t="shared" si="0"/>
        <v>172.18560000000002</v>
      </c>
      <c r="G20" s="5">
        <f t="shared" si="1"/>
        <v>0.54756380510440839</v>
      </c>
      <c r="H20" s="2" t="s">
        <v>38</v>
      </c>
      <c r="I20" s="6" t="s">
        <v>39</v>
      </c>
      <c r="J20" s="2" t="s">
        <v>40</v>
      </c>
      <c r="K20" s="2" t="s">
        <v>27</v>
      </c>
      <c r="L20" s="2" t="s">
        <v>28</v>
      </c>
      <c r="M20" s="2" t="s">
        <v>5</v>
      </c>
      <c r="N20" s="4">
        <v>3095.92</v>
      </c>
    </row>
    <row r="21" spans="1:14" x14ac:dyDescent="0.25">
      <c r="A21" s="2" t="s">
        <v>49</v>
      </c>
      <c r="B21" s="2" t="s">
        <v>50</v>
      </c>
      <c r="C21" s="3">
        <v>8</v>
      </c>
      <c r="D21" s="4">
        <v>148.88</v>
      </c>
      <c r="E21" s="4">
        <v>88.24</v>
      </c>
      <c r="F21" s="4">
        <f t="shared" si="0"/>
        <v>60.64</v>
      </c>
      <c r="G21" s="5">
        <f t="shared" si="1"/>
        <v>0.40730789897904351</v>
      </c>
      <c r="H21" s="2" t="s">
        <v>24</v>
      </c>
      <c r="I21" s="6" t="s">
        <v>25</v>
      </c>
      <c r="J21" s="2" t="s">
        <v>26</v>
      </c>
      <c r="K21" s="2" t="s">
        <v>27</v>
      </c>
      <c r="L21" s="2" t="s">
        <v>28</v>
      </c>
      <c r="M21" s="2" t="s">
        <v>5</v>
      </c>
      <c r="N21" s="4">
        <v>1685.55</v>
      </c>
    </row>
    <row r="22" spans="1:14" x14ac:dyDescent="0.25">
      <c r="A22" s="2" t="s">
        <v>49</v>
      </c>
      <c r="B22" s="2" t="s">
        <v>50</v>
      </c>
      <c r="C22" s="3">
        <v>7</v>
      </c>
      <c r="D22" s="4">
        <v>130.27000000000001</v>
      </c>
      <c r="E22" s="4">
        <v>77.209999999999994</v>
      </c>
      <c r="F22" s="4">
        <f t="shared" si="0"/>
        <v>53.060000000000016</v>
      </c>
      <c r="G22" s="5">
        <f t="shared" si="1"/>
        <v>0.40730789897904363</v>
      </c>
      <c r="H22" s="2" t="s">
        <v>38</v>
      </c>
      <c r="I22" s="6" t="s">
        <v>39</v>
      </c>
      <c r="J22" s="2" t="s">
        <v>40</v>
      </c>
      <c r="K22" s="2" t="s">
        <v>27</v>
      </c>
      <c r="L22" s="2" t="s">
        <v>28</v>
      </c>
      <c r="M22" s="2" t="s">
        <v>5</v>
      </c>
      <c r="N22" s="4">
        <v>3095.92</v>
      </c>
    </row>
    <row r="23" spans="1:14" x14ac:dyDescent="0.25">
      <c r="A23" s="2" t="s">
        <v>49</v>
      </c>
      <c r="B23" s="2" t="s">
        <v>50</v>
      </c>
      <c r="C23" s="3">
        <v>8</v>
      </c>
      <c r="D23" s="4">
        <v>148.88</v>
      </c>
      <c r="E23" s="4">
        <v>88.24</v>
      </c>
      <c r="F23" s="4">
        <f t="shared" si="0"/>
        <v>60.64</v>
      </c>
      <c r="G23" s="5">
        <f t="shared" si="1"/>
        <v>0.40730789897904351</v>
      </c>
      <c r="H23" s="2" t="s">
        <v>31</v>
      </c>
      <c r="I23" s="6" t="s">
        <v>32</v>
      </c>
      <c r="J23" s="2" t="s">
        <v>33</v>
      </c>
      <c r="K23" s="2" t="s">
        <v>27</v>
      </c>
      <c r="L23" s="2" t="s">
        <v>28</v>
      </c>
      <c r="M23" s="2" t="s">
        <v>5</v>
      </c>
      <c r="N23" s="4">
        <v>3057.86</v>
      </c>
    </row>
    <row r="24" spans="1:14" x14ac:dyDescent="0.25">
      <c r="A24" s="2" t="s">
        <v>51</v>
      </c>
      <c r="B24" s="2" t="s">
        <v>52</v>
      </c>
      <c r="C24" s="3">
        <v>43.06</v>
      </c>
      <c r="D24" s="4">
        <v>801.34659999999997</v>
      </c>
      <c r="E24" s="4">
        <v>710.49</v>
      </c>
      <c r="F24" s="4">
        <f t="shared" si="0"/>
        <v>90.856599999999958</v>
      </c>
      <c r="G24" s="5">
        <f t="shared" si="1"/>
        <v>0.11337990327780759</v>
      </c>
      <c r="H24" s="2" t="s">
        <v>31</v>
      </c>
      <c r="I24" s="6" t="s">
        <v>32</v>
      </c>
      <c r="J24" s="2" t="s">
        <v>33</v>
      </c>
      <c r="K24" s="2" t="s">
        <v>27</v>
      </c>
      <c r="L24" s="2" t="s">
        <v>28</v>
      </c>
      <c r="M24" s="2" t="s">
        <v>5</v>
      </c>
      <c r="N24" s="4">
        <v>3057.86</v>
      </c>
    </row>
    <row r="25" spans="1:14" x14ac:dyDescent="0.25">
      <c r="A25" s="2" t="s">
        <v>53</v>
      </c>
      <c r="B25" s="2" t="s">
        <v>54</v>
      </c>
      <c r="C25" s="3">
        <v>47.21</v>
      </c>
      <c r="D25" s="4">
        <v>567.93629999999996</v>
      </c>
      <c r="E25" s="4">
        <v>344.63299999999998</v>
      </c>
      <c r="F25" s="4">
        <f t="shared" si="0"/>
        <v>223.30329999999998</v>
      </c>
      <c r="G25" s="5">
        <f t="shared" si="1"/>
        <v>0.39318370739817121</v>
      </c>
      <c r="H25" s="2" t="s">
        <v>38</v>
      </c>
      <c r="I25" s="6" t="s">
        <v>39</v>
      </c>
      <c r="J25" s="2" t="s">
        <v>40</v>
      </c>
      <c r="K25" s="2" t="s">
        <v>27</v>
      </c>
      <c r="L25" s="2" t="s">
        <v>28</v>
      </c>
      <c r="M25" s="2" t="s">
        <v>5</v>
      </c>
      <c r="N25" s="4">
        <v>3095.92</v>
      </c>
    </row>
    <row r="26" spans="1:14" x14ac:dyDescent="0.25">
      <c r="A26" s="2" t="s">
        <v>53</v>
      </c>
      <c r="B26" s="2" t="s">
        <v>54</v>
      </c>
      <c r="C26" s="3">
        <v>43.51</v>
      </c>
      <c r="D26" s="4">
        <v>523.42529999999999</v>
      </c>
      <c r="E26" s="4">
        <v>317.62299999999999</v>
      </c>
      <c r="F26" s="4">
        <f t="shared" si="0"/>
        <v>205.8023</v>
      </c>
      <c r="G26" s="5">
        <f t="shared" si="1"/>
        <v>0.39318370739817127</v>
      </c>
      <c r="H26" s="2" t="s">
        <v>24</v>
      </c>
      <c r="I26" s="6" t="s">
        <v>25</v>
      </c>
      <c r="J26" s="2" t="s">
        <v>26</v>
      </c>
      <c r="K26" s="2" t="s">
        <v>27</v>
      </c>
      <c r="L26" s="2" t="s">
        <v>28</v>
      </c>
      <c r="M26" s="2" t="s">
        <v>5</v>
      </c>
      <c r="N26" s="4">
        <v>1685.55</v>
      </c>
    </row>
    <row r="27" spans="1:14" x14ac:dyDescent="0.25">
      <c r="A27" s="2" t="s">
        <v>55</v>
      </c>
      <c r="B27" s="2" t="s">
        <v>56</v>
      </c>
      <c r="C27" s="3">
        <v>22.684999999999999</v>
      </c>
      <c r="D27" s="4">
        <v>485.68585000000002</v>
      </c>
      <c r="E27" s="4">
        <v>267.68299999999999</v>
      </c>
      <c r="F27" s="4">
        <f t="shared" si="0"/>
        <v>218.00285000000002</v>
      </c>
      <c r="G27" s="5">
        <f t="shared" si="1"/>
        <v>0.4488556749182625</v>
      </c>
      <c r="H27" s="2" t="s">
        <v>31</v>
      </c>
      <c r="I27" s="6" t="s">
        <v>32</v>
      </c>
      <c r="J27" s="2" t="s">
        <v>33</v>
      </c>
      <c r="K27" s="2" t="s">
        <v>27</v>
      </c>
      <c r="L27" s="2" t="s">
        <v>28</v>
      </c>
      <c r="M27" s="2" t="s">
        <v>5</v>
      </c>
      <c r="N27" s="4">
        <v>3057.86</v>
      </c>
    </row>
    <row r="28" spans="1:14" x14ac:dyDescent="0.25">
      <c r="A28" s="2" t="s">
        <v>57</v>
      </c>
      <c r="B28" s="2" t="s">
        <v>58</v>
      </c>
      <c r="C28" s="3">
        <v>8</v>
      </c>
      <c r="D28" s="4">
        <v>245.28</v>
      </c>
      <c r="E28" s="4">
        <v>158.08000000000001</v>
      </c>
      <c r="F28" s="4">
        <f t="shared" si="0"/>
        <v>87.199999999999989</v>
      </c>
      <c r="G28" s="5">
        <f t="shared" si="1"/>
        <v>0.35551206784083489</v>
      </c>
      <c r="H28" s="2" t="s">
        <v>38</v>
      </c>
      <c r="I28" s="6" t="s">
        <v>39</v>
      </c>
      <c r="J28" s="2" t="s">
        <v>40</v>
      </c>
      <c r="K28" s="2" t="s">
        <v>27</v>
      </c>
      <c r="L28" s="2" t="s">
        <v>28</v>
      </c>
      <c r="M28" s="2" t="s">
        <v>5</v>
      </c>
      <c r="N28" s="4">
        <v>3095.92</v>
      </c>
    </row>
    <row r="29" spans="1:14" x14ac:dyDescent="0.25">
      <c r="A29" s="2" t="s">
        <v>57</v>
      </c>
      <c r="B29" s="2" t="s">
        <v>58</v>
      </c>
      <c r="C29" s="3">
        <v>4</v>
      </c>
      <c r="D29" s="4">
        <v>122.64</v>
      </c>
      <c r="E29" s="4">
        <v>79.040000000000006</v>
      </c>
      <c r="F29" s="4">
        <f t="shared" si="0"/>
        <v>43.599999999999994</v>
      </c>
      <c r="G29" s="5">
        <f t="shared" si="1"/>
        <v>0.35551206784083489</v>
      </c>
      <c r="H29" s="2" t="s">
        <v>31</v>
      </c>
      <c r="I29" s="6" t="s">
        <v>32</v>
      </c>
      <c r="J29" s="2" t="s">
        <v>33</v>
      </c>
      <c r="K29" s="2" t="s">
        <v>27</v>
      </c>
      <c r="L29" s="2" t="s">
        <v>28</v>
      </c>
      <c r="M29" s="2" t="s">
        <v>5</v>
      </c>
      <c r="N29" s="4">
        <v>3057.86</v>
      </c>
    </row>
    <row r="30" spans="1:14" x14ac:dyDescent="0.25">
      <c r="A30" s="2" t="s">
        <v>57</v>
      </c>
      <c r="B30" s="2" t="s">
        <v>58</v>
      </c>
      <c r="C30" s="3">
        <v>4</v>
      </c>
      <c r="D30" s="4">
        <v>122.64</v>
      </c>
      <c r="E30" s="4">
        <v>79.040000000000006</v>
      </c>
      <c r="F30" s="4">
        <f t="shared" si="0"/>
        <v>43.599999999999994</v>
      </c>
      <c r="G30" s="5">
        <f t="shared" si="1"/>
        <v>0.35551206784083489</v>
      </c>
      <c r="H30" s="2" t="s">
        <v>24</v>
      </c>
      <c r="I30" s="6" t="s">
        <v>25</v>
      </c>
      <c r="J30" s="2" t="s">
        <v>26</v>
      </c>
      <c r="K30" s="2" t="s">
        <v>27</v>
      </c>
      <c r="L30" s="2" t="s">
        <v>28</v>
      </c>
      <c r="M30" s="2" t="s">
        <v>5</v>
      </c>
      <c r="N30" s="4">
        <v>1685.55</v>
      </c>
    </row>
    <row r="32" spans="1:14" x14ac:dyDescent="0.25">
      <c r="A32" s="13" t="s">
        <v>59</v>
      </c>
      <c r="B32" s="21"/>
      <c r="C32" s="22">
        <f>SUM(C1:C31)</f>
        <v>503.815</v>
      </c>
      <c r="D32" s="23">
        <f>SUM(D1:D31)</f>
        <v>8405.5570499999994</v>
      </c>
      <c r="E32" s="23">
        <f>SUM(E1:E31)</f>
        <v>5304.646999999999</v>
      </c>
      <c r="F32" s="23">
        <f>D32-E32</f>
        <v>3100.9100500000004</v>
      </c>
      <c r="G32" s="24">
        <f>IF(((D32)=0),0,(D32-E32)/ D32)</f>
        <v>0.36891190334613227</v>
      </c>
      <c r="H32" s="21"/>
      <c r="I32" s="21"/>
      <c r="J32" s="21"/>
      <c r="K32" s="21"/>
      <c r="L32" s="21"/>
      <c r="M32" s="21"/>
      <c r="N32" s="21"/>
    </row>
    <row r="34" spans="1:14" s="17" customFormat="1" ht="18.75" x14ac:dyDescent="0.3"/>
    <row r="35" spans="1:14" s="7" customFormat="1" x14ac:dyDescent="0.25">
      <c r="A35" s="13" t="s">
        <v>60</v>
      </c>
      <c r="B35" s="18" t="s">
        <v>61</v>
      </c>
      <c r="C35" s="19"/>
      <c r="D35" s="20" t="s">
        <v>5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7" spans="1:14" x14ac:dyDescent="0.25">
      <c r="A37" s="2" t="s">
        <v>62</v>
      </c>
      <c r="B37" s="2" t="s">
        <v>63</v>
      </c>
      <c r="C37" s="3">
        <v>3.302</v>
      </c>
      <c r="D37" s="4">
        <v>55.308500000000002</v>
      </c>
      <c r="E37" s="4">
        <v>41.274999999999999</v>
      </c>
      <c r="F37" s="4">
        <f t="shared" ref="F37:F72" si="2">D37-E37</f>
        <v>14.033500000000004</v>
      </c>
      <c r="G37" s="5">
        <f t="shared" ref="G37:G72" si="3">IF(((D37)=0),0,(D37-E37)/ D37)</f>
        <v>0.25373134328358216</v>
      </c>
      <c r="H37" s="2" t="s">
        <v>64</v>
      </c>
      <c r="I37" s="6" t="s">
        <v>39</v>
      </c>
      <c r="J37" s="2" t="s">
        <v>65</v>
      </c>
      <c r="K37" s="2" t="s">
        <v>5</v>
      </c>
      <c r="L37" s="2" t="s">
        <v>28</v>
      </c>
      <c r="M37" s="2" t="s">
        <v>5</v>
      </c>
      <c r="N37" s="4">
        <v>3497.84</v>
      </c>
    </row>
    <row r="38" spans="1:14" x14ac:dyDescent="0.25">
      <c r="A38" s="2" t="s">
        <v>66</v>
      </c>
      <c r="B38" s="2" t="s">
        <v>67</v>
      </c>
      <c r="C38" s="3">
        <v>9.8550000000000004</v>
      </c>
      <c r="D38" s="4">
        <v>144.37575000000001</v>
      </c>
      <c r="E38" s="4">
        <v>108.405</v>
      </c>
      <c r="F38" s="4">
        <f t="shared" si="2"/>
        <v>35.97075000000001</v>
      </c>
      <c r="G38" s="5">
        <f t="shared" si="3"/>
        <v>0.24914675767918093</v>
      </c>
      <c r="H38" s="2" t="s">
        <v>64</v>
      </c>
      <c r="I38" s="6" t="s">
        <v>39</v>
      </c>
      <c r="J38" s="2" t="s">
        <v>65</v>
      </c>
      <c r="K38" s="2" t="s">
        <v>5</v>
      </c>
      <c r="L38" s="2" t="s">
        <v>28</v>
      </c>
      <c r="M38" s="2" t="s">
        <v>5</v>
      </c>
      <c r="N38" s="4">
        <v>3497.84</v>
      </c>
    </row>
    <row r="39" spans="1:14" x14ac:dyDescent="0.25">
      <c r="A39" s="2" t="s">
        <v>66</v>
      </c>
      <c r="B39" s="2" t="s">
        <v>67</v>
      </c>
      <c r="C39" s="3">
        <v>20.22</v>
      </c>
      <c r="D39" s="4">
        <v>296.22300000000001</v>
      </c>
      <c r="E39" s="4">
        <v>222.42</v>
      </c>
      <c r="F39" s="4">
        <f t="shared" si="2"/>
        <v>73.803000000000026</v>
      </c>
      <c r="G39" s="5">
        <f t="shared" si="3"/>
        <v>0.24914675767918096</v>
      </c>
      <c r="H39" s="2" t="s">
        <v>68</v>
      </c>
      <c r="I39" s="6" t="s">
        <v>69</v>
      </c>
      <c r="J39" s="2" t="s">
        <v>70</v>
      </c>
      <c r="K39" s="2" t="s">
        <v>5</v>
      </c>
      <c r="L39" s="2" t="s">
        <v>28</v>
      </c>
      <c r="M39" s="2" t="s">
        <v>5</v>
      </c>
      <c r="N39" s="4">
        <v>1318.4</v>
      </c>
    </row>
    <row r="40" spans="1:14" x14ac:dyDescent="0.25">
      <c r="A40" s="2" t="s">
        <v>71</v>
      </c>
      <c r="B40" s="2" t="s">
        <v>72</v>
      </c>
      <c r="C40" s="3">
        <v>39.695</v>
      </c>
      <c r="D40" s="4">
        <v>542.2337</v>
      </c>
      <c r="E40" s="4">
        <v>273.89550000000003</v>
      </c>
      <c r="F40" s="4">
        <f t="shared" si="2"/>
        <v>268.33819999999997</v>
      </c>
      <c r="G40" s="5">
        <f t="shared" si="3"/>
        <v>0.49487554904831621</v>
      </c>
      <c r="H40" s="2" t="s">
        <v>64</v>
      </c>
      <c r="I40" s="6" t="s">
        <v>39</v>
      </c>
      <c r="J40" s="2" t="s">
        <v>65</v>
      </c>
      <c r="K40" s="2" t="s">
        <v>5</v>
      </c>
      <c r="L40" s="2" t="s">
        <v>28</v>
      </c>
      <c r="M40" s="2" t="s">
        <v>5</v>
      </c>
      <c r="N40" s="4">
        <v>3497.84</v>
      </c>
    </row>
    <row r="41" spans="1:14" x14ac:dyDescent="0.25">
      <c r="A41" s="2" t="s">
        <v>71</v>
      </c>
      <c r="B41" s="2" t="s">
        <v>72</v>
      </c>
      <c r="C41" s="3">
        <v>5.26</v>
      </c>
      <c r="D41" s="4">
        <v>71.851600000000005</v>
      </c>
      <c r="E41" s="4">
        <v>36.293999999999997</v>
      </c>
      <c r="F41" s="4">
        <f t="shared" si="2"/>
        <v>35.557600000000008</v>
      </c>
      <c r="G41" s="5">
        <f t="shared" si="3"/>
        <v>0.49487554904831632</v>
      </c>
      <c r="H41" s="2" t="s">
        <v>68</v>
      </c>
      <c r="I41" s="6" t="s">
        <v>69</v>
      </c>
      <c r="J41" s="2" t="s">
        <v>70</v>
      </c>
      <c r="K41" s="2" t="s">
        <v>5</v>
      </c>
      <c r="L41" s="2" t="s">
        <v>28</v>
      </c>
      <c r="M41" s="2" t="s">
        <v>5</v>
      </c>
      <c r="N41" s="4">
        <v>1318.4</v>
      </c>
    </row>
    <row r="42" spans="1:14" x14ac:dyDescent="0.25">
      <c r="A42" s="2" t="s">
        <v>71</v>
      </c>
      <c r="B42" s="2" t="s">
        <v>72</v>
      </c>
      <c r="C42" s="3">
        <v>20.004999999999999</v>
      </c>
      <c r="D42" s="4">
        <v>273.26830000000001</v>
      </c>
      <c r="E42" s="4">
        <v>138.03450000000001</v>
      </c>
      <c r="F42" s="4">
        <f t="shared" si="2"/>
        <v>135.2338</v>
      </c>
      <c r="G42" s="5">
        <f t="shared" si="3"/>
        <v>0.49487554904831627</v>
      </c>
      <c r="H42" s="2" t="s">
        <v>73</v>
      </c>
      <c r="I42" s="6" t="s">
        <v>74</v>
      </c>
      <c r="J42" s="2" t="s">
        <v>75</v>
      </c>
      <c r="K42" s="2" t="s">
        <v>5</v>
      </c>
      <c r="L42" s="2" t="s">
        <v>28</v>
      </c>
      <c r="M42" s="2" t="s">
        <v>5</v>
      </c>
      <c r="N42" s="4">
        <v>594.55999999999995</v>
      </c>
    </row>
    <row r="43" spans="1:14" x14ac:dyDescent="0.25">
      <c r="A43" s="2" t="s">
        <v>71</v>
      </c>
      <c r="B43" s="2" t="s">
        <v>72</v>
      </c>
      <c r="C43" s="3">
        <v>20.55</v>
      </c>
      <c r="D43" s="4">
        <v>280.71300000000002</v>
      </c>
      <c r="E43" s="4">
        <v>141.79499999999999</v>
      </c>
      <c r="F43" s="4">
        <f t="shared" si="2"/>
        <v>138.91800000000003</v>
      </c>
      <c r="G43" s="5">
        <f t="shared" si="3"/>
        <v>0.49487554904831632</v>
      </c>
      <c r="H43" s="2" t="s">
        <v>76</v>
      </c>
      <c r="I43" s="6" t="s">
        <v>32</v>
      </c>
      <c r="J43" s="2" t="s">
        <v>77</v>
      </c>
      <c r="K43" s="2" t="s">
        <v>5</v>
      </c>
      <c r="L43" s="2" t="s">
        <v>28</v>
      </c>
      <c r="M43" s="2" t="s">
        <v>5</v>
      </c>
      <c r="N43" s="4">
        <v>2087.15</v>
      </c>
    </row>
    <row r="44" spans="1:14" x14ac:dyDescent="0.25">
      <c r="A44" s="2" t="s">
        <v>78</v>
      </c>
      <c r="B44" s="2" t="s">
        <v>79</v>
      </c>
      <c r="C44" s="3">
        <v>9.44</v>
      </c>
      <c r="D44" s="4">
        <v>147.73599999999999</v>
      </c>
      <c r="E44" s="4">
        <v>70.8</v>
      </c>
      <c r="F44" s="4">
        <f t="shared" si="2"/>
        <v>76.935999999999993</v>
      </c>
      <c r="G44" s="5">
        <f t="shared" si="3"/>
        <v>0.52076677316293929</v>
      </c>
      <c r="H44" s="2" t="s">
        <v>68</v>
      </c>
      <c r="I44" s="6" t="s">
        <v>69</v>
      </c>
      <c r="J44" s="2" t="s">
        <v>70</v>
      </c>
      <c r="K44" s="2" t="s">
        <v>5</v>
      </c>
      <c r="L44" s="2" t="s">
        <v>28</v>
      </c>
      <c r="M44" s="2" t="s">
        <v>5</v>
      </c>
      <c r="N44" s="4">
        <v>1318.4</v>
      </c>
    </row>
    <row r="45" spans="1:14" x14ac:dyDescent="0.25">
      <c r="A45" s="2" t="s">
        <v>80</v>
      </c>
      <c r="B45" s="2" t="s">
        <v>81</v>
      </c>
      <c r="C45" s="3">
        <v>2.5</v>
      </c>
      <c r="D45" s="4">
        <v>49.825000000000003</v>
      </c>
      <c r="E45" s="4">
        <v>34.9</v>
      </c>
      <c r="F45" s="4">
        <f t="shared" si="2"/>
        <v>14.925000000000004</v>
      </c>
      <c r="G45" s="5">
        <f t="shared" si="3"/>
        <v>0.29954841946813854</v>
      </c>
      <c r="H45" s="2" t="s">
        <v>64</v>
      </c>
      <c r="I45" s="6" t="s">
        <v>39</v>
      </c>
      <c r="J45" s="2" t="s">
        <v>65</v>
      </c>
      <c r="K45" s="2" t="s">
        <v>5</v>
      </c>
      <c r="L45" s="2" t="s">
        <v>28</v>
      </c>
      <c r="M45" s="2" t="s">
        <v>5</v>
      </c>
      <c r="N45" s="4">
        <v>3497.84</v>
      </c>
    </row>
    <row r="46" spans="1:14" x14ac:dyDescent="0.25">
      <c r="A46" s="2" t="s">
        <v>82</v>
      </c>
      <c r="B46" s="2" t="s">
        <v>83</v>
      </c>
      <c r="C46" s="3">
        <v>4.76</v>
      </c>
      <c r="D46" s="4">
        <v>27.37</v>
      </c>
      <c r="E46" s="4">
        <v>17.135999999999999</v>
      </c>
      <c r="F46" s="4">
        <f t="shared" si="2"/>
        <v>10.234000000000002</v>
      </c>
      <c r="G46" s="5">
        <f t="shared" si="3"/>
        <v>0.37391304347826093</v>
      </c>
      <c r="H46" s="2" t="s">
        <v>84</v>
      </c>
      <c r="I46" s="6" t="s">
        <v>25</v>
      </c>
      <c r="J46" s="2" t="s">
        <v>85</v>
      </c>
      <c r="K46" s="2" t="s">
        <v>5</v>
      </c>
      <c r="L46" s="2" t="s">
        <v>28</v>
      </c>
      <c r="M46" s="2" t="s">
        <v>5</v>
      </c>
      <c r="N46" s="4">
        <v>1570.66</v>
      </c>
    </row>
    <row r="47" spans="1:14" x14ac:dyDescent="0.25">
      <c r="A47" s="2" t="s">
        <v>86</v>
      </c>
      <c r="B47" s="2" t="s">
        <v>87</v>
      </c>
      <c r="C47" s="3">
        <v>25.77</v>
      </c>
      <c r="D47" s="4">
        <v>334.23689999999999</v>
      </c>
      <c r="E47" s="4">
        <v>177.81299999999999</v>
      </c>
      <c r="F47" s="4">
        <f t="shared" si="2"/>
        <v>156.4239</v>
      </c>
      <c r="G47" s="5">
        <f t="shared" si="3"/>
        <v>0.46800308404009255</v>
      </c>
      <c r="H47" s="2" t="s">
        <v>64</v>
      </c>
      <c r="I47" s="6" t="s">
        <v>39</v>
      </c>
      <c r="J47" s="2" t="s">
        <v>65</v>
      </c>
      <c r="K47" s="2" t="s">
        <v>5</v>
      </c>
      <c r="L47" s="2" t="s">
        <v>28</v>
      </c>
      <c r="M47" s="2" t="s">
        <v>5</v>
      </c>
      <c r="N47" s="4">
        <v>3497.84</v>
      </c>
    </row>
    <row r="48" spans="1:14" x14ac:dyDescent="0.25">
      <c r="A48" s="2" t="s">
        <v>86</v>
      </c>
      <c r="B48" s="2" t="s">
        <v>87</v>
      </c>
      <c r="C48" s="3">
        <v>19.75</v>
      </c>
      <c r="D48" s="4">
        <v>256.15750000000003</v>
      </c>
      <c r="E48" s="4">
        <v>136.27500000000001</v>
      </c>
      <c r="F48" s="4">
        <f t="shared" si="2"/>
        <v>119.88250000000002</v>
      </c>
      <c r="G48" s="5">
        <f t="shared" si="3"/>
        <v>0.46800308404009255</v>
      </c>
      <c r="H48" s="2" t="s">
        <v>68</v>
      </c>
      <c r="I48" s="6" t="s">
        <v>69</v>
      </c>
      <c r="J48" s="2" t="s">
        <v>70</v>
      </c>
      <c r="K48" s="2" t="s">
        <v>5</v>
      </c>
      <c r="L48" s="2" t="s">
        <v>28</v>
      </c>
      <c r="M48" s="2" t="s">
        <v>5</v>
      </c>
      <c r="N48" s="4">
        <v>1318.4</v>
      </c>
    </row>
    <row r="49" spans="1:14" x14ac:dyDescent="0.25">
      <c r="A49" s="2" t="s">
        <v>86</v>
      </c>
      <c r="B49" s="2" t="s">
        <v>87</v>
      </c>
      <c r="C49" s="3">
        <v>11.6</v>
      </c>
      <c r="D49" s="4">
        <v>150.452</v>
      </c>
      <c r="E49" s="4">
        <v>80.040000000000006</v>
      </c>
      <c r="F49" s="4">
        <f t="shared" si="2"/>
        <v>70.411999999999992</v>
      </c>
      <c r="G49" s="5">
        <f t="shared" si="3"/>
        <v>0.4680030840400925</v>
      </c>
      <c r="H49" s="2" t="s">
        <v>84</v>
      </c>
      <c r="I49" s="6" t="s">
        <v>25</v>
      </c>
      <c r="J49" s="2" t="s">
        <v>85</v>
      </c>
      <c r="K49" s="2" t="s">
        <v>5</v>
      </c>
      <c r="L49" s="2" t="s">
        <v>28</v>
      </c>
      <c r="M49" s="2" t="s">
        <v>5</v>
      </c>
      <c r="N49" s="4">
        <v>1570.66</v>
      </c>
    </row>
    <row r="50" spans="1:14" x14ac:dyDescent="0.25">
      <c r="A50" s="2" t="s">
        <v>86</v>
      </c>
      <c r="B50" s="2" t="s">
        <v>87</v>
      </c>
      <c r="C50" s="3">
        <v>19.251999999999999</v>
      </c>
      <c r="D50" s="4">
        <v>249.69844000000001</v>
      </c>
      <c r="E50" s="4">
        <v>132.83879999999999</v>
      </c>
      <c r="F50" s="4">
        <f t="shared" si="2"/>
        <v>116.85964000000001</v>
      </c>
      <c r="G50" s="5">
        <f t="shared" si="3"/>
        <v>0.46800308404009255</v>
      </c>
      <c r="H50" s="2" t="s">
        <v>76</v>
      </c>
      <c r="I50" s="6" t="s">
        <v>32</v>
      </c>
      <c r="J50" s="2" t="s">
        <v>77</v>
      </c>
      <c r="K50" s="2" t="s">
        <v>5</v>
      </c>
      <c r="L50" s="2" t="s">
        <v>28</v>
      </c>
      <c r="M50" s="2" t="s">
        <v>5</v>
      </c>
      <c r="N50" s="4">
        <v>2087.15</v>
      </c>
    </row>
    <row r="51" spans="1:14" x14ac:dyDescent="0.25">
      <c r="A51" s="2" t="s">
        <v>88</v>
      </c>
      <c r="B51" s="2" t="s">
        <v>89</v>
      </c>
      <c r="C51" s="3">
        <v>15</v>
      </c>
      <c r="D51" s="4">
        <v>178.8</v>
      </c>
      <c r="E51" s="4">
        <v>103.5</v>
      </c>
      <c r="F51" s="4">
        <f t="shared" si="2"/>
        <v>75.300000000000011</v>
      </c>
      <c r="G51" s="5">
        <f t="shared" si="3"/>
        <v>0.42114093959731547</v>
      </c>
      <c r="H51" s="2" t="s">
        <v>64</v>
      </c>
      <c r="I51" s="6" t="s">
        <v>39</v>
      </c>
      <c r="J51" s="2" t="s">
        <v>65</v>
      </c>
      <c r="K51" s="2" t="s">
        <v>5</v>
      </c>
      <c r="L51" s="2" t="s">
        <v>28</v>
      </c>
      <c r="M51" s="2" t="s">
        <v>5</v>
      </c>
      <c r="N51" s="4">
        <v>3497.84</v>
      </c>
    </row>
    <row r="52" spans="1:14" x14ac:dyDescent="0.25">
      <c r="A52" s="2" t="s">
        <v>90</v>
      </c>
      <c r="B52" s="2" t="s">
        <v>91</v>
      </c>
      <c r="C52" s="3">
        <v>5.5119999999999996</v>
      </c>
      <c r="D52" s="4">
        <v>254.48903999999999</v>
      </c>
      <c r="E52" s="4">
        <v>154.33600000000001</v>
      </c>
      <c r="F52" s="4">
        <f t="shared" si="2"/>
        <v>100.15303999999998</v>
      </c>
      <c r="G52" s="5">
        <f t="shared" si="3"/>
        <v>0.39354559237600167</v>
      </c>
      <c r="H52" s="2" t="s">
        <v>76</v>
      </c>
      <c r="I52" s="6" t="s">
        <v>32</v>
      </c>
      <c r="J52" s="2" t="s">
        <v>77</v>
      </c>
      <c r="K52" s="2" t="s">
        <v>5</v>
      </c>
      <c r="L52" s="2" t="s">
        <v>28</v>
      </c>
      <c r="M52" s="2" t="s">
        <v>5</v>
      </c>
      <c r="N52" s="4">
        <v>2087.15</v>
      </c>
    </row>
    <row r="53" spans="1:14" x14ac:dyDescent="0.25">
      <c r="A53" s="2" t="s">
        <v>90</v>
      </c>
      <c r="B53" s="2" t="s">
        <v>91</v>
      </c>
      <c r="C53" s="3">
        <v>3.6219999999999999</v>
      </c>
      <c r="D53" s="4">
        <v>167.22774000000001</v>
      </c>
      <c r="E53" s="4">
        <v>101.416</v>
      </c>
      <c r="F53" s="4">
        <f t="shared" si="2"/>
        <v>65.811740000000015</v>
      </c>
      <c r="G53" s="5">
        <f t="shared" si="3"/>
        <v>0.39354559237600178</v>
      </c>
      <c r="H53" s="2" t="s">
        <v>84</v>
      </c>
      <c r="I53" s="6" t="s">
        <v>25</v>
      </c>
      <c r="J53" s="2" t="s">
        <v>85</v>
      </c>
      <c r="K53" s="2" t="s">
        <v>5</v>
      </c>
      <c r="L53" s="2" t="s">
        <v>28</v>
      </c>
      <c r="M53" s="2" t="s">
        <v>5</v>
      </c>
      <c r="N53" s="4">
        <v>1570.66</v>
      </c>
    </row>
    <row r="54" spans="1:14" x14ac:dyDescent="0.25">
      <c r="A54" s="2" t="s">
        <v>90</v>
      </c>
      <c r="B54" s="2" t="s">
        <v>91</v>
      </c>
      <c r="C54" s="3">
        <v>7.9349999999999996</v>
      </c>
      <c r="D54" s="4">
        <v>366.35894999999999</v>
      </c>
      <c r="E54" s="4">
        <v>222.18</v>
      </c>
      <c r="F54" s="4">
        <f t="shared" si="2"/>
        <v>144.17894999999999</v>
      </c>
      <c r="G54" s="5">
        <f t="shared" si="3"/>
        <v>0.39354559237600173</v>
      </c>
      <c r="H54" s="2" t="s">
        <v>64</v>
      </c>
      <c r="I54" s="6" t="s">
        <v>39</v>
      </c>
      <c r="J54" s="2" t="s">
        <v>65</v>
      </c>
      <c r="K54" s="2" t="s">
        <v>5</v>
      </c>
      <c r="L54" s="2" t="s">
        <v>28</v>
      </c>
      <c r="M54" s="2" t="s">
        <v>5</v>
      </c>
      <c r="N54" s="4">
        <v>3497.84</v>
      </c>
    </row>
    <row r="55" spans="1:14" x14ac:dyDescent="0.25">
      <c r="A55" s="2" t="s">
        <v>92</v>
      </c>
      <c r="B55" s="2" t="s">
        <v>93</v>
      </c>
      <c r="C55" s="3">
        <v>4</v>
      </c>
      <c r="D55" s="4">
        <v>52.56</v>
      </c>
      <c r="E55" s="4">
        <v>40</v>
      </c>
      <c r="F55" s="4">
        <f t="shared" si="2"/>
        <v>12.560000000000002</v>
      </c>
      <c r="G55" s="5">
        <f t="shared" si="3"/>
        <v>0.23896499238964997</v>
      </c>
      <c r="H55" s="2" t="s">
        <v>64</v>
      </c>
      <c r="I55" s="6" t="s">
        <v>39</v>
      </c>
      <c r="J55" s="2" t="s">
        <v>65</v>
      </c>
      <c r="K55" s="2" t="s">
        <v>5</v>
      </c>
      <c r="L55" s="2" t="s">
        <v>28</v>
      </c>
      <c r="M55" s="2" t="s">
        <v>5</v>
      </c>
      <c r="N55" s="4">
        <v>3497.84</v>
      </c>
    </row>
    <row r="56" spans="1:14" x14ac:dyDescent="0.25">
      <c r="A56" s="2" t="s">
        <v>92</v>
      </c>
      <c r="B56" s="2" t="s">
        <v>93</v>
      </c>
      <c r="C56" s="3">
        <v>8</v>
      </c>
      <c r="D56" s="4">
        <v>105.12</v>
      </c>
      <c r="E56" s="4">
        <v>80</v>
      </c>
      <c r="F56" s="4">
        <f t="shared" si="2"/>
        <v>25.120000000000005</v>
      </c>
      <c r="G56" s="5">
        <f t="shared" si="3"/>
        <v>0.23896499238964997</v>
      </c>
      <c r="H56" s="2" t="s">
        <v>76</v>
      </c>
      <c r="I56" s="6" t="s">
        <v>32</v>
      </c>
      <c r="J56" s="2" t="s">
        <v>77</v>
      </c>
      <c r="K56" s="2" t="s">
        <v>5</v>
      </c>
      <c r="L56" s="2" t="s">
        <v>28</v>
      </c>
      <c r="M56" s="2" t="s">
        <v>5</v>
      </c>
      <c r="N56" s="4">
        <v>2087.15</v>
      </c>
    </row>
    <row r="57" spans="1:14" x14ac:dyDescent="0.25">
      <c r="A57" s="2" t="s">
        <v>92</v>
      </c>
      <c r="B57" s="2" t="s">
        <v>93</v>
      </c>
      <c r="C57" s="3">
        <v>3</v>
      </c>
      <c r="D57" s="4">
        <v>39.42</v>
      </c>
      <c r="E57" s="4">
        <v>30</v>
      </c>
      <c r="F57" s="4">
        <f t="shared" si="2"/>
        <v>9.4200000000000017</v>
      </c>
      <c r="G57" s="5">
        <f t="shared" si="3"/>
        <v>0.23896499238964997</v>
      </c>
      <c r="H57" s="2" t="s">
        <v>68</v>
      </c>
      <c r="I57" s="6" t="s">
        <v>69</v>
      </c>
      <c r="J57" s="2" t="s">
        <v>70</v>
      </c>
      <c r="K57" s="2" t="s">
        <v>5</v>
      </c>
      <c r="L57" s="2" t="s">
        <v>28</v>
      </c>
      <c r="M57" s="2" t="s">
        <v>5</v>
      </c>
      <c r="N57" s="4">
        <v>1318.4</v>
      </c>
    </row>
    <row r="58" spans="1:14" x14ac:dyDescent="0.25">
      <c r="A58" s="2" t="s">
        <v>94</v>
      </c>
      <c r="B58" s="2" t="s">
        <v>95</v>
      </c>
      <c r="C58" s="3">
        <v>16.61</v>
      </c>
      <c r="D58" s="4">
        <v>186.86250000000001</v>
      </c>
      <c r="E58" s="4">
        <v>121.253</v>
      </c>
      <c r="F58" s="4">
        <f t="shared" si="2"/>
        <v>65.609500000000011</v>
      </c>
      <c r="G58" s="5">
        <f t="shared" si="3"/>
        <v>0.35111111111111115</v>
      </c>
      <c r="H58" s="2" t="s">
        <v>68</v>
      </c>
      <c r="I58" s="6" t="s">
        <v>69</v>
      </c>
      <c r="J58" s="2" t="s">
        <v>70</v>
      </c>
      <c r="K58" s="2" t="s">
        <v>5</v>
      </c>
      <c r="L58" s="2" t="s">
        <v>28</v>
      </c>
      <c r="M58" s="2" t="s">
        <v>5</v>
      </c>
      <c r="N58" s="4">
        <v>1318.4</v>
      </c>
    </row>
    <row r="59" spans="1:14" x14ac:dyDescent="0.25">
      <c r="A59" s="2" t="s">
        <v>96</v>
      </c>
      <c r="B59" s="2" t="s">
        <v>97</v>
      </c>
      <c r="C59" s="3">
        <v>6.3449999999999998</v>
      </c>
      <c r="D59" s="4">
        <v>166.30244999999999</v>
      </c>
      <c r="E59" s="4">
        <v>90.733500000000006</v>
      </c>
      <c r="F59" s="4">
        <f t="shared" si="2"/>
        <v>75.568949999999987</v>
      </c>
      <c r="G59" s="5">
        <f t="shared" si="3"/>
        <v>0.45440671499427693</v>
      </c>
      <c r="H59" s="2" t="s">
        <v>64</v>
      </c>
      <c r="I59" s="6" t="s">
        <v>39</v>
      </c>
      <c r="J59" s="2" t="s">
        <v>65</v>
      </c>
      <c r="K59" s="2" t="s">
        <v>5</v>
      </c>
      <c r="L59" s="2" t="s">
        <v>28</v>
      </c>
      <c r="M59" s="2" t="s">
        <v>5</v>
      </c>
      <c r="N59" s="4">
        <v>3497.84</v>
      </c>
    </row>
    <row r="60" spans="1:14" x14ac:dyDescent="0.25">
      <c r="A60" s="2" t="s">
        <v>96</v>
      </c>
      <c r="B60" s="2" t="s">
        <v>97</v>
      </c>
      <c r="C60" s="3">
        <v>5.26</v>
      </c>
      <c r="D60" s="4">
        <v>137.8646</v>
      </c>
      <c r="E60" s="4">
        <v>75.218000000000004</v>
      </c>
      <c r="F60" s="4">
        <f t="shared" si="2"/>
        <v>62.646599999999992</v>
      </c>
      <c r="G60" s="5">
        <f t="shared" si="3"/>
        <v>0.45440671499427693</v>
      </c>
      <c r="H60" s="2" t="s">
        <v>84</v>
      </c>
      <c r="I60" s="6" t="s">
        <v>25</v>
      </c>
      <c r="J60" s="2" t="s">
        <v>85</v>
      </c>
      <c r="K60" s="2" t="s">
        <v>5</v>
      </c>
      <c r="L60" s="2" t="s">
        <v>28</v>
      </c>
      <c r="M60" s="2" t="s">
        <v>5</v>
      </c>
      <c r="N60" s="4">
        <v>1570.66</v>
      </c>
    </row>
    <row r="61" spans="1:14" x14ac:dyDescent="0.25">
      <c r="A61" s="2" t="s">
        <v>96</v>
      </c>
      <c r="B61" s="2" t="s">
        <v>97</v>
      </c>
      <c r="C61" s="3">
        <v>7.8</v>
      </c>
      <c r="D61" s="4">
        <v>204.43799999999999</v>
      </c>
      <c r="E61" s="4">
        <v>111.54</v>
      </c>
      <c r="F61" s="4">
        <f t="shared" si="2"/>
        <v>92.897999999999982</v>
      </c>
      <c r="G61" s="5">
        <f t="shared" si="3"/>
        <v>0.45440671499427693</v>
      </c>
      <c r="H61" s="2" t="s">
        <v>76</v>
      </c>
      <c r="I61" s="6" t="s">
        <v>32</v>
      </c>
      <c r="J61" s="2" t="s">
        <v>77</v>
      </c>
      <c r="K61" s="2" t="s">
        <v>5</v>
      </c>
      <c r="L61" s="2" t="s">
        <v>28</v>
      </c>
      <c r="M61" s="2" t="s">
        <v>5</v>
      </c>
      <c r="N61" s="4">
        <v>2087.15</v>
      </c>
    </row>
    <row r="62" spans="1:14" x14ac:dyDescent="0.25">
      <c r="A62" s="2" t="s">
        <v>98</v>
      </c>
      <c r="B62" s="2" t="s">
        <v>99</v>
      </c>
      <c r="C62" s="3">
        <v>12.234999999999999</v>
      </c>
      <c r="D62" s="4">
        <v>629.98014999999998</v>
      </c>
      <c r="E62" s="4">
        <v>501.63499999999999</v>
      </c>
      <c r="F62" s="4">
        <f t="shared" si="2"/>
        <v>128.34514999999999</v>
      </c>
      <c r="G62" s="5">
        <f t="shared" si="3"/>
        <v>0.20372887939405709</v>
      </c>
      <c r="H62" s="2" t="s">
        <v>84</v>
      </c>
      <c r="I62" s="6" t="s">
        <v>25</v>
      </c>
      <c r="J62" s="2" t="s">
        <v>85</v>
      </c>
      <c r="K62" s="2" t="s">
        <v>5</v>
      </c>
      <c r="L62" s="2" t="s">
        <v>28</v>
      </c>
      <c r="M62" s="2" t="s">
        <v>5</v>
      </c>
      <c r="N62" s="4">
        <v>1570.66</v>
      </c>
    </row>
    <row r="63" spans="1:14" x14ac:dyDescent="0.25">
      <c r="A63" s="2" t="s">
        <v>100</v>
      </c>
      <c r="B63" s="2" t="s">
        <v>101</v>
      </c>
      <c r="C63" s="3">
        <v>11.345000000000001</v>
      </c>
      <c r="D63" s="4">
        <v>263.65780000000001</v>
      </c>
      <c r="E63" s="4">
        <v>158.83000000000001</v>
      </c>
      <c r="F63" s="4">
        <f t="shared" si="2"/>
        <v>104.8278</v>
      </c>
      <c r="G63" s="5">
        <f t="shared" si="3"/>
        <v>0.39759036144578308</v>
      </c>
      <c r="H63" s="2" t="s">
        <v>68</v>
      </c>
      <c r="I63" s="6" t="s">
        <v>69</v>
      </c>
      <c r="J63" s="2" t="s">
        <v>70</v>
      </c>
      <c r="K63" s="2" t="s">
        <v>5</v>
      </c>
      <c r="L63" s="2" t="s">
        <v>28</v>
      </c>
      <c r="M63" s="2" t="s">
        <v>5</v>
      </c>
      <c r="N63" s="4">
        <v>1318.4</v>
      </c>
    </row>
    <row r="64" spans="1:14" x14ac:dyDescent="0.25">
      <c r="A64" s="2" t="s">
        <v>102</v>
      </c>
      <c r="B64" s="2" t="s">
        <v>103</v>
      </c>
      <c r="C64" s="3">
        <v>12.57</v>
      </c>
      <c r="D64" s="4">
        <v>321.28919999999999</v>
      </c>
      <c r="E64" s="4">
        <v>185.4075</v>
      </c>
      <c r="F64" s="4">
        <f t="shared" si="2"/>
        <v>135.8817</v>
      </c>
      <c r="G64" s="5">
        <f t="shared" si="3"/>
        <v>0.4229264475743349</v>
      </c>
      <c r="H64" s="2" t="s">
        <v>73</v>
      </c>
      <c r="I64" s="6" t="s">
        <v>74</v>
      </c>
      <c r="J64" s="2" t="s">
        <v>75</v>
      </c>
      <c r="K64" s="2" t="s">
        <v>5</v>
      </c>
      <c r="L64" s="2" t="s">
        <v>28</v>
      </c>
      <c r="M64" s="2" t="s">
        <v>5</v>
      </c>
      <c r="N64" s="4">
        <v>594.55999999999995</v>
      </c>
    </row>
    <row r="65" spans="1:14" x14ac:dyDescent="0.25">
      <c r="A65" s="2" t="s">
        <v>102</v>
      </c>
      <c r="B65" s="2" t="s">
        <v>103</v>
      </c>
      <c r="C65" s="3">
        <v>27.524999999999999</v>
      </c>
      <c r="D65" s="4">
        <v>703.53899999999999</v>
      </c>
      <c r="E65" s="4">
        <v>405.99374999999998</v>
      </c>
      <c r="F65" s="4">
        <f t="shared" si="2"/>
        <v>297.54525000000001</v>
      </c>
      <c r="G65" s="5">
        <f t="shared" si="3"/>
        <v>0.4229264475743349</v>
      </c>
      <c r="H65" s="2" t="s">
        <v>64</v>
      </c>
      <c r="I65" s="6" t="s">
        <v>39</v>
      </c>
      <c r="J65" s="2" t="s">
        <v>65</v>
      </c>
      <c r="K65" s="2" t="s">
        <v>5</v>
      </c>
      <c r="L65" s="2" t="s">
        <v>28</v>
      </c>
      <c r="M65" s="2" t="s">
        <v>5</v>
      </c>
      <c r="N65" s="4">
        <v>3497.84</v>
      </c>
    </row>
    <row r="66" spans="1:14" x14ac:dyDescent="0.25">
      <c r="A66" s="2" t="s">
        <v>104</v>
      </c>
      <c r="B66" s="2" t="s">
        <v>105</v>
      </c>
      <c r="C66" s="3">
        <v>12.675000000000001</v>
      </c>
      <c r="D66" s="4">
        <v>304.45350000000002</v>
      </c>
      <c r="E66" s="4">
        <v>183.78749999999999</v>
      </c>
      <c r="F66" s="4">
        <f t="shared" si="2"/>
        <v>120.66600000000003</v>
      </c>
      <c r="G66" s="5">
        <f t="shared" si="3"/>
        <v>0.3963363863447128</v>
      </c>
      <c r="H66" s="2" t="s">
        <v>84</v>
      </c>
      <c r="I66" s="6" t="s">
        <v>25</v>
      </c>
      <c r="J66" s="2" t="s">
        <v>85</v>
      </c>
      <c r="K66" s="2" t="s">
        <v>5</v>
      </c>
      <c r="L66" s="2" t="s">
        <v>28</v>
      </c>
      <c r="M66" s="2" t="s">
        <v>5</v>
      </c>
      <c r="N66" s="4">
        <v>1570.66</v>
      </c>
    </row>
    <row r="67" spans="1:14" x14ac:dyDescent="0.25">
      <c r="A67" s="2" t="s">
        <v>104</v>
      </c>
      <c r="B67" s="2" t="s">
        <v>105</v>
      </c>
      <c r="C67" s="3">
        <v>37.664999999999999</v>
      </c>
      <c r="D67" s="4">
        <v>904.7133</v>
      </c>
      <c r="E67" s="4">
        <v>546.14250000000004</v>
      </c>
      <c r="F67" s="4">
        <f t="shared" si="2"/>
        <v>358.57079999999996</v>
      </c>
      <c r="G67" s="5">
        <f t="shared" si="3"/>
        <v>0.39633638634471269</v>
      </c>
      <c r="H67" s="2" t="s">
        <v>76</v>
      </c>
      <c r="I67" s="6" t="s">
        <v>32</v>
      </c>
      <c r="J67" s="2" t="s">
        <v>77</v>
      </c>
      <c r="K67" s="2" t="s">
        <v>5</v>
      </c>
      <c r="L67" s="2" t="s">
        <v>28</v>
      </c>
      <c r="M67" s="2" t="s">
        <v>5</v>
      </c>
      <c r="N67" s="4">
        <v>2087.15</v>
      </c>
    </row>
    <row r="68" spans="1:14" x14ac:dyDescent="0.25">
      <c r="A68" s="2" t="s">
        <v>104</v>
      </c>
      <c r="B68" s="2" t="s">
        <v>105</v>
      </c>
      <c r="C68" s="3">
        <v>25.225000000000001</v>
      </c>
      <c r="D68" s="4">
        <v>605.90449999999998</v>
      </c>
      <c r="E68" s="4">
        <v>365.76249999999999</v>
      </c>
      <c r="F68" s="4">
        <f t="shared" si="2"/>
        <v>240.142</v>
      </c>
      <c r="G68" s="5">
        <f t="shared" si="3"/>
        <v>0.39633638634471274</v>
      </c>
      <c r="H68" s="2" t="s">
        <v>64</v>
      </c>
      <c r="I68" s="6" t="s">
        <v>39</v>
      </c>
      <c r="J68" s="2" t="s">
        <v>65</v>
      </c>
      <c r="K68" s="2" t="s">
        <v>5</v>
      </c>
      <c r="L68" s="2" t="s">
        <v>28</v>
      </c>
      <c r="M68" s="2" t="s">
        <v>5</v>
      </c>
      <c r="N68" s="4">
        <v>3497.84</v>
      </c>
    </row>
    <row r="69" spans="1:14" x14ac:dyDescent="0.25">
      <c r="A69" s="2" t="s">
        <v>106</v>
      </c>
      <c r="B69" s="2" t="s">
        <v>107</v>
      </c>
      <c r="C69" s="3">
        <v>10.06</v>
      </c>
      <c r="D69" s="4">
        <v>153.31440000000001</v>
      </c>
      <c r="E69" s="4">
        <v>125.75</v>
      </c>
      <c r="F69" s="4">
        <f t="shared" si="2"/>
        <v>27.564400000000006</v>
      </c>
      <c r="G69" s="5">
        <f t="shared" si="3"/>
        <v>0.17979002624671919</v>
      </c>
      <c r="H69" s="2" t="s">
        <v>84</v>
      </c>
      <c r="I69" s="6" t="s">
        <v>25</v>
      </c>
      <c r="J69" s="2" t="s">
        <v>85</v>
      </c>
      <c r="K69" s="2" t="s">
        <v>5</v>
      </c>
      <c r="L69" s="2" t="s">
        <v>28</v>
      </c>
      <c r="M69" s="2" t="s">
        <v>5</v>
      </c>
      <c r="N69" s="4">
        <v>1570.66</v>
      </c>
    </row>
    <row r="70" spans="1:14" x14ac:dyDescent="0.25">
      <c r="A70" s="2" t="s">
        <v>106</v>
      </c>
      <c r="B70" s="2" t="s">
        <v>107</v>
      </c>
      <c r="C70" s="3">
        <v>19.579999999999998</v>
      </c>
      <c r="D70" s="4">
        <v>298.39920000000001</v>
      </c>
      <c r="E70" s="4">
        <v>244.75</v>
      </c>
      <c r="F70" s="4">
        <f t="shared" si="2"/>
        <v>53.649200000000008</v>
      </c>
      <c r="G70" s="5">
        <f t="shared" si="3"/>
        <v>0.17979002624671919</v>
      </c>
      <c r="H70" s="2" t="s">
        <v>64</v>
      </c>
      <c r="I70" s="6" t="s">
        <v>39</v>
      </c>
      <c r="J70" s="2" t="s">
        <v>65</v>
      </c>
      <c r="K70" s="2" t="s">
        <v>5</v>
      </c>
      <c r="L70" s="2" t="s">
        <v>28</v>
      </c>
      <c r="M70" s="2" t="s">
        <v>5</v>
      </c>
      <c r="N70" s="4">
        <v>3497.84</v>
      </c>
    </row>
    <row r="71" spans="1:14" x14ac:dyDescent="0.25">
      <c r="A71" s="2" t="s">
        <v>108</v>
      </c>
      <c r="B71" s="2" t="s">
        <v>109</v>
      </c>
      <c r="C71" s="3">
        <v>6.08</v>
      </c>
      <c r="D71" s="4">
        <v>87.977599999999995</v>
      </c>
      <c r="E71" s="4">
        <v>51.68</v>
      </c>
      <c r="F71" s="4">
        <f t="shared" si="2"/>
        <v>36.297599999999996</v>
      </c>
      <c r="G71" s="5">
        <f t="shared" si="3"/>
        <v>0.41257774706288869</v>
      </c>
      <c r="H71" s="2" t="s">
        <v>76</v>
      </c>
      <c r="I71" s="6" t="s">
        <v>32</v>
      </c>
      <c r="J71" s="2" t="s">
        <v>77</v>
      </c>
      <c r="K71" s="2" t="s">
        <v>5</v>
      </c>
      <c r="L71" s="2" t="s">
        <v>28</v>
      </c>
      <c r="M71" s="2" t="s">
        <v>5</v>
      </c>
      <c r="N71" s="4">
        <v>2087.15</v>
      </c>
    </row>
    <row r="72" spans="1:14" x14ac:dyDescent="0.25">
      <c r="A72" s="2" t="s">
        <v>110</v>
      </c>
      <c r="B72" s="2" t="s">
        <v>111</v>
      </c>
      <c r="C72" s="3">
        <v>5.66</v>
      </c>
      <c r="D72" s="4">
        <v>56.486800000000002</v>
      </c>
      <c r="E72" s="4">
        <v>53.77</v>
      </c>
      <c r="F72" s="4">
        <f t="shared" si="2"/>
        <v>2.7167999999999992</v>
      </c>
      <c r="G72" s="5">
        <f t="shared" si="3"/>
        <v>4.8096192384769525E-2</v>
      </c>
      <c r="H72" s="2" t="s">
        <v>68</v>
      </c>
      <c r="I72" s="6" t="s">
        <v>69</v>
      </c>
      <c r="J72" s="2" t="s">
        <v>70</v>
      </c>
      <c r="K72" s="2" t="s">
        <v>5</v>
      </c>
      <c r="L72" s="2" t="s">
        <v>28</v>
      </c>
      <c r="M72" s="2" t="s">
        <v>5</v>
      </c>
      <c r="N72" s="4">
        <v>1318.4</v>
      </c>
    </row>
    <row r="74" spans="1:14" x14ac:dyDescent="0.25">
      <c r="A74" s="13" t="s">
        <v>59</v>
      </c>
      <c r="B74" s="21"/>
      <c r="C74" s="22">
        <f>SUM(C34:C73)</f>
        <v>475.66300000000012</v>
      </c>
      <c r="D74" s="23">
        <f>SUM(D34:D73)</f>
        <v>9068.6084200000005</v>
      </c>
      <c r="E74" s="23">
        <f>SUM(E34:E73)</f>
        <v>5565.6070500000005</v>
      </c>
      <c r="F74" s="23">
        <f>D74-E74</f>
        <v>3503.00137</v>
      </c>
      <c r="G74" s="24">
        <f>IF(((D74)=0),0,(D74-E74)/ D74)</f>
        <v>0.38627771845065506</v>
      </c>
      <c r="H74" s="21"/>
      <c r="I74" s="21"/>
      <c r="J74" s="21"/>
      <c r="K74" s="21"/>
      <c r="L74" s="21"/>
      <c r="M74" s="21"/>
      <c r="N74" s="21"/>
    </row>
    <row r="76" spans="1:14" s="17" customFormat="1" ht="18.75" x14ac:dyDescent="0.3"/>
    <row r="77" spans="1:14" s="7" customFormat="1" x14ac:dyDescent="0.25">
      <c r="A77" s="13" t="s">
        <v>112</v>
      </c>
      <c r="B77" s="18" t="s">
        <v>113</v>
      </c>
      <c r="C77" s="19"/>
      <c r="D77" s="20" t="s">
        <v>5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9" spans="1:14" x14ac:dyDescent="0.25">
      <c r="A79" s="2" t="s">
        <v>29</v>
      </c>
      <c r="B79" s="2" t="s">
        <v>30</v>
      </c>
      <c r="C79" s="3">
        <v>6.1150000000000002</v>
      </c>
      <c r="D79" s="4">
        <v>93.681799999999996</v>
      </c>
      <c r="E79" s="4">
        <v>61.15</v>
      </c>
      <c r="F79" s="4">
        <f t="shared" ref="F79:F85" si="4">D79-E79</f>
        <v>32.531799999999997</v>
      </c>
      <c r="G79" s="5">
        <f t="shared" ref="G79:G85" si="5">IF(((D79)=0),0,(D79-E79)/ D79)</f>
        <v>0.34725848563968664</v>
      </c>
      <c r="H79" s="2" t="s">
        <v>114</v>
      </c>
      <c r="I79" s="6" t="s">
        <v>39</v>
      </c>
      <c r="J79" s="2" t="s">
        <v>115</v>
      </c>
      <c r="K79" s="2" t="s">
        <v>5</v>
      </c>
      <c r="L79" s="2" t="s">
        <v>28</v>
      </c>
      <c r="M79" s="2" t="s">
        <v>5</v>
      </c>
      <c r="N79" s="4">
        <v>418</v>
      </c>
    </row>
    <row r="80" spans="1:14" x14ac:dyDescent="0.25">
      <c r="A80" s="2" t="s">
        <v>29</v>
      </c>
      <c r="B80" s="2" t="s">
        <v>30</v>
      </c>
      <c r="C80" s="3">
        <v>6.15</v>
      </c>
      <c r="D80" s="4">
        <v>94.218000000000004</v>
      </c>
      <c r="E80" s="4">
        <v>61.5</v>
      </c>
      <c r="F80" s="4">
        <f t="shared" si="4"/>
        <v>32.718000000000004</v>
      </c>
      <c r="G80" s="5">
        <f t="shared" si="5"/>
        <v>0.3472584856396867</v>
      </c>
      <c r="H80" s="2" t="s">
        <v>116</v>
      </c>
      <c r="I80" s="6" t="s">
        <v>32</v>
      </c>
      <c r="J80" s="2" t="s">
        <v>117</v>
      </c>
      <c r="K80" s="2" t="s">
        <v>5</v>
      </c>
      <c r="L80" s="2" t="s">
        <v>28</v>
      </c>
      <c r="M80" s="2" t="s">
        <v>5</v>
      </c>
      <c r="N80" s="4">
        <v>1410.99</v>
      </c>
    </row>
    <row r="81" spans="1:14" x14ac:dyDescent="0.25">
      <c r="A81" s="2" t="s">
        <v>118</v>
      </c>
      <c r="B81" s="2" t="s">
        <v>119</v>
      </c>
      <c r="C81" s="3">
        <v>5.5339999999999998</v>
      </c>
      <c r="D81" s="4">
        <v>90.536240000000006</v>
      </c>
      <c r="E81" s="4">
        <v>41.505000000000003</v>
      </c>
      <c r="F81" s="4">
        <f t="shared" si="4"/>
        <v>49.031240000000004</v>
      </c>
      <c r="G81" s="5">
        <f t="shared" si="5"/>
        <v>0.54156479217603914</v>
      </c>
      <c r="H81" s="2" t="s">
        <v>114</v>
      </c>
      <c r="I81" s="6" t="s">
        <v>39</v>
      </c>
      <c r="J81" s="2" t="s">
        <v>115</v>
      </c>
      <c r="K81" s="2" t="s">
        <v>5</v>
      </c>
      <c r="L81" s="2" t="s">
        <v>28</v>
      </c>
      <c r="M81" s="2" t="s">
        <v>5</v>
      </c>
      <c r="N81" s="4">
        <v>418</v>
      </c>
    </row>
    <row r="82" spans="1:14" x14ac:dyDescent="0.25">
      <c r="A82" s="2" t="s">
        <v>120</v>
      </c>
      <c r="B82" s="2" t="s">
        <v>121</v>
      </c>
      <c r="C82" s="3">
        <v>11.22</v>
      </c>
      <c r="D82" s="4">
        <v>538.3356</v>
      </c>
      <c r="E82" s="4">
        <v>436.45800000000003</v>
      </c>
      <c r="F82" s="4">
        <f t="shared" si="4"/>
        <v>101.87759999999997</v>
      </c>
      <c r="G82" s="5">
        <f t="shared" si="5"/>
        <v>0.18924551896623587</v>
      </c>
      <c r="H82" s="2" t="s">
        <v>116</v>
      </c>
      <c r="I82" s="6" t="s">
        <v>32</v>
      </c>
      <c r="J82" s="2" t="s">
        <v>117</v>
      </c>
      <c r="K82" s="2" t="s">
        <v>5</v>
      </c>
      <c r="L82" s="2" t="s">
        <v>28</v>
      </c>
      <c r="M82" s="2" t="s">
        <v>5</v>
      </c>
      <c r="N82" s="4">
        <v>1410.99</v>
      </c>
    </row>
    <row r="83" spans="1:14" x14ac:dyDescent="0.25">
      <c r="A83" s="2" t="s">
        <v>122</v>
      </c>
      <c r="B83" s="2" t="s">
        <v>123</v>
      </c>
      <c r="C83" s="3">
        <v>3.96</v>
      </c>
      <c r="D83" s="4">
        <v>45.025199999999998</v>
      </c>
      <c r="E83" s="4">
        <v>21.78</v>
      </c>
      <c r="F83" s="4">
        <f t="shared" si="4"/>
        <v>23.245199999999997</v>
      </c>
      <c r="G83" s="5">
        <f t="shared" si="5"/>
        <v>0.51627088830255052</v>
      </c>
      <c r="H83" s="2" t="s">
        <v>116</v>
      </c>
      <c r="I83" s="6" t="s">
        <v>32</v>
      </c>
      <c r="J83" s="2" t="s">
        <v>117</v>
      </c>
      <c r="K83" s="2" t="s">
        <v>5</v>
      </c>
      <c r="L83" s="2" t="s">
        <v>28</v>
      </c>
      <c r="M83" s="2" t="s">
        <v>5</v>
      </c>
      <c r="N83" s="4">
        <v>1410.99</v>
      </c>
    </row>
    <row r="84" spans="1:14" x14ac:dyDescent="0.25">
      <c r="A84" s="2" t="s">
        <v>124</v>
      </c>
      <c r="B84" s="2" t="s">
        <v>125</v>
      </c>
      <c r="C84" s="3">
        <v>22.65</v>
      </c>
      <c r="D84" s="4">
        <v>733.40700000000004</v>
      </c>
      <c r="E84" s="4">
        <v>492.63749999999999</v>
      </c>
      <c r="F84" s="4">
        <f t="shared" si="4"/>
        <v>240.76950000000005</v>
      </c>
      <c r="G84" s="5">
        <f t="shared" si="5"/>
        <v>0.32828906732550961</v>
      </c>
      <c r="H84" s="2" t="s">
        <v>116</v>
      </c>
      <c r="I84" s="6" t="s">
        <v>32</v>
      </c>
      <c r="J84" s="2" t="s">
        <v>117</v>
      </c>
      <c r="K84" s="2" t="s">
        <v>5</v>
      </c>
      <c r="L84" s="2" t="s">
        <v>28</v>
      </c>
      <c r="M84" s="2" t="s">
        <v>5</v>
      </c>
      <c r="N84" s="4">
        <v>1410.99</v>
      </c>
    </row>
    <row r="85" spans="1:14" x14ac:dyDescent="0.25">
      <c r="A85" s="2" t="s">
        <v>124</v>
      </c>
      <c r="B85" s="2" t="s">
        <v>125</v>
      </c>
      <c r="C85" s="3">
        <v>7.22</v>
      </c>
      <c r="D85" s="4">
        <v>233.78360000000001</v>
      </c>
      <c r="E85" s="4">
        <v>157.035</v>
      </c>
      <c r="F85" s="4">
        <f t="shared" si="4"/>
        <v>76.74860000000001</v>
      </c>
      <c r="G85" s="5">
        <f t="shared" si="5"/>
        <v>0.32828906732550961</v>
      </c>
      <c r="H85" s="2" t="s">
        <v>114</v>
      </c>
      <c r="I85" s="6" t="s">
        <v>39</v>
      </c>
      <c r="J85" s="2" t="s">
        <v>115</v>
      </c>
      <c r="K85" s="2" t="s">
        <v>5</v>
      </c>
      <c r="L85" s="2" t="s">
        <v>28</v>
      </c>
      <c r="M85" s="2" t="s">
        <v>5</v>
      </c>
      <c r="N85" s="4">
        <v>418</v>
      </c>
    </row>
    <row r="87" spans="1:14" x14ac:dyDescent="0.25">
      <c r="A87" s="13" t="s">
        <v>59</v>
      </c>
      <c r="B87" s="21"/>
      <c r="C87" s="22">
        <f>SUM(C76:C86)</f>
        <v>62.848999999999997</v>
      </c>
      <c r="D87" s="23">
        <f>SUM(D76:D86)</f>
        <v>1828.9874400000001</v>
      </c>
      <c r="E87" s="23">
        <f>SUM(E76:E86)</f>
        <v>1272.0655000000002</v>
      </c>
      <c r="F87" s="23">
        <f>D87-E87</f>
        <v>556.92193999999995</v>
      </c>
      <c r="G87" s="24">
        <f>IF(((D87)=0),0,(D87-E87)/ D87)</f>
        <v>0.30449741087341742</v>
      </c>
      <c r="H87" s="21"/>
      <c r="I87" s="21"/>
      <c r="J87" s="21"/>
      <c r="K87" s="21"/>
      <c r="L87" s="21"/>
      <c r="M87" s="21"/>
      <c r="N87" s="21"/>
    </row>
    <row r="89" spans="1:14" s="17" customFormat="1" ht="18.75" x14ac:dyDescent="0.3"/>
    <row r="90" spans="1:14" s="7" customFormat="1" x14ac:dyDescent="0.25">
      <c r="A90" s="13" t="s">
        <v>126</v>
      </c>
      <c r="B90" s="18" t="s">
        <v>127</v>
      </c>
      <c r="C90" s="19"/>
      <c r="D90" s="20" t="s">
        <v>5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2" spans="1:14" x14ac:dyDescent="0.25">
      <c r="A92" s="2" t="s">
        <v>128</v>
      </c>
      <c r="B92" s="2" t="s">
        <v>129</v>
      </c>
      <c r="C92" s="3">
        <v>5</v>
      </c>
      <c r="D92" s="4">
        <v>76.599999999999994</v>
      </c>
      <c r="E92" s="4">
        <v>54.9</v>
      </c>
      <c r="F92" s="4">
        <f t="shared" ref="F92:F97" si="6">D92-E92</f>
        <v>21.699999999999996</v>
      </c>
      <c r="G92" s="5">
        <f t="shared" ref="G92:G97" si="7">IF(((D92)=0),0,(D92-E92)/ D92)</f>
        <v>0.28328981723237595</v>
      </c>
      <c r="H92" s="2" t="s">
        <v>130</v>
      </c>
      <c r="I92" s="6" t="s">
        <v>39</v>
      </c>
      <c r="J92" s="2" t="s">
        <v>131</v>
      </c>
      <c r="K92" s="2" t="s">
        <v>5</v>
      </c>
      <c r="L92" s="2" t="s">
        <v>28</v>
      </c>
      <c r="M92" s="2" t="s">
        <v>5</v>
      </c>
      <c r="N92" s="4">
        <v>375.37</v>
      </c>
    </row>
    <row r="93" spans="1:14" x14ac:dyDescent="0.25">
      <c r="A93" s="2" t="s">
        <v>29</v>
      </c>
      <c r="B93" s="2" t="s">
        <v>30</v>
      </c>
      <c r="C93" s="3">
        <v>10.18</v>
      </c>
      <c r="D93" s="4">
        <v>155.95760000000001</v>
      </c>
      <c r="E93" s="4">
        <v>101.8</v>
      </c>
      <c r="F93" s="4">
        <f t="shared" si="6"/>
        <v>54.157600000000016</v>
      </c>
      <c r="G93" s="5">
        <f t="shared" si="7"/>
        <v>0.34725848563968675</v>
      </c>
      <c r="H93" s="2" t="s">
        <v>132</v>
      </c>
      <c r="I93" s="6" t="s">
        <v>32</v>
      </c>
      <c r="J93" s="2" t="s">
        <v>133</v>
      </c>
      <c r="K93" s="2" t="s">
        <v>5</v>
      </c>
      <c r="L93" s="2" t="s">
        <v>28</v>
      </c>
      <c r="M93" s="2" t="s">
        <v>5</v>
      </c>
      <c r="N93" s="4">
        <v>247.89</v>
      </c>
    </row>
    <row r="94" spans="1:14" x14ac:dyDescent="0.25">
      <c r="A94" s="2" t="s">
        <v>29</v>
      </c>
      <c r="B94" s="2" t="s">
        <v>30</v>
      </c>
      <c r="C94" s="3">
        <v>10</v>
      </c>
      <c r="D94" s="4">
        <v>153.19999999999999</v>
      </c>
      <c r="E94" s="4">
        <v>100</v>
      </c>
      <c r="F94" s="4">
        <f t="shared" si="6"/>
        <v>53.199999999999989</v>
      </c>
      <c r="G94" s="5">
        <f t="shared" si="7"/>
        <v>0.34725848563968664</v>
      </c>
      <c r="H94" s="2" t="s">
        <v>130</v>
      </c>
      <c r="I94" s="6" t="s">
        <v>39</v>
      </c>
      <c r="J94" s="2" t="s">
        <v>131</v>
      </c>
      <c r="K94" s="2" t="s">
        <v>5</v>
      </c>
      <c r="L94" s="2" t="s">
        <v>28</v>
      </c>
      <c r="M94" s="2" t="s">
        <v>5</v>
      </c>
      <c r="N94" s="4">
        <v>375.37</v>
      </c>
    </row>
    <row r="95" spans="1:14" x14ac:dyDescent="0.25">
      <c r="A95" s="2" t="s">
        <v>134</v>
      </c>
      <c r="B95" s="2" t="s">
        <v>135</v>
      </c>
      <c r="C95" s="3">
        <v>7.11</v>
      </c>
      <c r="D95" s="4">
        <v>90.154799999999994</v>
      </c>
      <c r="E95" s="4">
        <v>50.481000000000002</v>
      </c>
      <c r="F95" s="4">
        <f t="shared" si="6"/>
        <v>39.673799999999993</v>
      </c>
      <c r="G95" s="5">
        <f t="shared" si="7"/>
        <v>0.44006309148264977</v>
      </c>
      <c r="H95" s="2" t="s">
        <v>130</v>
      </c>
      <c r="I95" s="6" t="s">
        <v>39</v>
      </c>
      <c r="J95" s="2" t="s">
        <v>131</v>
      </c>
      <c r="K95" s="2" t="s">
        <v>5</v>
      </c>
      <c r="L95" s="2" t="s">
        <v>28</v>
      </c>
      <c r="M95" s="2" t="s">
        <v>5</v>
      </c>
      <c r="N95" s="4">
        <v>375.37</v>
      </c>
    </row>
    <row r="96" spans="1:14" x14ac:dyDescent="0.25">
      <c r="A96" s="2" t="s">
        <v>134</v>
      </c>
      <c r="B96" s="2" t="s">
        <v>135</v>
      </c>
      <c r="C96" s="3">
        <v>7.25</v>
      </c>
      <c r="D96" s="4">
        <v>91.93</v>
      </c>
      <c r="E96" s="4">
        <v>51.475000000000001</v>
      </c>
      <c r="F96" s="4">
        <f t="shared" si="6"/>
        <v>40.455000000000005</v>
      </c>
      <c r="G96" s="5">
        <f t="shared" si="7"/>
        <v>0.44006309148264988</v>
      </c>
      <c r="H96" s="2" t="s">
        <v>132</v>
      </c>
      <c r="I96" s="6" t="s">
        <v>32</v>
      </c>
      <c r="J96" s="2" t="s">
        <v>133</v>
      </c>
      <c r="K96" s="2" t="s">
        <v>5</v>
      </c>
      <c r="L96" s="2" t="s">
        <v>28</v>
      </c>
      <c r="M96" s="2" t="s">
        <v>5</v>
      </c>
      <c r="N96" s="4">
        <v>247.89</v>
      </c>
    </row>
    <row r="97" spans="1:14" x14ac:dyDescent="0.25">
      <c r="A97" s="2" t="s">
        <v>136</v>
      </c>
      <c r="B97" s="2" t="s">
        <v>137</v>
      </c>
      <c r="C97" s="3">
        <v>2.06</v>
      </c>
      <c r="D97" s="4">
        <v>55.414000000000001</v>
      </c>
      <c r="E97" s="4">
        <v>28.84</v>
      </c>
      <c r="F97" s="4">
        <f t="shared" si="6"/>
        <v>26.574000000000002</v>
      </c>
      <c r="G97" s="5">
        <f t="shared" si="7"/>
        <v>0.4795539033457249</v>
      </c>
      <c r="H97" s="2" t="s">
        <v>130</v>
      </c>
      <c r="I97" s="6" t="s">
        <v>39</v>
      </c>
      <c r="J97" s="2" t="s">
        <v>131</v>
      </c>
      <c r="K97" s="2" t="s">
        <v>5</v>
      </c>
      <c r="L97" s="2" t="s">
        <v>28</v>
      </c>
      <c r="M97" s="2" t="s">
        <v>5</v>
      </c>
      <c r="N97" s="4">
        <v>375.37</v>
      </c>
    </row>
    <row r="99" spans="1:14" x14ac:dyDescent="0.25">
      <c r="A99" s="13" t="s">
        <v>59</v>
      </c>
      <c r="B99" s="21"/>
      <c r="C99" s="22">
        <f>SUM(C89:C98)</f>
        <v>41.6</v>
      </c>
      <c r="D99" s="23">
        <f>SUM(D89:D98)</f>
        <v>623.25639999999999</v>
      </c>
      <c r="E99" s="23">
        <f>SUM(E89:E98)</f>
        <v>387.49599999999998</v>
      </c>
      <c r="F99" s="23">
        <f>D99-E99</f>
        <v>235.7604</v>
      </c>
      <c r="G99" s="24">
        <f>IF(((D99)=0),0,(D99-E99)/ D99)</f>
        <v>0.37827192789356034</v>
      </c>
      <c r="H99" s="21"/>
      <c r="I99" s="21"/>
      <c r="J99" s="21"/>
      <c r="K99" s="21"/>
      <c r="L99" s="21"/>
      <c r="M99" s="21"/>
      <c r="N99" s="21"/>
    </row>
    <row r="101" spans="1:14" s="17" customFormat="1" ht="18.75" x14ac:dyDescent="0.3"/>
    <row r="102" spans="1:14" s="7" customFormat="1" x14ac:dyDescent="0.25">
      <c r="A102" s="13" t="s">
        <v>138</v>
      </c>
      <c r="B102" s="18" t="s">
        <v>139</v>
      </c>
      <c r="C102" s="19"/>
      <c r="D102" s="20" t="s">
        <v>5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4" spans="1:14" x14ac:dyDescent="0.25">
      <c r="A104" s="2" t="s">
        <v>128</v>
      </c>
      <c r="B104" s="2" t="s">
        <v>129</v>
      </c>
      <c r="C104" s="3">
        <v>25</v>
      </c>
      <c r="D104" s="4">
        <v>366.5</v>
      </c>
      <c r="E104" s="4">
        <v>274.5</v>
      </c>
      <c r="F104" s="4">
        <f t="shared" ref="F104:F134" si="8">D104-E104</f>
        <v>92</v>
      </c>
      <c r="G104" s="5">
        <f t="shared" ref="G104:G134" si="9">IF(((D104)=0),0,(D104-E104)/ D104)</f>
        <v>0.25102319236016374</v>
      </c>
      <c r="H104" s="2" t="s">
        <v>140</v>
      </c>
      <c r="I104" s="6" t="s">
        <v>39</v>
      </c>
      <c r="J104" s="2" t="s">
        <v>141</v>
      </c>
      <c r="K104" s="2" t="s">
        <v>142</v>
      </c>
      <c r="L104" s="2" t="s">
        <v>28</v>
      </c>
      <c r="M104" s="2" t="s">
        <v>5</v>
      </c>
      <c r="N104" s="4">
        <v>2685.01</v>
      </c>
    </row>
    <row r="105" spans="1:14" x14ac:dyDescent="0.25">
      <c r="A105" s="2" t="s">
        <v>128</v>
      </c>
      <c r="B105" s="2" t="s">
        <v>129</v>
      </c>
      <c r="C105" s="3">
        <v>30</v>
      </c>
      <c r="D105" s="4">
        <v>439.8</v>
      </c>
      <c r="E105" s="4">
        <v>329.4</v>
      </c>
      <c r="F105" s="4">
        <f t="shared" si="8"/>
        <v>110.40000000000003</v>
      </c>
      <c r="G105" s="5">
        <f t="shared" si="9"/>
        <v>0.25102319236016379</v>
      </c>
      <c r="H105" s="2" t="s">
        <v>143</v>
      </c>
      <c r="I105" s="6" t="s">
        <v>32</v>
      </c>
      <c r="J105" s="2" t="s">
        <v>144</v>
      </c>
      <c r="K105" s="2" t="s">
        <v>145</v>
      </c>
      <c r="L105" s="2" t="s">
        <v>28</v>
      </c>
      <c r="M105" s="2" t="s">
        <v>5</v>
      </c>
      <c r="N105" s="4">
        <v>6096.77</v>
      </c>
    </row>
    <row r="106" spans="1:14" x14ac:dyDescent="0.25">
      <c r="A106" s="2" t="s">
        <v>29</v>
      </c>
      <c r="B106" s="2" t="s">
        <v>30</v>
      </c>
      <c r="C106" s="3">
        <v>10.17</v>
      </c>
      <c r="D106" s="4">
        <v>125.1927</v>
      </c>
      <c r="E106" s="4">
        <v>101.7</v>
      </c>
      <c r="F106" s="4">
        <f t="shared" si="8"/>
        <v>23.492699999999999</v>
      </c>
      <c r="G106" s="5">
        <f t="shared" si="9"/>
        <v>0.1876523151909017</v>
      </c>
      <c r="H106" s="2" t="s">
        <v>143</v>
      </c>
      <c r="I106" s="6" t="s">
        <v>32</v>
      </c>
      <c r="J106" s="2" t="s">
        <v>144</v>
      </c>
      <c r="K106" s="2" t="s">
        <v>145</v>
      </c>
      <c r="L106" s="2" t="s">
        <v>28</v>
      </c>
      <c r="M106" s="2" t="s">
        <v>5</v>
      </c>
      <c r="N106" s="4">
        <v>6096.77</v>
      </c>
    </row>
    <row r="107" spans="1:14" x14ac:dyDescent="0.25">
      <c r="A107" s="2" t="s">
        <v>29</v>
      </c>
      <c r="B107" s="2" t="s">
        <v>30</v>
      </c>
      <c r="C107" s="3">
        <v>10.25</v>
      </c>
      <c r="D107" s="4">
        <v>126.17749999999999</v>
      </c>
      <c r="E107" s="4">
        <v>102.5</v>
      </c>
      <c r="F107" s="4">
        <f t="shared" si="8"/>
        <v>23.677499999999995</v>
      </c>
      <c r="G107" s="5">
        <f t="shared" si="9"/>
        <v>0.18765231519090167</v>
      </c>
      <c r="H107" s="2" t="s">
        <v>140</v>
      </c>
      <c r="I107" s="6" t="s">
        <v>39</v>
      </c>
      <c r="J107" s="2" t="s">
        <v>141</v>
      </c>
      <c r="K107" s="2" t="s">
        <v>142</v>
      </c>
      <c r="L107" s="2" t="s">
        <v>28</v>
      </c>
      <c r="M107" s="2" t="s">
        <v>5</v>
      </c>
      <c r="N107" s="4">
        <v>2685.01</v>
      </c>
    </row>
    <row r="108" spans="1:14" x14ac:dyDescent="0.25">
      <c r="A108" s="2" t="s">
        <v>146</v>
      </c>
      <c r="B108" s="2" t="s">
        <v>147</v>
      </c>
      <c r="C108" s="3">
        <v>5.3280000000000003</v>
      </c>
      <c r="D108" s="4">
        <v>71.022239999999996</v>
      </c>
      <c r="E108" s="4">
        <v>60.206400000000002</v>
      </c>
      <c r="F108" s="4">
        <f t="shared" si="8"/>
        <v>10.815839999999994</v>
      </c>
      <c r="G108" s="5">
        <f t="shared" si="9"/>
        <v>0.15228807201800443</v>
      </c>
      <c r="H108" s="2" t="s">
        <v>143</v>
      </c>
      <c r="I108" s="6" t="s">
        <v>32</v>
      </c>
      <c r="J108" s="2" t="s">
        <v>144</v>
      </c>
      <c r="K108" s="2" t="s">
        <v>145</v>
      </c>
      <c r="L108" s="2" t="s">
        <v>28</v>
      </c>
      <c r="M108" s="2" t="s">
        <v>5</v>
      </c>
      <c r="N108" s="4">
        <v>6096.77</v>
      </c>
    </row>
    <row r="109" spans="1:14" x14ac:dyDescent="0.25">
      <c r="A109" s="2" t="s">
        <v>148</v>
      </c>
      <c r="B109" s="2" t="s">
        <v>149</v>
      </c>
      <c r="C109" s="3">
        <v>40</v>
      </c>
      <c r="D109" s="4">
        <v>423.2</v>
      </c>
      <c r="E109" s="4">
        <v>162</v>
      </c>
      <c r="F109" s="4">
        <f t="shared" si="8"/>
        <v>261.2</v>
      </c>
      <c r="G109" s="5">
        <f t="shared" si="9"/>
        <v>0.6172022684310019</v>
      </c>
      <c r="H109" s="2" t="s">
        <v>143</v>
      </c>
      <c r="I109" s="6" t="s">
        <v>32</v>
      </c>
      <c r="J109" s="2" t="s">
        <v>144</v>
      </c>
      <c r="K109" s="2" t="s">
        <v>145</v>
      </c>
      <c r="L109" s="2" t="s">
        <v>28</v>
      </c>
      <c r="M109" s="2" t="s">
        <v>5</v>
      </c>
      <c r="N109" s="4">
        <v>6096.77</v>
      </c>
    </row>
    <row r="110" spans="1:14" x14ac:dyDescent="0.25">
      <c r="A110" s="2" t="s">
        <v>150</v>
      </c>
      <c r="B110" s="2" t="s">
        <v>151</v>
      </c>
      <c r="C110" s="3">
        <v>20.154</v>
      </c>
      <c r="D110" s="4">
        <v>340.80414000000002</v>
      </c>
      <c r="E110" s="4">
        <v>197.50919999999999</v>
      </c>
      <c r="F110" s="4">
        <f t="shared" si="8"/>
        <v>143.29494000000003</v>
      </c>
      <c r="G110" s="5">
        <f t="shared" si="9"/>
        <v>0.420461265523359</v>
      </c>
      <c r="H110" s="2" t="s">
        <v>143</v>
      </c>
      <c r="I110" s="6" t="s">
        <v>32</v>
      </c>
      <c r="J110" s="2" t="s">
        <v>144</v>
      </c>
      <c r="K110" s="2" t="s">
        <v>145</v>
      </c>
      <c r="L110" s="2" t="s">
        <v>28</v>
      </c>
      <c r="M110" s="2" t="s">
        <v>5</v>
      </c>
      <c r="N110" s="4">
        <v>6096.77</v>
      </c>
    </row>
    <row r="111" spans="1:14" x14ac:dyDescent="0.25">
      <c r="A111" s="2" t="s">
        <v>150</v>
      </c>
      <c r="B111" s="2" t="s">
        <v>151</v>
      </c>
      <c r="C111" s="3">
        <v>10.455</v>
      </c>
      <c r="D111" s="4">
        <v>176.79405</v>
      </c>
      <c r="E111" s="4">
        <v>102.459</v>
      </c>
      <c r="F111" s="4">
        <f t="shared" si="8"/>
        <v>74.335049999999995</v>
      </c>
      <c r="G111" s="5">
        <f t="shared" si="9"/>
        <v>0.42046126552335894</v>
      </c>
      <c r="H111" s="2" t="s">
        <v>140</v>
      </c>
      <c r="I111" s="6" t="s">
        <v>39</v>
      </c>
      <c r="J111" s="2" t="s">
        <v>141</v>
      </c>
      <c r="K111" s="2" t="s">
        <v>142</v>
      </c>
      <c r="L111" s="2" t="s">
        <v>28</v>
      </c>
      <c r="M111" s="2" t="s">
        <v>5</v>
      </c>
      <c r="N111" s="4">
        <v>2685.01</v>
      </c>
    </row>
    <row r="112" spans="1:14" x14ac:dyDescent="0.25">
      <c r="A112" s="2" t="s">
        <v>152</v>
      </c>
      <c r="B112" s="2" t="s">
        <v>153</v>
      </c>
      <c r="C112" s="3">
        <v>11.515000000000001</v>
      </c>
      <c r="D112" s="4">
        <v>109.3925</v>
      </c>
      <c r="E112" s="4">
        <v>79.453500000000005</v>
      </c>
      <c r="F112" s="4">
        <f t="shared" si="8"/>
        <v>29.938999999999993</v>
      </c>
      <c r="G112" s="5">
        <f t="shared" si="9"/>
        <v>0.27368421052631575</v>
      </c>
      <c r="H112" s="2" t="s">
        <v>143</v>
      </c>
      <c r="I112" s="6" t="s">
        <v>32</v>
      </c>
      <c r="J112" s="2" t="s">
        <v>144</v>
      </c>
      <c r="K112" s="2" t="s">
        <v>145</v>
      </c>
      <c r="L112" s="2" t="s">
        <v>28</v>
      </c>
      <c r="M112" s="2" t="s">
        <v>5</v>
      </c>
      <c r="N112" s="4">
        <v>6096.77</v>
      </c>
    </row>
    <row r="113" spans="1:14" x14ac:dyDescent="0.25">
      <c r="A113" s="2" t="s">
        <v>152</v>
      </c>
      <c r="B113" s="2" t="s">
        <v>153</v>
      </c>
      <c r="C113" s="3">
        <v>15.88</v>
      </c>
      <c r="D113" s="4">
        <v>150.86000000000001</v>
      </c>
      <c r="E113" s="4">
        <v>109.572</v>
      </c>
      <c r="F113" s="4">
        <f t="shared" si="8"/>
        <v>41.288000000000011</v>
      </c>
      <c r="G113" s="5">
        <f t="shared" si="9"/>
        <v>0.27368421052631586</v>
      </c>
      <c r="H113" s="2" t="s">
        <v>140</v>
      </c>
      <c r="I113" s="6" t="s">
        <v>39</v>
      </c>
      <c r="J113" s="2" t="s">
        <v>141</v>
      </c>
      <c r="K113" s="2" t="s">
        <v>142</v>
      </c>
      <c r="L113" s="2" t="s">
        <v>28</v>
      </c>
      <c r="M113" s="2" t="s">
        <v>5</v>
      </c>
      <c r="N113" s="4">
        <v>2685.01</v>
      </c>
    </row>
    <row r="114" spans="1:14" x14ac:dyDescent="0.25">
      <c r="A114" s="2" t="s">
        <v>154</v>
      </c>
      <c r="B114" s="2" t="s">
        <v>155</v>
      </c>
      <c r="C114" s="3">
        <v>8.3230000000000004</v>
      </c>
      <c r="D114" s="4">
        <v>308.20069000000001</v>
      </c>
      <c r="E114" s="4">
        <v>233.04400000000001</v>
      </c>
      <c r="F114" s="4">
        <f t="shared" si="8"/>
        <v>75.156689999999998</v>
      </c>
      <c r="G114" s="5">
        <f t="shared" si="9"/>
        <v>0.24385633270321361</v>
      </c>
      <c r="H114" s="2" t="s">
        <v>140</v>
      </c>
      <c r="I114" s="6" t="s">
        <v>39</v>
      </c>
      <c r="J114" s="2" t="s">
        <v>141</v>
      </c>
      <c r="K114" s="2" t="s">
        <v>142</v>
      </c>
      <c r="L114" s="2" t="s">
        <v>28</v>
      </c>
      <c r="M114" s="2" t="s">
        <v>5</v>
      </c>
      <c r="N114" s="4">
        <v>2685.01</v>
      </c>
    </row>
    <row r="115" spans="1:14" x14ac:dyDescent="0.25">
      <c r="A115" s="2" t="s">
        <v>154</v>
      </c>
      <c r="B115" s="2" t="s">
        <v>155</v>
      </c>
      <c r="C115" s="3">
        <v>4.16</v>
      </c>
      <c r="D115" s="4">
        <v>154.04480000000001</v>
      </c>
      <c r="E115" s="4">
        <v>116.48</v>
      </c>
      <c r="F115" s="4">
        <f t="shared" si="8"/>
        <v>37.564800000000005</v>
      </c>
      <c r="G115" s="5">
        <f t="shared" si="9"/>
        <v>0.24385633270321364</v>
      </c>
      <c r="H115" s="2" t="s">
        <v>143</v>
      </c>
      <c r="I115" s="6" t="s">
        <v>32</v>
      </c>
      <c r="J115" s="2" t="s">
        <v>144</v>
      </c>
      <c r="K115" s="2" t="s">
        <v>145</v>
      </c>
      <c r="L115" s="2" t="s">
        <v>28</v>
      </c>
      <c r="M115" s="2" t="s">
        <v>5</v>
      </c>
      <c r="N115" s="4">
        <v>6096.77</v>
      </c>
    </row>
    <row r="116" spans="1:14" x14ac:dyDescent="0.25">
      <c r="A116" s="2" t="s">
        <v>156</v>
      </c>
      <c r="B116" s="2" t="s">
        <v>157</v>
      </c>
      <c r="C116" s="3">
        <v>38.61</v>
      </c>
      <c r="D116" s="4">
        <v>484.94159999999999</v>
      </c>
      <c r="E116" s="4">
        <v>347.49</v>
      </c>
      <c r="F116" s="4">
        <f t="shared" si="8"/>
        <v>137.45159999999998</v>
      </c>
      <c r="G116" s="5">
        <f t="shared" si="9"/>
        <v>0.28343949044585987</v>
      </c>
      <c r="H116" s="2" t="s">
        <v>143</v>
      </c>
      <c r="I116" s="6" t="s">
        <v>32</v>
      </c>
      <c r="J116" s="2" t="s">
        <v>144</v>
      </c>
      <c r="K116" s="2" t="s">
        <v>145</v>
      </c>
      <c r="L116" s="2" t="s">
        <v>28</v>
      </c>
      <c r="M116" s="2" t="s">
        <v>5</v>
      </c>
      <c r="N116" s="4">
        <v>6096.77</v>
      </c>
    </row>
    <row r="117" spans="1:14" x14ac:dyDescent="0.25">
      <c r="A117" s="2" t="s">
        <v>158</v>
      </c>
      <c r="B117" s="2" t="s">
        <v>159</v>
      </c>
      <c r="C117" s="3">
        <v>20</v>
      </c>
      <c r="D117" s="4">
        <v>193.6</v>
      </c>
      <c r="E117" s="4">
        <v>157.4</v>
      </c>
      <c r="F117" s="4">
        <f t="shared" si="8"/>
        <v>36.199999999999989</v>
      </c>
      <c r="G117" s="5">
        <f t="shared" si="9"/>
        <v>0.18698347107438013</v>
      </c>
      <c r="H117" s="2" t="s">
        <v>160</v>
      </c>
      <c r="I117" s="6" t="s">
        <v>69</v>
      </c>
      <c r="J117" s="2" t="s">
        <v>161</v>
      </c>
      <c r="K117" s="2" t="s">
        <v>162</v>
      </c>
      <c r="L117" s="2" t="s">
        <v>28</v>
      </c>
      <c r="M117" s="2" t="s">
        <v>5</v>
      </c>
      <c r="N117" s="4">
        <v>438.1</v>
      </c>
    </row>
    <row r="118" spans="1:14" x14ac:dyDescent="0.25">
      <c r="A118" s="2" t="s">
        <v>163</v>
      </c>
      <c r="B118" s="2" t="s">
        <v>164</v>
      </c>
      <c r="C118" s="3">
        <v>8</v>
      </c>
      <c r="D118" s="4">
        <v>77.44</v>
      </c>
      <c r="E118" s="4">
        <v>55.92</v>
      </c>
      <c r="F118" s="4">
        <f t="shared" si="8"/>
        <v>21.519999999999996</v>
      </c>
      <c r="G118" s="5">
        <f t="shared" si="9"/>
        <v>0.27789256198347101</v>
      </c>
      <c r="H118" s="2" t="s">
        <v>143</v>
      </c>
      <c r="I118" s="6" t="s">
        <v>32</v>
      </c>
      <c r="J118" s="2" t="s">
        <v>144</v>
      </c>
      <c r="K118" s="2" t="s">
        <v>145</v>
      </c>
      <c r="L118" s="2" t="s">
        <v>28</v>
      </c>
      <c r="M118" s="2" t="s">
        <v>5</v>
      </c>
      <c r="N118" s="4">
        <v>6096.77</v>
      </c>
    </row>
    <row r="119" spans="1:14" x14ac:dyDescent="0.25">
      <c r="A119" s="2" t="s">
        <v>51</v>
      </c>
      <c r="B119" s="2" t="s">
        <v>52</v>
      </c>
      <c r="C119" s="3">
        <v>10.72</v>
      </c>
      <c r="D119" s="4">
        <v>199.4992</v>
      </c>
      <c r="E119" s="4">
        <v>176.88</v>
      </c>
      <c r="F119" s="4">
        <f t="shared" si="8"/>
        <v>22.619200000000006</v>
      </c>
      <c r="G119" s="5">
        <f t="shared" si="9"/>
        <v>0.11337990327780766</v>
      </c>
      <c r="H119" s="2" t="s">
        <v>160</v>
      </c>
      <c r="I119" s="6" t="s">
        <v>69</v>
      </c>
      <c r="J119" s="2" t="s">
        <v>161</v>
      </c>
      <c r="K119" s="2" t="s">
        <v>162</v>
      </c>
      <c r="L119" s="2" t="s">
        <v>28</v>
      </c>
      <c r="M119" s="2" t="s">
        <v>5</v>
      </c>
      <c r="N119" s="4">
        <v>438.1</v>
      </c>
    </row>
    <row r="120" spans="1:14" x14ac:dyDescent="0.25">
      <c r="A120" s="2" t="s">
        <v>165</v>
      </c>
      <c r="B120" s="2" t="s">
        <v>166</v>
      </c>
      <c r="C120" s="3">
        <v>5.8</v>
      </c>
      <c r="D120" s="4">
        <v>202.82599999999999</v>
      </c>
      <c r="E120" s="4">
        <v>136.30000000000001</v>
      </c>
      <c r="F120" s="4">
        <f t="shared" si="8"/>
        <v>66.525999999999982</v>
      </c>
      <c r="G120" s="5">
        <f t="shared" si="9"/>
        <v>0.32799542464969966</v>
      </c>
      <c r="H120" s="2" t="s">
        <v>140</v>
      </c>
      <c r="I120" s="6" t="s">
        <v>39</v>
      </c>
      <c r="J120" s="2" t="s">
        <v>141</v>
      </c>
      <c r="K120" s="2" t="s">
        <v>142</v>
      </c>
      <c r="L120" s="2" t="s">
        <v>28</v>
      </c>
      <c r="M120" s="2" t="s">
        <v>5</v>
      </c>
      <c r="N120" s="4">
        <v>2685.01</v>
      </c>
    </row>
    <row r="121" spans="1:14" x14ac:dyDescent="0.25">
      <c r="A121" s="2" t="s">
        <v>167</v>
      </c>
      <c r="B121" s="2" t="s">
        <v>168</v>
      </c>
      <c r="C121" s="3">
        <v>18.86</v>
      </c>
      <c r="D121" s="4">
        <v>267.05759999999998</v>
      </c>
      <c r="E121" s="4">
        <v>209.346</v>
      </c>
      <c r="F121" s="4">
        <f t="shared" si="8"/>
        <v>57.711599999999976</v>
      </c>
      <c r="G121" s="5">
        <f t="shared" si="9"/>
        <v>0.21610169491525416</v>
      </c>
      <c r="H121" s="2" t="s">
        <v>169</v>
      </c>
      <c r="I121" s="6" t="s">
        <v>74</v>
      </c>
      <c r="J121" s="2" t="s">
        <v>170</v>
      </c>
      <c r="K121" s="2" t="s">
        <v>5</v>
      </c>
      <c r="L121" s="2" t="s">
        <v>28</v>
      </c>
      <c r="M121" s="2" t="s">
        <v>5</v>
      </c>
      <c r="N121" s="4">
        <v>267.06</v>
      </c>
    </row>
    <row r="122" spans="1:14" x14ac:dyDescent="0.25">
      <c r="A122" s="2" t="s">
        <v>171</v>
      </c>
      <c r="B122" s="2" t="s">
        <v>172</v>
      </c>
      <c r="C122" s="3">
        <v>6.1</v>
      </c>
      <c r="D122" s="4">
        <v>255.89500000000001</v>
      </c>
      <c r="E122" s="4">
        <v>189.1</v>
      </c>
      <c r="F122" s="4">
        <f t="shared" si="8"/>
        <v>66.795000000000016</v>
      </c>
      <c r="G122" s="5">
        <f t="shared" si="9"/>
        <v>0.26102502979737791</v>
      </c>
      <c r="H122" s="2" t="s">
        <v>140</v>
      </c>
      <c r="I122" s="6" t="s">
        <v>39</v>
      </c>
      <c r="J122" s="2" t="s">
        <v>141</v>
      </c>
      <c r="K122" s="2" t="s">
        <v>142</v>
      </c>
      <c r="L122" s="2" t="s">
        <v>28</v>
      </c>
      <c r="M122" s="2" t="s">
        <v>5</v>
      </c>
      <c r="N122" s="4">
        <v>2685.01</v>
      </c>
    </row>
    <row r="123" spans="1:14" x14ac:dyDescent="0.25">
      <c r="A123" s="2" t="s">
        <v>171</v>
      </c>
      <c r="B123" s="2" t="s">
        <v>172</v>
      </c>
      <c r="C123" s="3">
        <v>6.12</v>
      </c>
      <c r="D123" s="4">
        <v>256.73399999999998</v>
      </c>
      <c r="E123" s="4">
        <v>189.72</v>
      </c>
      <c r="F123" s="4">
        <f t="shared" si="8"/>
        <v>67.013999999999982</v>
      </c>
      <c r="G123" s="5">
        <f t="shared" si="9"/>
        <v>0.26102502979737779</v>
      </c>
      <c r="H123" s="2" t="s">
        <v>143</v>
      </c>
      <c r="I123" s="6" t="s">
        <v>32</v>
      </c>
      <c r="J123" s="2" t="s">
        <v>144</v>
      </c>
      <c r="K123" s="2" t="s">
        <v>145</v>
      </c>
      <c r="L123" s="2" t="s">
        <v>28</v>
      </c>
      <c r="M123" s="2" t="s">
        <v>5</v>
      </c>
      <c r="N123" s="4">
        <v>6096.77</v>
      </c>
    </row>
    <row r="124" spans="1:14" x14ac:dyDescent="0.25">
      <c r="A124" s="2" t="s">
        <v>173</v>
      </c>
      <c r="B124" s="2" t="s">
        <v>174</v>
      </c>
      <c r="C124" s="3">
        <v>12.48</v>
      </c>
      <c r="D124" s="4">
        <v>307.88159999999999</v>
      </c>
      <c r="E124" s="4">
        <v>184.08</v>
      </c>
      <c r="F124" s="4">
        <f t="shared" si="8"/>
        <v>123.80159999999998</v>
      </c>
      <c r="G124" s="5">
        <f t="shared" si="9"/>
        <v>0.40210782326712602</v>
      </c>
      <c r="H124" s="2" t="s">
        <v>140</v>
      </c>
      <c r="I124" s="6" t="s">
        <v>39</v>
      </c>
      <c r="J124" s="2" t="s">
        <v>141</v>
      </c>
      <c r="K124" s="2" t="s">
        <v>142</v>
      </c>
      <c r="L124" s="2" t="s">
        <v>28</v>
      </c>
      <c r="M124" s="2" t="s">
        <v>5</v>
      </c>
      <c r="N124" s="4">
        <v>2685.01</v>
      </c>
    </row>
    <row r="125" spans="1:14" x14ac:dyDescent="0.25">
      <c r="A125" s="2" t="s">
        <v>173</v>
      </c>
      <c r="B125" s="2" t="s">
        <v>174</v>
      </c>
      <c r="C125" s="3">
        <v>12.34</v>
      </c>
      <c r="D125" s="4">
        <v>304.42779999999999</v>
      </c>
      <c r="E125" s="4">
        <v>182.01499999999999</v>
      </c>
      <c r="F125" s="4">
        <f t="shared" si="8"/>
        <v>122.4128</v>
      </c>
      <c r="G125" s="5">
        <f t="shared" si="9"/>
        <v>0.40210782326712607</v>
      </c>
      <c r="H125" s="2" t="s">
        <v>143</v>
      </c>
      <c r="I125" s="6" t="s">
        <v>32</v>
      </c>
      <c r="J125" s="2" t="s">
        <v>144</v>
      </c>
      <c r="K125" s="2" t="s">
        <v>145</v>
      </c>
      <c r="L125" s="2" t="s">
        <v>28</v>
      </c>
      <c r="M125" s="2" t="s">
        <v>5</v>
      </c>
      <c r="N125" s="4">
        <v>6096.77</v>
      </c>
    </row>
    <row r="126" spans="1:14" x14ac:dyDescent="0.25">
      <c r="A126" s="2" t="s">
        <v>175</v>
      </c>
      <c r="B126" s="2" t="s">
        <v>176</v>
      </c>
      <c r="C126" s="3">
        <v>13.2</v>
      </c>
      <c r="D126" s="4">
        <v>325.64400000000001</v>
      </c>
      <c r="E126" s="4">
        <v>194.7</v>
      </c>
      <c r="F126" s="4">
        <f t="shared" si="8"/>
        <v>130.94400000000002</v>
      </c>
      <c r="G126" s="5">
        <f t="shared" si="9"/>
        <v>0.40210782326712613</v>
      </c>
      <c r="H126" s="2" t="s">
        <v>140</v>
      </c>
      <c r="I126" s="6" t="s">
        <v>39</v>
      </c>
      <c r="J126" s="2" t="s">
        <v>141</v>
      </c>
      <c r="K126" s="2" t="s">
        <v>142</v>
      </c>
      <c r="L126" s="2" t="s">
        <v>28</v>
      </c>
      <c r="M126" s="2" t="s">
        <v>5</v>
      </c>
      <c r="N126" s="4">
        <v>2685.01</v>
      </c>
    </row>
    <row r="127" spans="1:14" x14ac:dyDescent="0.25">
      <c r="A127" s="2" t="s">
        <v>175</v>
      </c>
      <c r="B127" s="2" t="s">
        <v>176</v>
      </c>
      <c r="C127" s="3">
        <v>23</v>
      </c>
      <c r="D127" s="4">
        <v>567.41</v>
      </c>
      <c r="E127" s="4">
        <v>339.25</v>
      </c>
      <c r="F127" s="4">
        <f t="shared" si="8"/>
        <v>228.15999999999997</v>
      </c>
      <c r="G127" s="5">
        <f t="shared" si="9"/>
        <v>0.40210782326712602</v>
      </c>
      <c r="H127" s="2" t="s">
        <v>143</v>
      </c>
      <c r="I127" s="6" t="s">
        <v>32</v>
      </c>
      <c r="J127" s="2" t="s">
        <v>144</v>
      </c>
      <c r="K127" s="2" t="s">
        <v>145</v>
      </c>
      <c r="L127" s="2" t="s">
        <v>28</v>
      </c>
      <c r="M127" s="2" t="s">
        <v>5</v>
      </c>
      <c r="N127" s="4">
        <v>6096.77</v>
      </c>
    </row>
    <row r="128" spans="1:14" x14ac:dyDescent="0.25">
      <c r="A128" s="2" t="s">
        <v>177</v>
      </c>
      <c r="B128" s="2" t="s">
        <v>178</v>
      </c>
      <c r="C128" s="3">
        <v>13</v>
      </c>
      <c r="D128" s="4">
        <v>45</v>
      </c>
      <c r="E128" s="4">
        <v>0</v>
      </c>
      <c r="F128" s="4">
        <f t="shared" si="8"/>
        <v>45</v>
      </c>
      <c r="G128" s="5">
        <f t="shared" si="9"/>
        <v>1</v>
      </c>
      <c r="H128" s="2" t="s">
        <v>160</v>
      </c>
      <c r="I128" s="6" t="s">
        <v>69</v>
      </c>
      <c r="J128" s="2" t="s">
        <v>161</v>
      </c>
      <c r="K128" s="2" t="s">
        <v>162</v>
      </c>
      <c r="L128" s="2" t="s">
        <v>28</v>
      </c>
      <c r="M128" s="2" t="s">
        <v>5</v>
      </c>
      <c r="N128" s="4">
        <v>438.1</v>
      </c>
    </row>
    <row r="129" spans="1:14" x14ac:dyDescent="0.25">
      <c r="A129" s="2" t="s">
        <v>177</v>
      </c>
      <c r="B129" s="2" t="s">
        <v>178</v>
      </c>
      <c r="C129" s="3">
        <v>2</v>
      </c>
      <c r="D129" s="4">
        <v>0</v>
      </c>
      <c r="E129" s="4">
        <v>0</v>
      </c>
      <c r="F129" s="4">
        <f t="shared" si="8"/>
        <v>0</v>
      </c>
      <c r="G129" s="5">
        <f t="shared" si="9"/>
        <v>0</v>
      </c>
      <c r="H129" s="2" t="s">
        <v>179</v>
      </c>
      <c r="I129" s="6" t="s">
        <v>39</v>
      </c>
      <c r="J129" s="2" t="s">
        <v>180</v>
      </c>
      <c r="K129" s="2" t="s">
        <v>177</v>
      </c>
      <c r="L129" s="2" t="s">
        <v>28</v>
      </c>
      <c r="M129" s="2" t="s">
        <v>5</v>
      </c>
      <c r="N129" s="4">
        <v>0</v>
      </c>
    </row>
    <row r="130" spans="1:14" x14ac:dyDescent="0.25">
      <c r="A130" s="2" t="s">
        <v>181</v>
      </c>
      <c r="B130" s="2" t="s">
        <v>182</v>
      </c>
      <c r="C130" s="3">
        <v>75.741</v>
      </c>
      <c r="D130" s="4">
        <v>2120.748</v>
      </c>
      <c r="E130" s="4">
        <v>1666.3019999999999</v>
      </c>
      <c r="F130" s="4">
        <f t="shared" si="8"/>
        <v>454.44600000000014</v>
      </c>
      <c r="G130" s="5">
        <f t="shared" si="9"/>
        <v>0.21428571428571436</v>
      </c>
      <c r="H130" s="2" t="s">
        <v>143</v>
      </c>
      <c r="I130" s="6" t="s">
        <v>32</v>
      </c>
      <c r="J130" s="2" t="s">
        <v>144</v>
      </c>
      <c r="K130" s="2" t="s">
        <v>145</v>
      </c>
      <c r="L130" s="2" t="s">
        <v>28</v>
      </c>
      <c r="M130" s="2" t="s">
        <v>5</v>
      </c>
      <c r="N130" s="4">
        <v>6096.77</v>
      </c>
    </row>
    <row r="131" spans="1:14" x14ac:dyDescent="0.25">
      <c r="A131" s="2" t="s">
        <v>183</v>
      </c>
      <c r="B131" s="2" t="s">
        <v>184</v>
      </c>
      <c r="C131" s="3">
        <v>19.559999999999999</v>
      </c>
      <c r="D131" s="4">
        <v>621.61680000000001</v>
      </c>
      <c r="E131" s="4">
        <v>430.32</v>
      </c>
      <c r="F131" s="4">
        <f t="shared" si="8"/>
        <v>191.29680000000002</v>
      </c>
      <c r="G131" s="5">
        <f t="shared" si="9"/>
        <v>0.30774071743234743</v>
      </c>
      <c r="H131" s="2" t="s">
        <v>143</v>
      </c>
      <c r="I131" s="6" t="s">
        <v>32</v>
      </c>
      <c r="J131" s="2" t="s">
        <v>144</v>
      </c>
      <c r="K131" s="2" t="s">
        <v>145</v>
      </c>
      <c r="L131" s="2" t="s">
        <v>28</v>
      </c>
      <c r="M131" s="2" t="s">
        <v>5</v>
      </c>
      <c r="N131" s="4">
        <v>6096.77</v>
      </c>
    </row>
    <row r="132" spans="1:14" x14ac:dyDescent="0.25">
      <c r="A132" s="2" t="s">
        <v>124</v>
      </c>
      <c r="B132" s="2" t="s">
        <v>125</v>
      </c>
      <c r="C132" s="3">
        <v>14.98</v>
      </c>
      <c r="D132" s="4">
        <v>464.23020000000002</v>
      </c>
      <c r="E132" s="4">
        <v>325.815</v>
      </c>
      <c r="F132" s="4">
        <f t="shared" si="8"/>
        <v>138.41520000000003</v>
      </c>
      <c r="G132" s="5">
        <f t="shared" si="9"/>
        <v>0.29816069699903197</v>
      </c>
      <c r="H132" s="2" t="s">
        <v>140</v>
      </c>
      <c r="I132" s="6" t="s">
        <v>39</v>
      </c>
      <c r="J132" s="2" t="s">
        <v>141</v>
      </c>
      <c r="K132" s="2" t="s">
        <v>142</v>
      </c>
      <c r="L132" s="2" t="s">
        <v>28</v>
      </c>
      <c r="M132" s="2" t="s">
        <v>5</v>
      </c>
      <c r="N132" s="4">
        <v>2685.01</v>
      </c>
    </row>
    <row r="133" spans="1:14" x14ac:dyDescent="0.25">
      <c r="A133" s="2" t="s">
        <v>124</v>
      </c>
      <c r="B133" s="2" t="s">
        <v>125</v>
      </c>
      <c r="C133" s="3">
        <v>14.73</v>
      </c>
      <c r="D133" s="4">
        <v>456.48270000000002</v>
      </c>
      <c r="E133" s="4">
        <v>320.3775</v>
      </c>
      <c r="F133" s="4">
        <f t="shared" si="8"/>
        <v>136.10520000000002</v>
      </c>
      <c r="G133" s="5">
        <f t="shared" si="9"/>
        <v>0.29816069699903197</v>
      </c>
      <c r="H133" s="2" t="s">
        <v>185</v>
      </c>
      <c r="I133" s="6" t="s">
        <v>25</v>
      </c>
      <c r="J133" s="2" t="s">
        <v>186</v>
      </c>
      <c r="K133" s="2" t="s">
        <v>145</v>
      </c>
      <c r="L133" s="2" t="s">
        <v>28</v>
      </c>
      <c r="M133" s="2" t="s">
        <v>5</v>
      </c>
      <c r="N133" s="4">
        <v>1916.29</v>
      </c>
    </row>
    <row r="134" spans="1:14" x14ac:dyDescent="0.25">
      <c r="A134" s="2" t="s">
        <v>187</v>
      </c>
      <c r="B134" s="2" t="s">
        <v>188</v>
      </c>
      <c r="C134" s="3">
        <v>52.53</v>
      </c>
      <c r="D134" s="4">
        <v>1459.8087</v>
      </c>
      <c r="E134" s="4">
        <v>1155.6600000000001</v>
      </c>
      <c r="F134" s="4">
        <f t="shared" si="8"/>
        <v>304.14869999999996</v>
      </c>
      <c r="G134" s="5">
        <f t="shared" si="9"/>
        <v>0.20834832673623602</v>
      </c>
      <c r="H134" s="2" t="s">
        <v>185</v>
      </c>
      <c r="I134" s="6" t="s">
        <v>25</v>
      </c>
      <c r="J134" s="2" t="s">
        <v>186</v>
      </c>
      <c r="K134" s="2" t="s">
        <v>145</v>
      </c>
      <c r="L134" s="2" t="s">
        <v>28</v>
      </c>
      <c r="M134" s="2" t="s">
        <v>5</v>
      </c>
      <c r="N134" s="4">
        <v>1916.29</v>
      </c>
    </row>
    <row r="136" spans="1:14" x14ac:dyDescent="0.25">
      <c r="A136" s="13" t="s">
        <v>59</v>
      </c>
      <c r="B136" s="21"/>
      <c r="C136" s="22">
        <f>SUM(C101:C135)</f>
        <v>559.00600000000009</v>
      </c>
      <c r="D136" s="23">
        <f>SUM(D101:D135)</f>
        <v>11403.231820000001</v>
      </c>
      <c r="E136" s="23">
        <f>SUM(E101:E135)</f>
        <v>8129.4995999999983</v>
      </c>
      <c r="F136" s="23">
        <f>D136-E136</f>
        <v>3273.7322200000026</v>
      </c>
      <c r="G136" s="24">
        <f>IF(((D136)=0),0,(D136-E136)/ D136)</f>
        <v>0.287088105519195</v>
      </c>
      <c r="H136" s="21"/>
      <c r="I136" s="21"/>
      <c r="J136" s="21"/>
      <c r="K136" s="21"/>
      <c r="L136" s="21"/>
      <c r="M136" s="21"/>
      <c r="N136" s="21"/>
    </row>
    <row r="138" spans="1:14" s="17" customFormat="1" ht="18.75" x14ac:dyDescent="0.3"/>
    <row r="139" spans="1:14" s="7" customFormat="1" x14ac:dyDescent="0.25">
      <c r="A139" s="13" t="s">
        <v>189</v>
      </c>
      <c r="B139" s="18" t="s">
        <v>190</v>
      </c>
      <c r="C139" s="19"/>
      <c r="D139" s="20" t="s">
        <v>5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1" spans="1:14" x14ac:dyDescent="0.25">
      <c r="A141" s="2" t="s">
        <v>191</v>
      </c>
      <c r="B141" s="2" t="s">
        <v>192</v>
      </c>
      <c r="C141" s="3">
        <v>121.285</v>
      </c>
      <c r="D141" s="4">
        <v>2123.7003500000001</v>
      </c>
      <c r="E141" s="4">
        <v>1382.6489999999999</v>
      </c>
      <c r="F141" s="4">
        <f>D141-E141</f>
        <v>741.05135000000018</v>
      </c>
      <c r="G141" s="5">
        <f>IF(((D141)=0),0,(D141-E141)/ D141)</f>
        <v>0.34894346087949751</v>
      </c>
      <c r="H141" s="2" t="s">
        <v>193</v>
      </c>
      <c r="I141" s="6" t="s">
        <v>25</v>
      </c>
      <c r="J141" s="2" t="s">
        <v>194</v>
      </c>
      <c r="K141" s="2" t="s">
        <v>195</v>
      </c>
      <c r="L141" s="2" t="s">
        <v>28</v>
      </c>
      <c r="M141" s="2" t="s">
        <v>5</v>
      </c>
      <c r="N141" s="4">
        <v>0</v>
      </c>
    </row>
    <row r="142" spans="1:14" x14ac:dyDescent="0.25">
      <c r="A142" s="2" t="s">
        <v>196</v>
      </c>
      <c r="B142" s="2" t="s">
        <v>197</v>
      </c>
      <c r="C142" s="3">
        <v>71.900000000000006</v>
      </c>
      <c r="D142" s="4">
        <v>1653.7</v>
      </c>
      <c r="E142" s="4">
        <v>1287.01</v>
      </c>
      <c r="F142" s="4">
        <f>D142-E142</f>
        <v>366.69000000000005</v>
      </c>
      <c r="G142" s="5">
        <f>IF(((D142)=0),0,(D142-E142)/ D142)</f>
        <v>0.22173913043478263</v>
      </c>
      <c r="H142" s="2" t="s">
        <v>193</v>
      </c>
      <c r="I142" s="6" t="s">
        <v>25</v>
      </c>
      <c r="J142" s="2" t="s">
        <v>194</v>
      </c>
      <c r="K142" s="2" t="s">
        <v>195</v>
      </c>
      <c r="L142" s="2" t="s">
        <v>28</v>
      </c>
      <c r="M142" s="2" t="s">
        <v>5</v>
      </c>
      <c r="N142" s="4">
        <v>0</v>
      </c>
    </row>
    <row r="143" spans="1:14" x14ac:dyDescent="0.25">
      <c r="A143" s="2" t="s">
        <v>45</v>
      </c>
      <c r="B143" s="2" t="s">
        <v>46</v>
      </c>
      <c r="C143" s="3">
        <v>15.24</v>
      </c>
      <c r="D143" s="4">
        <v>204.52080000000001</v>
      </c>
      <c r="E143" s="4">
        <v>111.252</v>
      </c>
      <c r="F143" s="4">
        <f>D143-E143</f>
        <v>93.268800000000013</v>
      </c>
      <c r="G143" s="5">
        <f>IF(((D143)=0),0,(D143-E143)/ D143)</f>
        <v>0.45603576751117741</v>
      </c>
      <c r="H143" s="2" t="s">
        <v>198</v>
      </c>
      <c r="I143" s="6" t="s">
        <v>39</v>
      </c>
      <c r="J143" s="2" t="s">
        <v>199</v>
      </c>
      <c r="K143" s="2" t="s">
        <v>200</v>
      </c>
      <c r="L143" s="2" t="s">
        <v>28</v>
      </c>
      <c r="M143" s="2" t="s">
        <v>5</v>
      </c>
      <c r="N143" s="4">
        <v>204.52</v>
      </c>
    </row>
    <row r="145" spans="1:14" x14ac:dyDescent="0.25">
      <c r="A145" s="13" t="s">
        <v>59</v>
      </c>
      <c r="B145" s="21"/>
      <c r="C145" s="22">
        <f>SUM(C138:C144)</f>
        <v>208.42500000000001</v>
      </c>
      <c r="D145" s="23">
        <f>SUM(D138:D144)</f>
        <v>3981.9211500000001</v>
      </c>
      <c r="E145" s="23">
        <f>SUM(E138:E144)</f>
        <v>2780.9109999999996</v>
      </c>
      <c r="F145" s="23">
        <f>D145-E145</f>
        <v>1201.0101500000005</v>
      </c>
      <c r="G145" s="24">
        <f>IF(((D145)=0),0,(D145-E145)/ D145)</f>
        <v>0.30161575399352158</v>
      </c>
      <c r="H145" s="21"/>
      <c r="I145" s="21"/>
      <c r="J145" s="21"/>
      <c r="K145" s="21"/>
      <c r="L145" s="21"/>
      <c r="M145" s="21"/>
      <c r="N145" s="21"/>
    </row>
    <row r="147" spans="1:14" s="17" customFormat="1" ht="18.75" x14ac:dyDescent="0.3"/>
    <row r="148" spans="1:14" s="7" customFormat="1" x14ac:dyDescent="0.25">
      <c r="A148" s="13" t="s">
        <v>201</v>
      </c>
      <c r="B148" s="18" t="s">
        <v>202</v>
      </c>
      <c r="C148" s="19"/>
      <c r="D148" s="20" t="s">
        <v>5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50" spans="1:14" x14ac:dyDescent="0.25">
      <c r="A150" s="2" t="s">
        <v>203</v>
      </c>
      <c r="B150" s="2" t="s">
        <v>204</v>
      </c>
      <c r="C150" s="3">
        <v>15.5</v>
      </c>
      <c r="D150" s="4">
        <v>254.51</v>
      </c>
      <c r="E150" s="4">
        <v>77.5</v>
      </c>
      <c r="F150" s="4">
        <f t="shared" ref="F150:F160" si="10">D150-E150</f>
        <v>177.01</v>
      </c>
      <c r="G150" s="5">
        <f t="shared" ref="G150:G160" si="11">IF(((D150)=0),0,(D150-E150)/ D150)</f>
        <v>0.69549330085261873</v>
      </c>
      <c r="H150" s="2" t="s">
        <v>205</v>
      </c>
      <c r="I150" s="6" t="s">
        <v>39</v>
      </c>
      <c r="J150" s="2" t="s">
        <v>206</v>
      </c>
      <c r="K150" s="2" t="s">
        <v>5</v>
      </c>
      <c r="L150" s="2" t="s">
        <v>28</v>
      </c>
      <c r="M150" s="2" t="s">
        <v>5</v>
      </c>
      <c r="N150" s="4">
        <v>254.51</v>
      </c>
    </row>
    <row r="151" spans="1:14" x14ac:dyDescent="0.25">
      <c r="A151" s="2" t="s">
        <v>207</v>
      </c>
      <c r="B151" s="2" t="s">
        <v>208</v>
      </c>
      <c r="C151" s="3">
        <v>5</v>
      </c>
      <c r="D151" s="4">
        <v>100.5</v>
      </c>
      <c r="E151" s="4">
        <v>64.099999999999994</v>
      </c>
      <c r="F151" s="4">
        <f t="shared" si="10"/>
        <v>36.400000000000006</v>
      </c>
      <c r="G151" s="5">
        <f t="shared" si="11"/>
        <v>0.3621890547263682</v>
      </c>
      <c r="H151" s="2" t="s">
        <v>209</v>
      </c>
      <c r="I151" s="6" t="s">
        <v>69</v>
      </c>
      <c r="J151" s="2" t="s">
        <v>210</v>
      </c>
      <c r="K151" s="2" t="s">
        <v>5</v>
      </c>
      <c r="L151" s="2" t="s">
        <v>28</v>
      </c>
      <c r="M151" s="2" t="s">
        <v>5</v>
      </c>
      <c r="N151" s="4">
        <v>1368.89</v>
      </c>
    </row>
    <row r="152" spans="1:14" x14ac:dyDescent="0.25">
      <c r="A152" s="2" t="s">
        <v>152</v>
      </c>
      <c r="B152" s="2" t="s">
        <v>153</v>
      </c>
      <c r="C152" s="3">
        <v>11.69</v>
      </c>
      <c r="D152" s="4">
        <v>185.4034</v>
      </c>
      <c r="E152" s="4">
        <v>80.661000000000001</v>
      </c>
      <c r="F152" s="4">
        <f t="shared" si="10"/>
        <v>104.7424</v>
      </c>
      <c r="G152" s="5">
        <f t="shared" si="11"/>
        <v>0.56494325346784369</v>
      </c>
      <c r="H152" s="2" t="s">
        <v>209</v>
      </c>
      <c r="I152" s="6" t="s">
        <v>69</v>
      </c>
      <c r="J152" s="2" t="s">
        <v>210</v>
      </c>
      <c r="K152" s="2" t="s">
        <v>5</v>
      </c>
      <c r="L152" s="2" t="s">
        <v>28</v>
      </c>
      <c r="M152" s="2" t="s">
        <v>5</v>
      </c>
      <c r="N152" s="4">
        <v>1368.89</v>
      </c>
    </row>
    <row r="153" spans="1:14" x14ac:dyDescent="0.25">
      <c r="A153" s="2" t="s">
        <v>211</v>
      </c>
      <c r="B153" s="2" t="s">
        <v>212</v>
      </c>
      <c r="C153" s="3">
        <v>14.92</v>
      </c>
      <c r="D153" s="4">
        <v>56.397599999999997</v>
      </c>
      <c r="E153" s="4">
        <v>37.299999999999997</v>
      </c>
      <c r="F153" s="4">
        <f t="shared" si="10"/>
        <v>19.0976</v>
      </c>
      <c r="G153" s="5">
        <f t="shared" si="11"/>
        <v>0.33862433862433866</v>
      </c>
      <c r="H153" s="2" t="s">
        <v>209</v>
      </c>
      <c r="I153" s="6" t="s">
        <v>69</v>
      </c>
      <c r="J153" s="2" t="s">
        <v>210</v>
      </c>
      <c r="K153" s="2" t="s">
        <v>5</v>
      </c>
      <c r="L153" s="2" t="s">
        <v>28</v>
      </c>
      <c r="M153" s="2" t="s">
        <v>5</v>
      </c>
      <c r="N153" s="4">
        <v>1368.89</v>
      </c>
    </row>
    <row r="154" spans="1:14" x14ac:dyDescent="0.25">
      <c r="A154" s="2" t="s">
        <v>154</v>
      </c>
      <c r="B154" s="2" t="s">
        <v>155</v>
      </c>
      <c r="C154" s="3">
        <v>4.0819999999999999</v>
      </c>
      <c r="D154" s="4">
        <v>172.95434</v>
      </c>
      <c r="E154" s="4">
        <v>114.29600000000001</v>
      </c>
      <c r="F154" s="4">
        <f t="shared" si="10"/>
        <v>58.658339999999995</v>
      </c>
      <c r="G154" s="5">
        <f t="shared" si="11"/>
        <v>0.33915506254425298</v>
      </c>
      <c r="H154" s="2" t="s">
        <v>209</v>
      </c>
      <c r="I154" s="6" t="s">
        <v>69</v>
      </c>
      <c r="J154" s="2" t="s">
        <v>210</v>
      </c>
      <c r="K154" s="2" t="s">
        <v>5</v>
      </c>
      <c r="L154" s="2" t="s">
        <v>28</v>
      </c>
      <c r="M154" s="2" t="s">
        <v>5</v>
      </c>
      <c r="N154" s="4">
        <v>1368.89</v>
      </c>
    </row>
    <row r="155" spans="1:14" x14ac:dyDescent="0.25">
      <c r="A155" s="2" t="s">
        <v>154</v>
      </c>
      <c r="B155" s="2" t="s">
        <v>155</v>
      </c>
      <c r="C155" s="3">
        <v>6.5750000000000002</v>
      </c>
      <c r="D155" s="4">
        <v>278.58274999999998</v>
      </c>
      <c r="E155" s="4">
        <v>184.1</v>
      </c>
      <c r="F155" s="4">
        <f t="shared" si="10"/>
        <v>94.482749999999982</v>
      </c>
      <c r="G155" s="5">
        <f t="shared" si="11"/>
        <v>0.33915506254425298</v>
      </c>
      <c r="H155" s="2" t="s">
        <v>213</v>
      </c>
      <c r="I155" s="6" t="s">
        <v>32</v>
      </c>
      <c r="J155" s="2" t="s">
        <v>214</v>
      </c>
      <c r="K155" s="2" t="s">
        <v>5</v>
      </c>
      <c r="L155" s="2" t="s">
        <v>28</v>
      </c>
      <c r="M155" s="2" t="s">
        <v>5</v>
      </c>
      <c r="N155" s="4">
        <v>973.5</v>
      </c>
    </row>
    <row r="156" spans="1:14" x14ac:dyDescent="0.25">
      <c r="A156" s="2" t="s">
        <v>215</v>
      </c>
      <c r="B156" s="2" t="s">
        <v>216</v>
      </c>
      <c r="C156" s="3">
        <v>30.58</v>
      </c>
      <c r="D156" s="4">
        <v>574.904</v>
      </c>
      <c r="E156" s="4">
        <v>466.34500000000003</v>
      </c>
      <c r="F156" s="4">
        <f t="shared" si="10"/>
        <v>108.55899999999997</v>
      </c>
      <c r="G156" s="5">
        <f t="shared" si="11"/>
        <v>0.18882978723404251</v>
      </c>
      <c r="H156" s="2" t="s">
        <v>213</v>
      </c>
      <c r="I156" s="6" t="s">
        <v>32</v>
      </c>
      <c r="J156" s="2" t="s">
        <v>214</v>
      </c>
      <c r="K156" s="2" t="s">
        <v>5</v>
      </c>
      <c r="L156" s="2" t="s">
        <v>28</v>
      </c>
      <c r="M156" s="2" t="s">
        <v>5</v>
      </c>
      <c r="N156" s="4">
        <v>973.5</v>
      </c>
    </row>
    <row r="157" spans="1:14" x14ac:dyDescent="0.25">
      <c r="A157" s="2" t="s">
        <v>217</v>
      </c>
      <c r="B157" s="2" t="s">
        <v>218</v>
      </c>
      <c r="C157" s="3">
        <v>7.61</v>
      </c>
      <c r="D157" s="4">
        <v>120.0097</v>
      </c>
      <c r="E157" s="4">
        <v>82.948999999999998</v>
      </c>
      <c r="F157" s="4">
        <f t="shared" si="10"/>
        <v>37.060699999999997</v>
      </c>
      <c r="G157" s="5">
        <f t="shared" si="11"/>
        <v>0.3088142041851617</v>
      </c>
      <c r="H157" s="2" t="s">
        <v>213</v>
      </c>
      <c r="I157" s="6" t="s">
        <v>32</v>
      </c>
      <c r="J157" s="2" t="s">
        <v>214</v>
      </c>
      <c r="K157" s="2" t="s">
        <v>5</v>
      </c>
      <c r="L157" s="2" t="s">
        <v>28</v>
      </c>
      <c r="M157" s="2" t="s">
        <v>5</v>
      </c>
      <c r="N157" s="4">
        <v>973.5</v>
      </c>
    </row>
    <row r="158" spans="1:14" x14ac:dyDescent="0.25">
      <c r="A158" s="2" t="s">
        <v>219</v>
      </c>
      <c r="B158" s="2" t="s">
        <v>220</v>
      </c>
      <c r="C158" s="3">
        <v>9.8699999999999992</v>
      </c>
      <c r="D158" s="4">
        <v>151.60319999999999</v>
      </c>
      <c r="E158" s="4">
        <v>93.765000000000001</v>
      </c>
      <c r="F158" s="4">
        <f t="shared" si="10"/>
        <v>57.838199999999986</v>
      </c>
      <c r="G158" s="5">
        <f t="shared" si="11"/>
        <v>0.38151041666666663</v>
      </c>
      <c r="H158" s="2" t="s">
        <v>209</v>
      </c>
      <c r="I158" s="6" t="s">
        <v>69</v>
      </c>
      <c r="J158" s="2" t="s">
        <v>210</v>
      </c>
      <c r="K158" s="2" t="s">
        <v>5</v>
      </c>
      <c r="L158" s="2" t="s">
        <v>28</v>
      </c>
      <c r="M158" s="2" t="s">
        <v>5</v>
      </c>
      <c r="N158" s="4">
        <v>1368.89</v>
      </c>
    </row>
    <row r="159" spans="1:14" x14ac:dyDescent="0.25">
      <c r="A159" s="2" t="s">
        <v>221</v>
      </c>
      <c r="B159" s="2" t="s">
        <v>222</v>
      </c>
      <c r="C159" s="3">
        <v>18.8</v>
      </c>
      <c r="D159" s="4">
        <v>606.11199999999997</v>
      </c>
      <c r="E159" s="4">
        <v>460.6</v>
      </c>
      <c r="F159" s="4">
        <f t="shared" si="10"/>
        <v>145.51199999999994</v>
      </c>
      <c r="G159" s="5">
        <f t="shared" si="11"/>
        <v>0.24007444168734485</v>
      </c>
      <c r="H159" s="2" t="s">
        <v>209</v>
      </c>
      <c r="I159" s="6" t="s">
        <v>69</v>
      </c>
      <c r="J159" s="2" t="s">
        <v>210</v>
      </c>
      <c r="K159" s="2" t="s">
        <v>5</v>
      </c>
      <c r="L159" s="2" t="s">
        <v>28</v>
      </c>
      <c r="M159" s="2" t="s">
        <v>5</v>
      </c>
      <c r="N159" s="4">
        <v>1368.89</v>
      </c>
    </row>
    <row r="160" spans="1:14" x14ac:dyDescent="0.25">
      <c r="A160" s="2" t="s">
        <v>124</v>
      </c>
      <c r="B160" s="2" t="s">
        <v>125</v>
      </c>
      <c r="C160" s="3">
        <v>3.0059999999999998</v>
      </c>
      <c r="D160" s="4">
        <v>95.921459999999996</v>
      </c>
      <c r="E160" s="4">
        <v>65.380499999999998</v>
      </c>
      <c r="F160" s="4">
        <f t="shared" si="10"/>
        <v>30.540959999999998</v>
      </c>
      <c r="G160" s="5">
        <f t="shared" si="11"/>
        <v>0.31839548730805389</v>
      </c>
      <c r="H160" s="2" t="s">
        <v>209</v>
      </c>
      <c r="I160" s="6" t="s">
        <v>69</v>
      </c>
      <c r="J160" s="2" t="s">
        <v>210</v>
      </c>
      <c r="K160" s="2" t="s">
        <v>5</v>
      </c>
      <c r="L160" s="2" t="s">
        <v>28</v>
      </c>
      <c r="M160" s="2" t="s">
        <v>5</v>
      </c>
      <c r="N160" s="4">
        <v>1368.89</v>
      </c>
    </row>
    <row r="162" spans="1:14" x14ac:dyDescent="0.25">
      <c r="A162" s="13" t="s">
        <v>59</v>
      </c>
      <c r="B162" s="21"/>
      <c r="C162" s="22">
        <f>SUM(C147:C161)</f>
        <v>127.63300000000001</v>
      </c>
      <c r="D162" s="23">
        <f>SUM(D147:D161)</f>
        <v>2596.8984500000001</v>
      </c>
      <c r="E162" s="23">
        <f>SUM(E147:E161)</f>
        <v>1726.9965000000004</v>
      </c>
      <c r="F162" s="23">
        <f>D162-E162</f>
        <v>869.90194999999972</v>
      </c>
      <c r="G162" s="24">
        <f>IF(((D162)=0),0,(D162-E162)/ D162)</f>
        <v>0.33497726874918798</v>
      </c>
      <c r="H162" s="21"/>
      <c r="I162" s="21"/>
      <c r="J162" s="21"/>
      <c r="K162" s="21"/>
      <c r="L162" s="21"/>
      <c r="M162" s="21"/>
      <c r="N162" s="21"/>
    </row>
    <row r="164" spans="1:14" s="17" customFormat="1" ht="18.75" x14ac:dyDescent="0.3"/>
    <row r="165" spans="1:14" s="7" customFormat="1" x14ac:dyDescent="0.25">
      <c r="A165" s="13" t="s">
        <v>223</v>
      </c>
      <c r="B165" s="18" t="s">
        <v>224</v>
      </c>
      <c r="C165" s="19"/>
      <c r="D165" s="20" t="s">
        <v>5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</row>
    <row r="167" spans="1:14" x14ac:dyDescent="0.25">
      <c r="A167" s="2" t="s">
        <v>152</v>
      </c>
      <c r="B167" s="2" t="s">
        <v>153</v>
      </c>
      <c r="C167" s="3">
        <v>7.98</v>
      </c>
      <c r="D167" s="4">
        <v>131.0316</v>
      </c>
      <c r="E167" s="4">
        <v>55.061999999999998</v>
      </c>
      <c r="F167" s="4">
        <f t="shared" ref="F167:F174" si="12">D167-E167</f>
        <v>75.9696</v>
      </c>
      <c r="G167" s="5">
        <f t="shared" ref="G167:G174" si="13">IF(((D167)=0),0,(D167-E167)/ D167)</f>
        <v>0.57978075517661387</v>
      </c>
      <c r="H167" s="2" t="s">
        <v>225</v>
      </c>
      <c r="I167" s="6" t="s">
        <v>25</v>
      </c>
      <c r="J167" s="2" t="s">
        <v>226</v>
      </c>
      <c r="K167" s="2" t="s">
        <v>5</v>
      </c>
      <c r="L167" s="2" t="s">
        <v>28</v>
      </c>
      <c r="M167" s="2" t="s">
        <v>5</v>
      </c>
      <c r="N167" s="4">
        <v>321.54000000000002</v>
      </c>
    </row>
    <row r="168" spans="1:14" x14ac:dyDescent="0.25">
      <c r="A168" s="2" t="s">
        <v>152</v>
      </c>
      <c r="B168" s="2" t="s">
        <v>153</v>
      </c>
      <c r="C168" s="3">
        <v>7.9649999999999999</v>
      </c>
      <c r="D168" s="4">
        <v>130.78530000000001</v>
      </c>
      <c r="E168" s="4">
        <v>54.958500000000001</v>
      </c>
      <c r="F168" s="4">
        <f t="shared" si="12"/>
        <v>75.826800000000006</v>
      </c>
      <c r="G168" s="5">
        <f t="shared" si="13"/>
        <v>0.57978075517661387</v>
      </c>
      <c r="H168" s="2" t="s">
        <v>227</v>
      </c>
      <c r="I168" s="6" t="s">
        <v>32</v>
      </c>
      <c r="J168" s="2" t="s">
        <v>228</v>
      </c>
      <c r="K168" s="2" t="s">
        <v>5</v>
      </c>
      <c r="L168" s="2" t="s">
        <v>28</v>
      </c>
      <c r="M168" s="2" t="s">
        <v>5</v>
      </c>
      <c r="N168" s="4">
        <v>219.33</v>
      </c>
    </row>
    <row r="169" spans="1:14" x14ac:dyDescent="0.25">
      <c r="A169" s="2" t="s">
        <v>152</v>
      </c>
      <c r="B169" s="2" t="s">
        <v>153</v>
      </c>
      <c r="C169" s="3">
        <v>7.6849999999999996</v>
      </c>
      <c r="D169" s="4">
        <v>126.18770000000001</v>
      </c>
      <c r="E169" s="4">
        <v>53.026499999999999</v>
      </c>
      <c r="F169" s="4">
        <f t="shared" si="12"/>
        <v>73.161200000000008</v>
      </c>
      <c r="G169" s="5">
        <f t="shared" si="13"/>
        <v>0.57978075517661387</v>
      </c>
      <c r="H169" s="2" t="s">
        <v>229</v>
      </c>
      <c r="I169" s="6" t="s">
        <v>39</v>
      </c>
      <c r="J169" s="2" t="s">
        <v>230</v>
      </c>
      <c r="K169" s="2" t="s">
        <v>5</v>
      </c>
      <c r="L169" s="2" t="s">
        <v>28</v>
      </c>
      <c r="M169" s="2" t="s">
        <v>5</v>
      </c>
      <c r="N169" s="4">
        <v>228.83</v>
      </c>
    </row>
    <row r="170" spans="1:14" x14ac:dyDescent="0.25">
      <c r="A170" s="2" t="s">
        <v>152</v>
      </c>
      <c r="B170" s="2" t="s">
        <v>153</v>
      </c>
      <c r="C170" s="3">
        <v>9.5399999999999991</v>
      </c>
      <c r="D170" s="4">
        <v>156.64680000000001</v>
      </c>
      <c r="E170" s="4">
        <v>65.825999999999993</v>
      </c>
      <c r="F170" s="4">
        <f t="shared" si="12"/>
        <v>90.82080000000002</v>
      </c>
      <c r="G170" s="5">
        <f t="shared" si="13"/>
        <v>0.57978075517661398</v>
      </c>
      <c r="H170" s="2" t="s">
        <v>231</v>
      </c>
      <c r="I170" s="6" t="s">
        <v>69</v>
      </c>
      <c r="J170" s="2" t="s">
        <v>232</v>
      </c>
      <c r="K170" s="2" t="s">
        <v>5</v>
      </c>
      <c r="L170" s="2" t="s">
        <v>28</v>
      </c>
      <c r="M170" s="2" t="s">
        <v>5</v>
      </c>
      <c r="N170" s="4">
        <v>257.22000000000003</v>
      </c>
    </row>
    <row r="171" spans="1:14" x14ac:dyDescent="0.25">
      <c r="A171" s="2" t="s">
        <v>233</v>
      </c>
      <c r="B171" s="2" t="s">
        <v>234</v>
      </c>
      <c r="C171" s="3">
        <v>6.7</v>
      </c>
      <c r="D171" s="4">
        <v>102.64400000000001</v>
      </c>
      <c r="E171" s="4">
        <v>73.7</v>
      </c>
      <c r="F171" s="4">
        <f t="shared" si="12"/>
        <v>28.944000000000003</v>
      </c>
      <c r="G171" s="5">
        <f t="shared" si="13"/>
        <v>0.28198433420365537</v>
      </c>
      <c r="H171" s="2" t="s">
        <v>229</v>
      </c>
      <c r="I171" s="6" t="s">
        <v>39</v>
      </c>
      <c r="J171" s="2" t="s">
        <v>230</v>
      </c>
      <c r="K171" s="2" t="s">
        <v>5</v>
      </c>
      <c r="L171" s="2" t="s">
        <v>28</v>
      </c>
      <c r="M171" s="2" t="s">
        <v>5</v>
      </c>
      <c r="N171" s="4">
        <v>228.83</v>
      </c>
    </row>
    <row r="172" spans="1:14" x14ac:dyDescent="0.25">
      <c r="A172" s="2" t="s">
        <v>233</v>
      </c>
      <c r="B172" s="2" t="s">
        <v>234</v>
      </c>
      <c r="C172" s="3">
        <v>5.78</v>
      </c>
      <c r="D172" s="4">
        <v>88.549599999999998</v>
      </c>
      <c r="E172" s="4">
        <v>63.58</v>
      </c>
      <c r="F172" s="4">
        <f t="shared" si="12"/>
        <v>24.9696</v>
      </c>
      <c r="G172" s="5">
        <f t="shared" si="13"/>
        <v>0.28198433420365537</v>
      </c>
      <c r="H172" s="2" t="s">
        <v>227</v>
      </c>
      <c r="I172" s="6" t="s">
        <v>32</v>
      </c>
      <c r="J172" s="2" t="s">
        <v>228</v>
      </c>
      <c r="K172" s="2" t="s">
        <v>5</v>
      </c>
      <c r="L172" s="2" t="s">
        <v>28</v>
      </c>
      <c r="M172" s="2" t="s">
        <v>5</v>
      </c>
      <c r="N172" s="4">
        <v>219.33</v>
      </c>
    </row>
    <row r="173" spans="1:14" x14ac:dyDescent="0.25">
      <c r="A173" s="2" t="s">
        <v>233</v>
      </c>
      <c r="B173" s="2" t="s">
        <v>234</v>
      </c>
      <c r="C173" s="3">
        <v>12.435</v>
      </c>
      <c r="D173" s="4">
        <v>190.5042</v>
      </c>
      <c r="E173" s="4">
        <v>136.785</v>
      </c>
      <c r="F173" s="4">
        <f t="shared" si="12"/>
        <v>53.719200000000001</v>
      </c>
      <c r="G173" s="5">
        <f t="shared" si="13"/>
        <v>0.28198433420365537</v>
      </c>
      <c r="H173" s="2" t="s">
        <v>225</v>
      </c>
      <c r="I173" s="6" t="s">
        <v>25</v>
      </c>
      <c r="J173" s="2" t="s">
        <v>226</v>
      </c>
      <c r="K173" s="2" t="s">
        <v>5</v>
      </c>
      <c r="L173" s="2" t="s">
        <v>28</v>
      </c>
      <c r="M173" s="2" t="s">
        <v>5</v>
      </c>
      <c r="N173" s="4">
        <v>321.54000000000002</v>
      </c>
    </row>
    <row r="174" spans="1:14" x14ac:dyDescent="0.25">
      <c r="A174" s="2" t="s">
        <v>233</v>
      </c>
      <c r="B174" s="2" t="s">
        <v>234</v>
      </c>
      <c r="C174" s="3">
        <v>6.5650000000000004</v>
      </c>
      <c r="D174" s="4">
        <v>100.5758</v>
      </c>
      <c r="E174" s="4">
        <v>72.215000000000003</v>
      </c>
      <c r="F174" s="4">
        <f t="shared" si="12"/>
        <v>28.360799999999998</v>
      </c>
      <c r="G174" s="5">
        <f t="shared" si="13"/>
        <v>0.28198433420365532</v>
      </c>
      <c r="H174" s="2" t="s">
        <v>231</v>
      </c>
      <c r="I174" s="6" t="s">
        <v>69</v>
      </c>
      <c r="J174" s="2" t="s">
        <v>232</v>
      </c>
      <c r="K174" s="2" t="s">
        <v>5</v>
      </c>
      <c r="L174" s="2" t="s">
        <v>28</v>
      </c>
      <c r="M174" s="2" t="s">
        <v>5</v>
      </c>
      <c r="N174" s="4">
        <v>257.22000000000003</v>
      </c>
    </row>
    <row r="176" spans="1:14" x14ac:dyDescent="0.25">
      <c r="A176" s="13" t="s">
        <v>59</v>
      </c>
      <c r="B176" s="21"/>
      <c r="C176" s="22">
        <f>SUM(C164:C175)</f>
        <v>64.650000000000006</v>
      </c>
      <c r="D176" s="23">
        <f>SUM(D164:D175)</f>
        <v>1026.925</v>
      </c>
      <c r="E176" s="23">
        <f>SUM(E164:E175)</f>
        <v>575.15300000000002</v>
      </c>
      <c r="F176" s="23">
        <f>D176-E176</f>
        <v>451.77199999999993</v>
      </c>
      <c r="G176" s="24">
        <f>IF(((D176)=0),0,(D176-E176)/ D176)</f>
        <v>0.43992696642890178</v>
      </c>
      <c r="H176" s="21"/>
      <c r="I176" s="21"/>
      <c r="J176" s="21"/>
      <c r="K176" s="21"/>
      <c r="L176" s="21"/>
      <c r="M176" s="21"/>
      <c r="N176" s="21"/>
    </row>
    <row r="178" spans="1:14" s="17" customFormat="1" ht="18.75" x14ac:dyDescent="0.3"/>
    <row r="179" spans="1:14" s="7" customFormat="1" x14ac:dyDescent="0.25">
      <c r="A179" s="13" t="s">
        <v>235</v>
      </c>
      <c r="B179" s="18" t="s">
        <v>236</v>
      </c>
      <c r="C179" s="19"/>
      <c r="D179" s="20" t="s">
        <v>5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1" spans="1:14" x14ac:dyDescent="0.25">
      <c r="A181" s="2" t="s">
        <v>237</v>
      </c>
      <c r="B181" s="2" t="s">
        <v>238</v>
      </c>
      <c r="C181" s="3">
        <v>4</v>
      </c>
      <c r="D181" s="4">
        <v>147.56</v>
      </c>
      <c r="E181" s="4">
        <v>76.8</v>
      </c>
      <c r="F181" s="4">
        <f>D181-E181</f>
        <v>70.760000000000005</v>
      </c>
      <c r="G181" s="5">
        <f>IF(((D181)=0),0,(D181-E181)/ D181)</f>
        <v>0.4795337489834644</v>
      </c>
      <c r="H181" s="2" t="s">
        <v>239</v>
      </c>
      <c r="I181" s="6" t="s">
        <v>25</v>
      </c>
      <c r="J181" s="2" t="s">
        <v>240</v>
      </c>
      <c r="K181" s="2" t="s">
        <v>5</v>
      </c>
      <c r="L181" s="2" t="s">
        <v>28</v>
      </c>
      <c r="M181" s="2" t="s">
        <v>5</v>
      </c>
      <c r="N181" s="4">
        <v>147.56</v>
      </c>
    </row>
    <row r="183" spans="1:14" x14ac:dyDescent="0.25">
      <c r="A183" s="13" t="s">
        <v>59</v>
      </c>
      <c r="B183" s="21"/>
      <c r="C183" s="22">
        <f>SUM(C178:C182)</f>
        <v>4</v>
      </c>
      <c r="D183" s="23">
        <f>SUM(D178:D182)</f>
        <v>147.56</v>
      </c>
      <c r="E183" s="23">
        <f>SUM(E178:E182)</f>
        <v>76.8</v>
      </c>
      <c r="F183" s="23">
        <f>D183-E183</f>
        <v>70.760000000000005</v>
      </c>
      <c r="G183" s="24">
        <f>IF(((D183)=0),0,(D183-E183)/ D183)</f>
        <v>0.4795337489834644</v>
      </c>
      <c r="H183" s="21"/>
      <c r="I183" s="21"/>
      <c r="J183" s="21"/>
      <c r="K183" s="21"/>
      <c r="L183" s="21"/>
      <c r="M183" s="21"/>
      <c r="N183" s="21"/>
    </row>
    <row r="185" spans="1:14" s="17" customFormat="1" ht="18.75" x14ac:dyDescent="0.3"/>
    <row r="186" spans="1:14" s="7" customFormat="1" x14ac:dyDescent="0.25">
      <c r="A186" s="13" t="s">
        <v>241</v>
      </c>
      <c r="B186" s="18" t="s">
        <v>242</v>
      </c>
      <c r="C186" s="19"/>
      <c r="D186" s="20" t="s">
        <v>5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8" spans="1:14" x14ac:dyDescent="0.25">
      <c r="A188" s="2" t="s">
        <v>22</v>
      </c>
      <c r="B188" s="2" t="s">
        <v>23</v>
      </c>
      <c r="C188" s="3">
        <v>4.3099999999999996</v>
      </c>
      <c r="D188" s="4">
        <v>66.029200000000003</v>
      </c>
      <c r="E188" s="4">
        <v>47.41</v>
      </c>
      <c r="F188" s="4">
        <f t="shared" ref="F188:F194" si="14">D188-E188</f>
        <v>18.619200000000006</v>
      </c>
      <c r="G188" s="5">
        <f t="shared" ref="G188:G194" si="15">IF(((D188)=0),0,(D188-E188)/ D188)</f>
        <v>0.28198433420365543</v>
      </c>
      <c r="H188" s="2" t="s">
        <v>243</v>
      </c>
      <c r="I188" s="6" t="s">
        <v>25</v>
      </c>
      <c r="J188" s="2" t="s">
        <v>244</v>
      </c>
      <c r="K188" s="2" t="s">
        <v>245</v>
      </c>
      <c r="L188" s="2" t="s">
        <v>28</v>
      </c>
      <c r="M188" s="2" t="s">
        <v>5</v>
      </c>
      <c r="N188" s="4">
        <v>466.23</v>
      </c>
    </row>
    <row r="189" spans="1:14" x14ac:dyDescent="0.25">
      <c r="A189" s="2" t="s">
        <v>29</v>
      </c>
      <c r="B189" s="2" t="s">
        <v>30</v>
      </c>
      <c r="C189" s="3">
        <v>4.18</v>
      </c>
      <c r="D189" s="4">
        <v>64.037599999999998</v>
      </c>
      <c r="E189" s="4">
        <v>41.8</v>
      </c>
      <c r="F189" s="4">
        <f t="shared" si="14"/>
        <v>22.2376</v>
      </c>
      <c r="G189" s="5">
        <f t="shared" si="15"/>
        <v>0.3472584856396867</v>
      </c>
      <c r="H189" s="2" t="s">
        <v>243</v>
      </c>
      <c r="I189" s="6" t="s">
        <v>25</v>
      </c>
      <c r="J189" s="2" t="s">
        <v>244</v>
      </c>
      <c r="K189" s="2" t="s">
        <v>245</v>
      </c>
      <c r="L189" s="2" t="s">
        <v>28</v>
      </c>
      <c r="M189" s="2" t="s">
        <v>5</v>
      </c>
      <c r="N189" s="4">
        <v>466.23</v>
      </c>
    </row>
    <row r="190" spans="1:14" x14ac:dyDescent="0.25">
      <c r="A190" s="2" t="s">
        <v>150</v>
      </c>
      <c r="B190" s="2" t="s">
        <v>151</v>
      </c>
      <c r="C190" s="3">
        <v>4.18</v>
      </c>
      <c r="D190" s="4">
        <v>70.683800000000005</v>
      </c>
      <c r="E190" s="4">
        <v>40.963999999999999</v>
      </c>
      <c r="F190" s="4">
        <f t="shared" si="14"/>
        <v>29.719800000000006</v>
      </c>
      <c r="G190" s="5">
        <f t="shared" si="15"/>
        <v>0.420461265523359</v>
      </c>
      <c r="H190" s="2" t="s">
        <v>243</v>
      </c>
      <c r="I190" s="6" t="s">
        <v>25</v>
      </c>
      <c r="J190" s="2" t="s">
        <v>244</v>
      </c>
      <c r="K190" s="2" t="s">
        <v>245</v>
      </c>
      <c r="L190" s="2" t="s">
        <v>28</v>
      </c>
      <c r="M190" s="2" t="s">
        <v>5</v>
      </c>
      <c r="N190" s="4">
        <v>466.23</v>
      </c>
    </row>
    <row r="191" spans="1:14" x14ac:dyDescent="0.25">
      <c r="A191" s="2" t="s">
        <v>246</v>
      </c>
      <c r="B191" s="2" t="s">
        <v>247</v>
      </c>
      <c r="C191" s="3">
        <v>4.12</v>
      </c>
      <c r="D191" s="4">
        <v>94.76</v>
      </c>
      <c r="E191" s="4">
        <v>66.95</v>
      </c>
      <c r="F191" s="4">
        <f t="shared" si="14"/>
        <v>27.810000000000002</v>
      </c>
      <c r="G191" s="5">
        <f t="shared" si="15"/>
        <v>0.29347826086956524</v>
      </c>
      <c r="H191" s="2" t="s">
        <v>243</v>
      </c>
      <c r="I191" s="6" t="s">
        <v>25</v>
      </c>
      <c r="J191" s="2" t="s">
        <v>244</v>
      </c>
      <c r="K191" s="2" t="s">
        <v>245</v>
      </c>
      <c r="L191" s="2" t="s">
        <v>28</v>
      </c>
      <c r="M191" s="2" t="s">
        <v>5</v>
      </c>
      <c r="N191" s="4">
        <v>466.23</v>
      </c>
    </row>
    <row r="192" spans="1:14" x14ac:dyDescent="0.25">
      <c r="A192" s="2" t="s">
        <v>248</v>
      </c>
      <c r="B192" s="2" t="s">
        <v>249</v>
      </c>
      <c r="C192" s="3">
        <v>2.1480000000000001</v>
      </c>
      <c r="D192" s="4">
        <v>33.46584</v>
      </c>
      <c r="E192" s="4">
        <v>20.405999999999999</v>
      </c>
      <c r="F192" s="4">
        <f t="shared" si="14"/>
        <v>13.059840000000001</v>
      </c>
      <c r="G192" s="5">
        <f t="shared" si="15"/>
        <v>0.3902439024390244</v>
      </c>
      <c r="H192" s="2" t="s">
        <v>243</v>
      </c>
      <c r="I192" s="6" t="s">
        <v>25</v>
      </c>
      <c r="J192" s="2" t="s">
        <v>244</v>
      </c>
      <c r="K192" s="2" t="s">
        <v>245</v>
      </c>
      <c r="L192" s="2" t="s">
        <v>28</v>
      </c>
      <c r="M192" s="2" t="s">
        <v>5</v>
      </c>
      <c r="N192" s="4">
        <v>466.23</v>
      </c>
    </row>
    <row r="193" spans="1:14" x14ac:dyDescent="0.25">
      <c r="A193" s="2" t="s">
        <v>53</v>
      </c>
      <c r="B193" s="2" t="s">
        <v>54</v>
      </c>
      <c r="C193" s="3">
        <v>6.74</v>
      </c>
      <c r="D193" s="4">
        <v>81.0822</v>
      </c>
      <c r="E193" s="4">
        <v>49.201999999999998</v>
      </c>
      <c r="F193" s="4">
        <f t="shared" si="14"/>
        <v>31.880200000000002</v>
      </c>
      <c r="G193" s="5">
        <f t="shared" si="15"/>
        <v>0.39318370739817127</v>
      </c>
      <c r="H193" s="2" t="s">
        <v>243</v>
      </c>
      <c r="I193" s="6" t="s">
        <v>25</v>
      </c>
      <c r="J193" s="2" t="s">
        <v>244</v>
      </c>
      <c r="K193" s="2" t="s">
        <v>245</v>
      </c>
      <c r="L193" s="2" t="s">
        <v>28</v>
      </c>
      <c r="M193" s="2" t="s">
        <v>5</v>
      </c>
      <c r="N193" s="4">
        <v>466.23</v>
      </c>
    </row>
    <row r="194" spans="1:14" x14ac:dyDescent="0.25">
      <c r="A194" s="2" t="s">
        <v>250</v>
      </c>
      <c r="B194" s="2" t="s">
        <v>251</v>
      </c>
      <c r="C194" s="3">
        <v>3.79</v>
      </c>
      <c r="D194" s="4">
        <v>56.1678</v>
      </c>
      <c r="E194" s="4">
        <v>32.215000000000003</v>
      </c>
      <c r="F194" s="4">
        <f t="shared" si="14"/>
        <v>23.952799999999996</v>
      </c>
      <c r="G194" s="5">
        <f t="shared" si="15"/>
        <v>0.42645074224021584</v>
      </c>
      <c r="H194" s="2" t="s">
        <v>243</v>
      </c>
      <c r="I194" s="6" t="s">
        <v>25</v>
      </c>
      <c r="J194" s="2" t="s">
        <v>244</v>
      </c>
      <c r="K194" s="2" t="s">
        <v>245</v>
      </c>
      <c r="L194" s="2" t="s">
        <v>28</v>
      </c>
      <c r="M194" s="2" t="s">
        <v>5</v>
      </c>
      <c r="N194" s="4">
        <v>466.23</v>
      </c>
    </row>
    <row r="196" spans="1:14" x14ac:dyDescent="0.25">
      <c r="A196" s="13" t="s">
        <v>59</v>
      </c>
      <c r="B196" s="21"/>
      <c r="C196" s="22">
        <f>SUM(C185:C195)</f>
        <v>29.467999999999996</v>
      </c>
      <c r="D196" s="23">
        <f>SUM(D185:D195)</f>
        <v>466.22644000000003</v>
      </c>
      <c r="E196" s="23">
        <f>SUM(E185:E195)</f>
        <v>298.947</v>
      </c>
      <c r="F196" s="23">
        <f>D196-E196</f>
        <v>167.27944000000002</v>
      </c>
      <c r="G196" s="24">
        <f>IF(((D196)=0),0,(D196-E196)/ D196)</f>
        <v>0.35879440900005588</v>
      </c>
      <c r="H196" s="21"/>
      <c r="I196" s="21"/>
      <c r="J196" s="21"/>
      <c r="K196" s="21"/>
      <c r="L196" s="21"/>
      <c r="M196" s="21"/>
      <c r="N196" s="21"/>
    </row>
    <row r="198" spans="1:14" s="17" customFormat="1" ht="18.75" x14ac:dyDescent="0.3"/>
    <row r="199" spans="1:14" s="7" customFormat="1" x14ac:dyDescent="0.25">
      <c r="A199" s="13" t="s">
        <v>252</v>
      </c>
      <c r="B199" s="18" t="s">
        <v>253</v>
      </c>
      <c r="C199" s="19"/>
      <c r="D199" s="20" t="s">
        <v>5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1" spans="1:14" x14ac:dyDescent="0.25">
      <c r="A201" s="2" t="s">
        <v>152</v>
      </c>
      <c r="B201" s="2" t="s">
        <v>153</v>
      </c>
      <c r="C201" s="3">
        <v>45.95</v>
      </c>
      <c r="D201" s="4">
        <v>754.49900000000002</v>
      </c>
      <c r="E201" s="4">
        <v>317.05500000000001</v>
      </c>
      <c r="F201" s="4">
        <f>D201-E201</f>
        <v>437.44400000000002</v>
      </c>
      <c r="G201" s="5">
        <f>IF(((D201)=0),0,(D201-E201)/ D201)</f>
        <v>0.57978075517661387</v>
      </c>
      <c r="H201" s="2" t="s">
        <v>254</v>
      </c>
      <c r="I201" s="6" t="s">
        <v>69</v>
      </c>
      <c r="J201" s="2" t="s">
        <v>255</v>
      </c>
      <c r="K201" s="2" t="s">
        <v>5</v>
      </c>
      <c r="L201" s="2" t="s">
        <v>28</v>
      </c>
      <c r="M201" s="2" t="s">
        <v>5</v>
      </c>
      <c r="N201" s="4">
        <v>1297.58</v>
      </c>
    </row>
    <row r="202" spans="1:14" x14ac:dyDescent="0.25">
      <c r="A202" s="2" t="s">
        <v>158</v>
      </c>
      <c r="B202" s="2" t="s">
        <v>159</v>
      </c>
      <c r="C202" s="3">
        <v>20</v>
      </c>
      <c r="D202" s="4">
        <v>233</v>
      </c>
      <c r="E202" s="4">
        <v>157.4</v>
      </c>
      <c r="F202" s="4">
        <f>D202-E202</f>
        <v>75.599999999999994</v>
      </c>
      <c r="G202" s="5">
        <f>IF(((D202)=0),0,(D202-E202)/ D202)</f>
        <v>0.32446351931330469</v>
      </c>
      <c r="H202" s="2" t="s">
        <v>254</v>
      </c>
      <c r="I202" s="6" t="s">
        <v>69</v>
      </c>
      <c r="J202" s="2" t="s">
        <v>255</v>
      </c>
      <c r="K202" s="2" t="s">
        <v>5</v>
      </c>
      <c r="L202" s="2" t="s">
        <v>28</v>
      </c>
      <c r="M202" s="2" t="s">
        <v>5</v>
      </c>
      <c r="N202" s="4">
        <v>1297.58</v>
      </c>
    </row>
    <row r="203" spans="1:14" x14ac:dyDescent="0.25">
      <c r="A203" s="2" t="s">
        <v>256</v>
      </c>
      <c r="B203" s="2" t="s">
        <v>257</v>
      </c>
      <c r="C203" s="3">
        <v>12</v>
      </c>
      <c r="D203" s="4">
        <v>310.08</v>
      </c>
      <c r="E203" s="4">
        <v>193.68</v>
      </c>
      <c r="F203" s="4">
        <f>D203-E203</f>
        <v>116.39999999999998</v>
      </c>
      <c r="G203" s="5">
        <f>IF(((D203)=0),0,(D203-E203)/ D203)</f>
        <v>0.37538699690402472</v>
      </c>
      <c r="H203" s="2" t="s">
        <v>254</v>
      </c>
      <c r="I203" s="6" t="s">
        <v>69</v>
      </c>
      <c r="J203" s="2" t="s">
        <v>255</v>
      </c>
      <c r="K203" s="2" t="s">
        <v>5</v>
      </c>
      <c r="L203" s="2" t="s">
        <v>28</v>
      </c>
      <c r="M203" s="2" t="s">
        <v>5</v>
      </c>
      <c r="N203" s="4">
        <v>1297.58</v>
      </c>
    </row>
    <row r="205" spans="1:14" x14ac:dyDescent="0.25">
      <c r="A205" s="13" t="s">
        <v>59</v>
      </c>
      <c r="B205" s="21"/>
      <c r="C205" s="22">
        <f>SUM(C198:C204)</f>
        <v>77.95</v>
      </c>
      <c r="D205" s="23">
        <f>SUM(D198:D204)</f>
        <v>1297.579</v>
      </c>
      <c r="E205" s="23">
        <f>SUM(E198:E204)</f>
        <v>668.13499999999999</v>
      </c>
      <c r="F205" s="23">
        <f>D205-E205</f>
        <v>629.44399999999996</v>
      </c>
      <c r="G205" s="24">
        <f>IF(((D205)=0),0,(D205-E205)/ D205)</f>
        <v>0.4850910811596057</v>
      </c>
      <c r="H205" s="21"/>
      <c r="I205" s="21"/>
      <c r="J205" s="21"/>
      <c r="K205" s="21"/>
      <c r="L205" s="21"/>
      <c r="M205" s="21"/>
      <c r="N205" s="21"/>
    </row>
    <row r="207" spans="1:14" s="17" customFormat="1" ht="18.75" x14ac:dyDescent="0.3"/>
    <row r="208" spans="1:14" s="7" customFormat="1" x14ac:dyDescent="0.25">
      <c r="A208" s="13" t="s">
        <v>258</v>
      </c>
      <c r="B208" s="18" t="s">
        <v>259</v>
      </c>
      <c r="C208" s="19"/>
      <c r="D208" s="20" t="s">
        <v>5</v>
      </c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10" spans="1:14" x14ac:dyDescent="0.25">
      <c r="A210" s="2" t="s">
        <v>260</v>
      </c>
      <c r="B210" s="2" t="s">
        <v>261</v>
      </c>
      <c r="C210" s="3">
        <v>110</v>
      </c>
      <c r="D210" s="4">
        <v>1940.4</v>
      </c>
      <c r="E210" s="4">
        <v>1100</v>
      </c>
      <c r="F210" s="4">
        <f t="shared" ref="F210:F241" si="16">D210-E210</f>
        <v>840.40000000000009</v>
      </c>
      <c r="G210" s="5">
        <f t="shared" ref="G210:G241" si="17">IF(((D210)=0),0,(D210-E210)/ D210)</f>
        <v>0.43310657596371882</v>
      </c>
      <c r="H210" s="2" t="s">
        <v>262</v>
      </c>
      <c r="I210" s="6" t="s">
        <v>39</v>
      </c>
      <c r="J210" s="2" t="s">
        <v>263</v>
      </c>
      <c r="K210" s="2" t="s">
        <v>264</v>
      </c>
      <c r="L210" s="2" t="s">
        <v>28</v>
      </c>
      <c r="M210" s="2" t="s">
        <v>5</v>
      </c>
      <c r="N210" s="4">
        <v>11940.64</v>
      </c>
    </row>
    <row r="211" spans="1:14" x14ac:dyDescent="0.25">
      <c r="A211" s="2" t="s">
        <v>260</v>
      </c>
      <c r="B211" s="2" t="s">
        <v>261</v>
      </c>
      <c r="C211" s="3">
        <v>100</v>
      </c>
      <c r="D211" s="4">
        <v>1764</v>
      </c>
      <c r="E211" s="4">
        <v>1000</v>
      </c>
      <c r="F211" s="4">
        <f t="shared" si="16"/>
        <v>764</v>
      </c>
      <c r="G211" s="5">
        <f t="shared" si="17"/>
        <v>0.43310657596371882</v>
      </c>
      <c r="H211" s="2" t="s">
        <v>265</v>
      </c>
      <c r="I211" s="6" t="s">
        <v>32</v>
      </c>
      <c r="J211" s="2" t="s">
        <v>266</v>
      </c>
      <c r="K211" s="2" t="s">
        <v>267</v>
      </c>
      <c r="L211" s="2" t="s">
        <v>28</v>
      </c>
      <c r="M211" s="2" t="s">
        <v>5</v>
      </c>
      <c r="N211" s="4">
        <v>16074.54</v>
      </c>
    </row>
    <row r="212" spans="1:14" x14ac:dyDescent="0.25">
      <c r="A212" s="2" t="s">
        <v>268</v>
      </c>
      <c r="B212" s="2" t="s">
        <v>269</v>
      </c>
      <c r="C212" s="3">
        <v>30.62</v>
      </c>
      <c r="D212" s="4">
        <v>622.81079999999997</v>
      </c>
      <c r="E212" s="4">
        <v>361.31599999999997</v>
      </c>
      <c r="F212" s="4">
        <f t="shared" si="16"/>
        <v>261.4948</v>
      </c>
      <c r="G212" s="5">
        <f t="shared" si="17"/>
        <v>0.41986234021632252</v>
      </c>
      <c r="H212" s="2" t="s">
        <v>265</v>
      </c>
      <c r="I212" s="6" t="s">
        <v>32</v>
      </c>
      <c r="J212" s="2" t="s">
        <v>266</v>
      </c>
      <c r="K212" s="2" t="s">
        <v>267</v>
      </c>
      <c r="L212" s="2" t="s">
        <v>28</v>
      </c>
      <c r="M212" s="2" t="s">
        <v>5</v>
      </c>
      <c r="N212" s="4">
        <v>16074.54</v>
      </c>
    </row>
    <row r="213" spans="1:14" x14ac:dyDescent="0.25">
      <c r="A213" s="2" t="s">
        <v>270</v>
      </c>
      <c r="B213" s="2" t="s">
        <v>271</v>
      </c>
      <c r="C213" s="3">
        <v>24.55</v>
      </c>
      <c r="D213" s="4">
        <v>433.3075</v>
      </c>
      <c r="E213" s="4">
        <v>270.05</v>
      </c>
      <c r="F213" s="4">
        <f t="shared" si="16"/>
        <v>163.25749999999999</v>
      </c>
      <c r="G213" s="5">
        <f t="shared" si="17"/>
        <v>0.37677053824362605</v>
      </c>
      <c r="H213" s="2" t="s">
        <v>262</v>
      </c>
      <c r="I213" s="6" t="s">
        <v>39</v>
      </c>
      <c r="J213" s="2" t="s">
        <v>263</v>
      </c>
      <c r="K213" s="2" t="s">
        <v>264</v>
      </c>
      <c r="L213" s="2" t="s">
        <v>28</v>
      </c>
      <c r="M213" s="2" t="s">
        <v>5</v>
      </c>
      <c r="N213" s="4">
        <v>11940.64</v>
      </c>
    </row>
    <row r="214" spans="1:14" x14ac:dyDescent="0.25">
      <c r="A214" s="2" t="s">
        <v>272</v>
      </c>
      <c r="B214" s="2" t="s">
        <v>273</v>
      </c>
      <c r="C214" s="3">
        <v>9.99</v>
      </c>
      <c r="D214" s="4">
        <v>156.64320000000001</v>
      </c>
      <c r="E214" s="4">
        <v>121.878</v>
      </c>
      <c r="F214" s="4">
        <f t="shared" si="16"/>
        <v>34.765200000000007</v>
      </c>
      <c r="G214" s="5">
        <f t="shared" si="17"/>
        <v>0.22193877551020411</v>
      </c>
      <c r="H214" s="2" t="s">
        <v>262</v>
      </c>
      <c r="I214" s="6" t="s">
        <v>39</v>
      </c>
      <c r="J214" s="2" t="s">
        <v>263</v>
      </c>
      <c r="K214" s="2" t="s">
        <v>264</v>
      </c>
      <c r="L214" s="2" t="s">
        <v>28</v>
      </c>
      <c r="M214" s="2" t="s">
        <v>5</v>
      </c>
      <c r="N214" s="4">
        <v>11940.64</v>
      </c>
    </row>
    <row r="215" spans="1:14" x14ac:dyDescent="0.25">
      <c r="A215" s="2" t="s">
        <v>272</v>
      </c>
      <c r="B215" s="2" t="s">
        <v>273</v>
      </c>
      <c r="C215" s="3">
        <v>45.79</v>
      </c>
      <c r="D215" s="4">
        <v>717.98720000000003</v>
      </c>
      <c r="E215" s="4">
        <v>457.9</v>
      </c>
      <c r="F215" s="4">
        <f t="shared" si="16"/>
        <v>260.08720000000005</v>
      </c>
      <c r="G215" s="5">
        <f t="shared" si="17"/>
        <v>0.36224489795918374</v>
      </c>
      <c r="H215" s="2" t="s">
        <v>265</v>
      </c>
      <c r="I215" s="6" t="s">
        <v>32</v>
      </c>
      <c r="J215" s="2" t="s">
        <v>266</v>
      </c>
      <c r="K215" s="2" t="s">
        <v>267</v>
      </c>
      <c r="L215" s="2" t="s">
        <v>28</v>
      </c>
      <c r="M215" s="2" t="s">
        <v>5</v>
      </c>
      <c r="N215" s="4">
        <v>16074.54</v>
      </c>
    </row>
    <row r="216" spans="1:14" x14ac:dyDescent="0.25">
      <c r="A216" s="2" t="s">
        <v>274</v>
      </c>
      <c r="B216" s="2" t="s">
        <v>275</v>
      </c>
      <c r="C216" s="3">
        <v>90</v>
      </c>
      <c r="D216" s="4">
        <v>1449.9</v>
      </c>
      <c r="E216" s="4">
        <v>324</v>
      </c>
      <c r="F216" s="4">
        <f t="shared" si="16"/>
        <v>1125.9000000000001</v>
      </c>
      <c r="G216" s="5">
        <f t="shared" si="17"/>
        <v>0.77653631284916202</v>
      </c>
      <c r="H216" s="2" t="s">
        <v>265</v>
      </c>
      <c r="I216" s="6" t="s">
        <v>32</v>
      </c>
      <c r="J216" s="2" t="s">
        <v>266</v>
      </c>
      <c r="K216" s="2" t="s">
        <v>267</v>
      </c>
      <c r="L216" s="2" t="s">
        <v>28</v>
      </c>
      <c r="M216" s="2" t="s">
        <v>5</v>
      </c>
      <c r="N216" s="4">
        <v>16074.54</v>
      </c>
    </row>
    <row r="217" spans="1:14" x14ac:dyDescent="0.25">
      <c r="A217" s="2" t="s">
        <v>276</v>
      </c>
      <c r="B217" s="2" t="s">
        <v>277</v>
      </c>
      <c r="C217" s="3">
        <v>31.36</v>
      </c>
      <c r="D217" s="4">
        <v>541.9008</v>
      </c>
      <c r="E217" s="4">
        <v>156.80000000000001</v>
      </c>
      <c r="F217" s="4">
        <f t="shared" si="16"/>
        <v>385.10079999999999</v>
      </c>
      <c r="G217" s="5">
        <f t="shared" si="17"/>
        <v>0.71064814814814814</v>
      </c>
      <c r="H217" s="2" t="s">
        <v>262</v>
      </c>
      <c r="I217" s="6" t="s">
        <v>39</v>
      </c>
      <c r="J217" s="2" t="s">
        <v>263</v>
      </c>
      <c r="K217" s="2" t="s">
        <v>264</v>
      </c>
      <c r="L217" s="2" t="s">
        <v>28</v>
      </c>
      <c r="M217" s="2" t="s">
        <v>5</v>
      </c>
      <c r="N217" s="4">
        <v>11940.64</v>
      </c>
    </row>
    <row r="218" spans="1:14" x14ac:dyDescent="0.25">
      <c r="A218" s="2" t="s">
        <v>276</v>
      </c>
      <c r="B218" s="2" t="s">
        <v>277</v>
      </c>
      <c r="C218" s="3">
        <v>31.364999999999998</v>
      </c>
      <c r="D218" s="4">
        <v>541.98720000000003</v>
      </c>
      <c r="E218" s="4">
        <v>156.82499999999999</v>
      </c>
      <c r="F218" s="4">
        <f t="shared" si="16"/>
        <v>385.16220000000004</v>
      </c>
      <c r="G218" s="5">
        <f t="shared" si="17"/>
        <v>0.71064814814814814</v>
      </c>
      <c r="H218" s="2" t="s">
        <v>265</v>
      </c>
      <c r="I218" s="6" t="s">
        <v>32</v>
      </c>
      <c r="J218" s="2" t="s">
        <v>266</v>
      </c>
      <c r="K218" s="2" t="s">
        <v>267</v>
      </c>
      <c r="L218" s="2" t="s">
        <v>28</v>
      </c>
      <c r="M218" s="2" t="s">
        <v>5</v>
      </c>
      <c r="N218" s="4">
        <v>16074.54</v>
      </c>
    </row>
    <row r="219" spans="1:14" x14ac:dyDescent="0.25">
      <c r="A219" s="2" t="s">
        <v>278</v>
      </c>
      <c r="B219" s="2" t="s">
        <v>279</v>
      </c>
      <c r="C219" s="3">
        <v>31.38</v>
      </c>
      <c r="D219" s="4">
        <v>211.1874</v>
      </c>
      <c r="E219" s="4">
        <v>112.968</v>
      </c>
      <c r="F219" s="4">
        <f t="shared" si="16"/>
        <v>98.219399999999993</v>
      </c>
      <c r="G219" s="5">
        <f t="shared" si="17"/>
        <v>0.46508172362555716</v>
      </c>
      <c r="H219" s="2" t="s">
        <v>265</v>
      </c>
      <c r="I219" s="6" t="s">
        <v>32</v>
      </c>
      <c r="J219" s="2" t="s">
        <v>266</v>
      </c>
      <c r="K219" s="2" t="s">
        <v>267</v>
      </c>
      <c r="L219" s="2" t="s">
        <v>28</v>
      </c>
      <c r="M219" s="2" t="s">
        <v>5</v>
      </c>
      <c r="N219" s="4">
        <v>16074.54</v>
      </c>
    </row>
    <row r="220" spans="1:14" x14ac:dyDescent="0.25">
      <c r="A220" s="2" t="s">
        <v>278</v>
      </c>
      <c r="B220" s="2" t="s">
        <v>279</v>
      </c>
      <c r="C220" s="3">
        <v>30.43</v>
      </c>
      <c r="D220" s="4">
        <v>204.79390000000001</v>
      </c>
      <c r="E220" s="4">
        <v>109.548</v>
      </c>
      <c r="F220" s="4">
        <f t="shared" si="16"/>
        <v>95.245900000000006</v>
      </c>
      <c r="G220" s="5">
        <f t="shared" si="17"/>
        <v>0.46508172362555722</v>
      </c>
      <c r="H220" s="2" t="s">
        <v>262</v>
      </c>
      <c r="I220" s="6" t="s">
        <v>39</v>
      </c>
      <c r="J220" s="2" t="s">
        <v>263</v>
      </c>
      <c r="K220" s="2" t="s">
        <v>264</v>
      </c>
      <c r="L220" s="2" t="s">
        <v>28</v>
      </c>
      <c r="M220" s="2" t="s">
        <v>5</v>
      </c>
      <c r="N220" s="4">
        <v>11940.64</v>
      </c>
    </row>
    <row r="221" spans="1:14" x14ac:dyDescent="0.25">
      <c r="A221" s="2" t="s">
        <v>280</v>
      </c>
      <c r="B221" s="2" t="s">
        <v>281</v>
      </c>
      <c r="C221" s="3">
        <v>46.395000000000003</v>
      </c>
      <c r="D221" s="4">
        <v>753.91875000000005</v>
      </c>
      <c r="E221" s="4">
        <v>320.12549999999999</v>
      </c>
      <c r="F221" s="4">
        <f t="shared" si="16"/>
        <v>433.79325000000006</v>
      </c>
      <c r="G221" s="5">
        <f t="shared" si="17"/>
        <v>0.57538461538461538</v>
      </c>
      <c r="H221" s="2" t="s">
        <v>262</v>
      </c>
      <c r="I221" s="6" t="s">
        <v>39</v>
      </c>
      <c r="J221" s="2" t="s">
        <v>263</v>
      </c>
      <c r="K221" s="2" t="s">
        <v>264</v>
      </c>
      <c r="L221" s="2" t="s">
        <v>28</v>
      </c>
      <c r="M221" s="2" t="s">
        <v>5</v>
      </c>
      <c r="N221" s="4">
        <v>11940.64</v>
      </c>
    </row>
    <row r="222" spans="1:14" x14ac:dyDescent="0.25">
      <c r="A222" s="2" t="s">
        <v>280</v>
      </c>
      <c r="B222" s="2" t="s">
        <v>281</v>
      </c>
      <c r="C222" s="3">
        <v>76.844999999999999</v>
      </c>
      <c r="D222" s="4">
        <v>1248.73125</v>
      </c>
      <c r="E222" s="4">
        <v>530.23050000000001</v>
      </c>
      <c r="F222" s="4">
        <f t="shared" si="16"/>
        <v>718.50075000000004</v>
      </c>
      <c r="G222" s="5">
        <f t="shared" si="17"/>
        <v>0.57538461538461538</v>
      </c>
      <c r="H222" s="2" t="s">
        <v>265</v>
      </c>
      <c r="I222" s="6" t="s">
        <v>32</v>
      </c>
      <c r="J222" s="2" t="s">
        <v>266</v>
      </c>
      <c r="K222" s="2" t="s">
        <v>267</v>
      </c>
      <c r="L222" s="2" t="s">
        <v>28</v>
      </c>
      <c r="M222" s="2" t="s">
        <v>5</v>
      </c>
      <c r="N222" s="4">
        <v>16074.54</v>
      </c>
    </row>
    <row r="223" spans="1:14" x14ac:dyDescent="0.25">
      <c r="A223" s="2" t="s">
        <v>282</v>
      </c>
      <c r="B223" s="2" t="s">
        <v>283</v>
      </c>
      <c r="C223" s="3">
        <v>11.02</v>
      </c>
      <c r="D223" s="4">
        <v>119.78740000000001</v>
      </c>
      <c r="E223" s="4">
        <v>66.009799999999998</v>
      </c>
      <c r="F223" s="4">
        <f t="shared" si="16"/>
        <v>53.777600000000007</v>
      </c>
      <c r="G223" s="5">
        <f t="shared" si="17"/>
        <v>0.44894204231830731</v>
      </c>
      <c r="H223" s="2" t="s">
        <v>262</v>
      </c>
      <c r="I223" s="6" t="s">
        <v>39</v>
      </c>
      <c r="J223" s="2" t="s">
        <v>263</v>
      </c>
      <c r="K223" s="2" t="s">
        <v>264</v>
      </c>
      <c r="L223" s="2" t="s">
        <v>28</v>
      </c>
      <c r="M223" s="2" t="s">
        <v>5</v>
      </c>
      <c r="N223" s="4">
        <v>11940.64</v>
      </c>
    </row>
    <row r="224" spans="1:14" x14ac:dyDescent="0.25">
      <c r="A224" s="2" t="s">
        <v>282</v>
      </c>
      <c r="B224" s="2" t="s">
        <v>283</v>
      </c>
      <c r="C224" s="3">
        <v>5</v>
      </c>
      <c r="D224" s="4">
        <v>54.35</v>
      </c>
      <c r="E224" s="4">
        <v>29.95</v>
      </c>
      <c r="F224" s="4">
        <f t="shared" si="16"/>
        <v>24.400000000000002</v>
      </c>
      <c r="G224" s="5">
        <f t="shared" si="17"/>
        <v>0.44894204231830731</v>
      </c>
      <c r="H224" s="2" t="s">
        <v>265</v>
      </c>
      <c r="I224" s="6" t="s">
        <v>32</v>
      </c>
      <c r="J224" s="2" t="s">
        <v>266</v>
      </c>
      <c r="K224" s="2" t="s">
        <v>267</v>
      </c>
      <c r="L224" s="2" t="s">
        <v>28</v>
      </c>
      <c r="M224" s="2" t="s">
        <v>5</v>
      </c>
      <c r="N224" s="4">
        <v>16074.54</v>
      </c>
    </row>
    <row r="225" spans="1:14" x14ac:dyDescent="0.25">
      <c r="A225" s="2" t="s">
        <v>284</v>
      </c>
      <c r="B225" s="2" t="s">
        <v>285</v>
      </c>
      <c r="C225" s="3">
        <v>15.48</v>
      </c>
      <c r="D225" s="4">
        <v>84.056399999999996</v>
      </c>
      <c r="E225" s="4">
        <v>38.700000000000003</v>
      </c>
      <c r="F225" s="4">
        <f t="shared" si="16"/>
        <v>45.356399999999994</v>
      </c>
      <c r="G225" s="5">
        <f t="shared" si="17"/>
        <v>0.53959484346224673</v>
      </c>
      <c r="H225" s="2" t="s">
        <v>262</v>
      </c>
      <c r="I225" s="6" t="s">
        <v>39</v>
      </c>
      <c r="J225" s="2" t="s">
        <v>263</v>
      </c>
      <c r="K225" s="2" t="s">
        <v>264</v>
      </c>
      <c r="L225" s="2" t="s">
        <v>28</v>
      </c>
      <c r="M225" s="2" t="s">
        <v>5</v>
      </c>
      <c r="N225" s="4">
        <v>11940.64</v>
      </c>
    </row>
    <row r="226" spans="1:14" x14ac:dyDescent="0.25">
      <c r="A226" s="2" t="s">
        <v>286</v>
      </c>
      <c r="B226" s="2" t="s">
        <v>287</v>
      </c>
      <c r="C226" s="3">
        <v>30.22</v>
      </c>
      <c r="D226" s="4">
        <v>427.0086</v>
      </c>
      <c r="E226" s="4">
        <v>250.52379999999999</v>
      </c>
      <c r="F226" s="4">
        <f t="shared" si="16"/>
        <v>176.48480000000001</v>
      </c>
      <c r="G226" s="5">
        <f t="shared" si="17"/>
        <v>0.41330502476999292</v>
      </c>
      <c r="H226" s="2" t="s">
        <v>265</v>
      </c>
      <c r="I226" s="6" t="s">
        <v>32</v>
      </c>
      <c r="J226" s="2" t="s">
        <v>266</v>
      </c>
      <c r="K226" s="2" t="s">
        <v>267</v>
      </c>
      <c r="L226" s="2" t="s">
        <v>28</v>
      </c>
      <c r="M226" s="2" t="s">
        <v>5</v>
      </c>
      <c r="N226" s="4">
        <v>16074.54</v>
      </c>
    </row>
    <row r="227" spans="1:14" x14ac:dyDescent="0.25">
      <c r="A227" s="2" t="s">
        <v>286</v>
      </c>
      <c r="B227" s="2" t="s">
        <v>287</v>
      </c>
      <c r="C227" s="3">
        <v>35.386000000000003</v>
      </c>
      <c r="D227" s="4">
        <v>500.00418000000002</v>
      </c>
      <c r="E227" s="4">
        <v>293.34994</v>
      </c>
      <c r="F227" s="4">
        <f t="shared" si="16"/>
        <v>206.65424000000002</v>
      </c>
      <c r="G227" s="5">
        <f t="shared" si="17"/>
        <v>0.41330502476999292</v>
      </c>
      <c r="H227" s="2" t="s">
        <v>262</v>
      </c>
      <c r="I227" s="6" t="s">
        <v>39</v>
      </c>
      <c r="J227" s="2" t="s">
        <v>263</v>
      </c>
      <c r="K227" s="2" t="s">
        <v>264</v>
      </c>
      <c r="L227" s="2" t="s">
        <v>28</v>
      </c>
      <c r="M227" s="2" t="s">
        <v>5</v>
      </c>
      <c r="N227" s="4">
        <v>11940.64</v>
      </c>
    </row>
    <row r="228" spans="1:14" x14ac:dyDescent="0.25">
      <c r="A228" s="2" t="s">
        <v>288</v>
      </c>
      <c r="B228" s="2" t="s">
        <v>289</v>
      </c>
      <c r="C228" s="3">
        <v>8.6199999999999992</v>
      </c>
      <c r="D228" s="4">
        <v>161.96979999999999</v>
      </c>
      <c r="E228" s="4">
        <v>89.216999999999999</v>
      </c>
      <c r="F228" s="4">
        <f t="shared" si="16"/>
        <v>72.752799999999993</v>
      </c>
      <c r="G228" s="5">
        <f t="shared" si="17"/>
        <v>0.4491750931346461</v>
      </c>
      <c r="H228" s="2" t="s">
        <v>262</v>
      </c>
      <c r="I228" s="6" t="s">
        <v>39</v>
      </c>
      <c r="J228" s="2" t="s">
        <v>263</v>
      </c>
      <c r="K228" s="2" t="s">
        <v>264</v>
      </c>
      <c r="L228" s="2" t="s">
        <v>28</v>
      </c>
      <c r="M228" s="2" t="s">
        <v>5</v>
      </c>
      <c r="N228" s="4">
        <v>11940.64</v>
      </c>
    </row>
    <row r="229" spans="1:14" x14ac:dyDescent="0.25">
      <c r="A229" s="2" t="s">
        <v>290</v>
      </c>
      <c r="B229" s="2" t="s">
        <v>291</v>
      </c>
      <c r="C229" s="3">
        <v>16</v>
      </c>
      <c r="D229" s="4">
        <v>370.08</v>
      </c>
      <c r="E229" s="4">
        <v>260</v>
      </c>
      <c r="F229" s="4">
        <f t="shared" si="16"/>
        <v>110.07999999999998</v>
      </c>
      <c r="G229" s="5">
        <f t="shared" si="17"/>
        <v>0.29744920017293552</v>
      </c>
      <c r="H229" s="2" t="s">
        <v>265</v>
      </c>
      <c r="I229" s="6" t="s">
        <v>32</v>
      </c>
      <c r="J229" s="2" t="s">
        <v>266</v>
      </c>
      <c r="K229" s="2" t="s">
        <v>267</v>
      </c>
      <c r="L229" s="2" t="s">
        <v>28</v>
      </c>
      <c r="M229" s="2" t="s">
        <v>5</v>
      </c>
      <c r="N229" s="4">
        <v>16074.54</v>
      </c>
    </row>
    <row r="230" spans="1:14" x14ac:dyDescent="0.25">
      <c r="A230" s="2" t="s">
        <v>290</v>
      </c>
      <c r="B230" s="2" t="s">
        <v>291</v>
      </c>
      <c r="C230" s="3">
        <v>16</v>
      </c>
      <c r="D230" s="4">
        <v>370.08</v>
      </c>
      <c r="E230" s="4">
        <v>260</v>
      </c>
      <c r="F230" s="4">
        <f t="shared" si="16"/>
        <v>110.07999999999998</v>
      </c>
      <c r="G230" s="5">
        <f t="shared" si="17"/>
        <v>0.29744920017293552</v>
      </c>
      <c r="H230" s="2" t="s">
        <v>262</v>
      </c>
      <c r="I230" s="6" t="s">
        <v>39</v>
      </c>
      <c r="J230" s="2" t="s">
        <v>263</v>
      </c>
      <c r="K230" s="2" t="s">
        <v>264</v>
      </c>
      <c r="L230" s="2" t="s">
        <v>28</v>
      </c>
      <c r="M230" s="2" t="s">
        <v>5</v>
      </c>
      <c r="N230" s="4">
        <v>11940.64</v>
      </c>
    </row>
    <row r="231" spans="1:14" x14ac:dyDescent="0.25">
      <c r="A231" s="2" t="s">
        <v>292</v>
      </c>
      <c r="B231" s="2" t="s">
        <v>293</v>
      </c>
      <c r="C231" s="3">
        <v>97.22</v>
      </c>
      <c r="D231" s="4">
        <v>1982.3158000000001</v>
      </c>
      <c r="E231" s="4">
        <v>1604.13</v>
      </c>
      <c r="F231" s="4">
        <f t="shared" si="16"/>
        <v>378.18579999999997</v>
      </c>
      <c r="G231" s="5">
        <f t="shared" si="17"/>
        <v>0.19077979401667483</v>
      </c>
      <c r="H231" s="2" t="s">
        <v>265</v>
      </c>
      <c r="I231" s="6" t="s">
        <v>32</v>
      </c>
      <c r="J231" s="2" t="s">
        <v>266</v>
      </c>
      <c r="K231" s="2" t="s">
        <v>267</v>
      </c>
      <c r="L231" s="2" t="s">
        <v>28</v>
      </c>
      <c r="M231" s="2" t="s">
        <v>5</v>
      </c>
      <c r="N231" s="4">
        <v>16074.54</v>
      </c>
    </row>
    <row r="232" spans="1:14" x14ac:dyDescent="0.25">
      <c r="A232" s="2" t="s">
        <v>294</v>
      </c>
      <c r="B232" s="2" t="s">
        <v>295</v>
      </c>
      <c r="C232" s="3">
        <v>15.47</v>
      </c>
      <c r="D232" s="4">
        <v>251.38749999999999</v>
      </c>
      <c r="E232" s="4">
        <v>125.307</v>
      </c>
      <c r="F232" s="4">
        <f t="shared" si="16"/>
        <v>126.08049999999999</v>
      </c>
      <c r="G232" s="5">
        <f t="shared" si="17"/>
        <v>0.50153846153846149</v>
      </c>
      <c r="H232" s="2" t="s">
        <v>265</v>
      </c>
      <c r="I232" s="6" t="s">
        <v>32</v>
      </c>
      <c r="J232" s="2" t="s">
        <v>266</v>
      </c>
      <c r="K232" s="2" t="s">
        <v>267</v>
      </c>
      <c r="L232" s="2" t="s">
        <v>28</v>
      </c>
      <c r="M232" s="2" t="s">
        <v>5</v>
      </c>
      <c r="N232" s="4">
        <v>16074.54</v>
      </c>
    </row>
    <row r="233" spans="1:14" x14ac:dyDescent="0.25">
      <c r="A233" s="2" t="s">
        <v>296</v>
      </c>
      <c r="B233" s="2" t="s">
        <v>297</v>
      </c>
      <c r="C233" s="3">
        <v>166.85</v>
      </c>
      <c r="D233" s="4">
        <v>1933.7915</v>
      </c>
      <c r="E233" s="4">
        <v>1218.0050000000001</v>
      </c>
      <c r="F233" s="4">
        <f t="shared" si="16"/>
        <v>715.78649999999993</v>
      </c>
      <c r="G233" s="5">
        <f t="shared" si="17"/>
        <v>0.37014667817083691</v>
      </c>
      <c r="H233" s="2" t="s">
        <v>265</v>
      </c>
      <c r="I233" s="6" t="s">
        <v>32</v>
      </c>
      <c r="J233" s="2" t="s">
        <v>266</v>
      </c>
      <c r="K233" s="2" t="s">
        <v>267</v>
      </c>
      <c r="L233" s="2" t="s">
        <v>28</v>
      </c>
      <c r="M233" s="2" t="s">
        <v>5</v>
      </c>
      <c r="N233" s="4">
        <v>16074.54</v>
      </c>
    </row>
    <row r="234" spans="1:14" x14ac:dyDescent="0.25">
      <c r="A234" s="2" t="s">
        <v>298</v>
      </c>
      <c r="B234" s="2" t="s">
        <v>299</v>
      </c>
      <c r="C234" s="3">
        <v>105.16</v>
      </c>
      <c r="D234" s="4">
        <v>1284.0036</v>
      </c>
      <c r="E234" s="4">
        <v>767.66800000000001</v>
      </c>
      <c r="F234" s="4">
        <f t="shared" si="16"/>
        <v>516.3356</v>
      </c>
      <c r="G234" s="5">
        <f t="shared" si="17"/>
        <v>0.40212940212940212</v>
      </c>
      <c r="H234" s="2" t="s">
        <v>262</v>
      </c>
      <c r="I234" s="6" t="s">
        <v>39</v>
      </c>
      <c r="J234" s="2" t="s">
        <v>263</v>
      </c>
      <c r="K234" s="2" t="s">
        <v>264</v>
      </c>
      <c r="L234" s="2" t="s">
        <v>28</v>
      </c>
      <c r="M234" s="2" t="s">
        <v>5</v>
      </c>
      <c r="N234" s="4">
        <v>11940.64</v>
      </c>
    </row>
    <row r="235" spans="1:14" x14ac:dyDescent="0.25">
      <c r="A235" s="2" t="s">
        <v>300</v>
      </c>
      <c r="B235" s="2" t="s">
        <v>301</v>
      </c>
      <c r="C235" s="3">
        <v>45.295000000000002</v>
      </c>
      <c r="D235" s="4">
        <v>461.55605000000003</v>
      </c>
      <c r="E235" s="4">
        <v>321.59449999999998</v>
      </c>
      <c r="F235" s="4">
        <f t="shared" si="16"/>
        <v>139.96155000000005</v>
      </c>
      <c r="G235" s="5">
        <f t="shared" si="17"/>
        <v>0.30323846908734059</v>
      </c>
      <c r="H235" s="2" t="s">
        <v>262</v>
      </c>
      <c r="I235" s="6" t="s">
        <v>39</v>
      </c>
      <c r="J235" s="2" t="s">
        <v>263</v>
      </c>
      <c r="K235" s="2" t="s">
        <v>264</v>
      </c>
      <c r="L235" s="2" t="s">
        <v>28</v>
      </c>
      <c r="M235" s="2" t="s">
        <v>5</v>
      </c>
      <c r="N235" s="4">
        <v>11940.64</v>
      </c>
    </row>
    <row r="236" spans="1:14" x14ac:dyDescent="0.25">
      <c r="A236" s="2" t="s">
        <v>302</v>
      </c>
      <c r="B236" s="2" t="s">
        <v>303</v>
      </c>
      <c r="C236" s="3">
        <v>209.22</v>
      </c>
      <c r="D236" s="4">
        <v>4255.5348000000004</v>
      </c>
      <c r="E236" s="4">
        <v>2615.25</v>
      </c>
      <c r="F236" s="4">
        <f t="shared" si="16"/>
        <v>1640.2848000000004</v>
      </c>
      <c r="G236" s="5">
        <f t="shared" si="17"/>
        <v>0.38544739429695185</v>
      </c>
      <c r="H236" s="2" t="s">
        <v>262</v>
      </c>
      <c r="I236" s="6" t="s">
        <v>39</v>
      </c>
      <c r="J236" s="2" t="s">
        <v>263</v>
      </c>
      <c r="K236" s="2" t="s">
        <v>264</v>
      </c>
      <c r="L236" s="2" t="s">
        <v>28</v>
      </c>
      <c r="M236" s="2" t="s">
        <v>5</v>
      </c>
      <c r="N236" s="4">
        <v>11940.64</v>
      </c>
    </row>
    <row r="237" spans="1:14" x14ac:dyDescent="0.25">
      <c r="A237" s="2" t="s">
        <v>302</v>
      </c>
      <c r="B237" s="2" t="s">
        <v>303</v>
      </c>
      <c r="C237" s="3">
        <v>180.64500000000001</v>
      </c>
      <c r="D237" s="4">
        <v>3674.3193000000001</v>
      </c>
      <c r="E237" s="4">
        <v>2258.0625</v>
      </c>
      <c r="F237" s="4">
        <f t="shared" si="16"/>
        <v>1416.2568000000001</v>
      </c>
      <c r="G237" s="5">
        <f t="shared" si="17"/>
        <v>0.38544739429695185</v>
      </c>
      <c r="H237" s="2" t="s">
        <v>265</v>
      </c>
      <c r="I237" s="6" t="s">
        <v>32</v>
      </c>
      <c r="J237" s="2" t="s">
        <v>266</v>
      </c>
      <c r="K237" s="2" t="s">
        <v>267</v>
      </c>
      <c r="L237" s="2" t="s">
        <v>28</v>
      </c>
      <c r="M237" s="2" t="s">
        <v>5</v>
      </c>
      <c r="N237" s="4">
        <v>16074.54</v>
      </c>
    </row>
    <row r="238" spans="1:14" x14ac:dyDescent="0.25">
      <c r="A238" s="2" t="s">
        <v>304</v>
      </c>
      <c r="B238" s="2" t="s">
        <v>305</v>
      </c>
      <c r="C238" s="3">
        <v>29.37</v>
      </c>
      <c r="D238" s="4">
        <v>340.39830000000001</v>
      </c>
      <c r="E238" s="4">
        <v>234.96</v>
      </c>
      <c r="F238" s="4">
        <f t="shared" si="16"/>
        <v>105.4383</v>
      </c>
      <c r="G238" s="5">
        <f t="shared" si="17"/>
        <v>0.30974978429680761</v>
      </c>
      <c r="H238" s="2" t="s">
        <v>262</v>
      </c>
      <c r="I238" s="6" t="s">
        <v>39</v>
      </c>
      <c r="J238" s="2" t="s">
        <v>263</v>
      </c>
      <c r="K238" s="2" t="s">
        <v>264</v>
      </c>
      <c r="L238" s="2" t="s">
        <v>28</v>
      </c>
      <c r="M238" s="2" t="s">
        <v>5</v>
      </c>
      <c r="N238" s="4">
        <v>11940.64</v>
      </c>
    </row>
    <row r="239" spans="1:14" x14ac:dyDescent="0.25">
      <c r="A239" s="2" t="s">
        <v>304</v>
      </c>
      <c r="B239" s="2" t="s">
        <v>305</v>
      </c>
      <c r="C239" s="3">
        <v>42.335000000000001</v>
      </c>
      <c r="D239" s="4">
        <v>490.66264999999999</v>
      </c>
      <c r="E239" s="4">
        <v>317.51249999999999</v>
      </c>
      <c r="F239" s="4">
        <f t="shared" si="16"/>
        <v>173.15015</v>
      </c>
      <c r="G239" s="5">
        <f t="shared" si="17"/>
        <v>0.35289042277825711</v>
      </c>
      <c r="H239" s="2" t="s">
        <v>265</v>
      </c>
      <c r="I239" s="6" t="s">
        <v>32</v>
      </c>
      <c r="J239" s="2" t="s">
        <v>266</v>
      </c>
      <c r="K239" s="2" t="s">
        <v>267</v>
      </c>
      <c r="L239" s="2" t="s">
        <v>28</v>
      </c>
      <c r="M239" s="2" t="s">
        <v>5</v>
      </c>
      <c r="N239" s="4">
        <v>16074.54</v>
      </c>
    </row>
    <row r="240" spans="1:14" x14ac:dyDescent="0.25">
      <c r="A240" s="2" t="s">
        <v>306</v>
      </c>
      <c r="B240" s="2" t="s">
        <v>307</v>
      </c>
      <c r="C240" s="3">
        <v>28.82</v>
      </c>
      <c r="D240" s="4">
        <v>334.02379999999999</v>
      </c>
      <c r="E240" s="4">
        <v>273.79000000000002</v>
      </c>
      <c r="F240" s="4">
        <f t="shared" si="16"/>
        <v>60.233799999999974</v>
      </c>
      <c r="G240" s="5">
        <f t="shared" si="17"/>
        <v>0.18032786885245894</v>
      </c>
      <c r="H240" s="2" t="s">
        <v>265</v>
      </c>
      <c r="I240" s="6" t="s">
        <v>32</v>
      </c>
      <c r="J240" s="2" t="s">
        <v>266</v>
      </c>
      <c r="K240" s="2" t="s">
        <v>267</v>
      </c>
      <c r="L240" s="2" t="s">
        <v>28</v>
      </c>
      <c r="M240" s="2" t="s">
        <v>5</v>
      </c>
      <c r="N240" s="4">
        <v>16074.54</v>
      </c>
    </row>
    <row r="241" spans="1:14" x14ac:dyDescent="0.25">
      <c r="A241" s="2" t="s">
        <v>306</v>
      </c>
      <c r="B241" s="2" t="s">
        <v>307</v>
      </c>
      <c r="C241" s="3">
        <v>28.67</v>
      </c>
      <c r="D241" s="4">
        <v>332.28530000000001</v>
      </c>
      <c r="E241" s="4">
        <v>272.36500000000001</v>
      </c>
      <c r="F241" s="4">
        <f t="shared" si="16"/>
        <v>59.920299999999997</v>
      </c>
      <c r="G241" s="5">
        <f t="shared" si="17"/>
        <v>0.18032786885245899</v>
      </c>
      <c r="H241" s="2" t="s">
        <v>262</v>
      </c>
      <c r="I241" s="6" t="s">
        <v>39</v>
      </c>
      <c r="J241" s="2" t="s">
        <v>263</v>
      </c>
      <c r="K241" s="2" t="s">
        <v>264</v>
      </c>
      <c r="L241" s="2" t="s">
        <v>28</v>
      </c>
      <c r="M241" s="2" t="s">
        <v>5</v>
      </c>
      <c r="N241" s="4">
        <v>11940.64</v>
      </c>
    </row>
    <row r="243" spans="1:14" x14ac:dyDescent="0.25">
      <c r="A243" s="13" t="s">
        <v>59</v>
      </c>
      <c r="B243" s="21"/>
      <c r="C243" s="22">
        <f>SUM(C207:C242)</f>
        <v>1745.5060000000001</v>
      </c>
      <c r="D243" s="23">
        <f>SUM(D207:D242)</f>
        <v>28015.182980000001</v>
      </c>
      <c r="E243" s="23">
        <f>SUM(E207:E242)</f>
        <v>16318.036039999999</v>
      </c>
      <c r="F243" s="23">
        <f>D243-E243</f>
        <v>11697.146940000002</v>
      </c>
      <c r="G243" s="24">
        <f>IF(((D243)=0),0,(D243-E243)/ D243)</f>
        <v>0.41752884314018507</v>
      </c>
      <c r="H243" s="21"/>
      <c r="I243" s="21"/>
      <c r="J243" s="21"/>
      <c r="K243" s="21"/>
      <c r="L243" s="21"/>
      <c r="M243" s="21"/>
      <c r="N243" s="21"/>
    </row>
    <row r="245" spans="1:14" s="17" customFormat="1" ht="18.75" x14ac:dyDescent="0.3"/>
    <row r="246" spans="1:14" s="7" customFormat="1" x14ac:dyDescent="0.25">
      <c r="A246" s="13" t="s">
        <v>308</v>
      </c>
      <c r="B246" s="18" t="s">
        <v>309</v>
      </c>
      <c r="C246" s="19"/>
      <c r="D246" s="20" t="s">
        <v>5</v>
      </c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8" spans="1:14" x14ac:dyDescent="0.25">
      <c r="A248" s="2" t="s">
        <v>152</v>
      </c>
      <c r="B248" s="2" t="s">
        <v>153</v>
      </c>
      <c r="C248" s="3">
        <v>5.74</v>
      </c>
      <c r="D248" s="4">
        <v>94.250799999999998</v>
      </c>
      <c r="E248" s="4">
        <v>39.606000000000002</v>
      </c>
      <c r="F248" s="4">
        <f t="shared" ref="F248:F254" si="18">D248-E248</f>
        <v>54.644799999999996</v>
      </c>
      <c r="G248" s="5">
        <f t="shared" ref="G248:G254" si="19">IF(((D248)=0),0,(D248-E248)/ D248)</f>
        <v>0.57978075517661387</v>
      </c>
      <c r="H248" s="2" t="s">
        <v>310</v>
      </c>
      <c r="I248" s="6" t="s">
        <v>32</v>
      </c>
      <c r="J248" s="2" t="s">
        <v>311</v>
      </c>
      <c r="K248" s="2" t="s">
        <v>5</v>
      </c>
      <c r="L248" s="2" t="s">
        <v>28</v>
      </c>
      <c r="M248" s="2" t="s">
        <v>5</v>
      </c>
      <c r="N248" s="4">
        <v>172.13</v>
      </c>
    </row>
    <row r="249" spans="1:14" x14ac:dyDescent="0.25">
      <c r="A249" s="2" t="s">
        <v>312</v>
      </c>
      <c r="B249" s="2" t="s">
        <v>313</v>
      </c>
      <c r="C249" s="3">
        <v>5.0999999999999996</v>
      </c>
      <c r="D249" s="4">
        <v>83.742000000000004</v>
      </c>
      <c r="E249" s="4">
        <v>35.19</v>
      </c>
      <c r="F249" s="4">
        <f t="shared" si="18"/>
        <v>48.552000000000007</v>
      </c>
      <c r="G249" s="5">
        <f t="shared" si="19"/>
        <v>0.57978075517661398</v>
      </c>
      <c r="H249" s="2" t="s">
        <v>314</v>
      </c>
      <c r="I249" s="6" t="s">
        <v>69</v>
      </c>
      <c r="J249" s="2" t="s">
        <v>315</v>
      </c>
      <c r="K249" s="2" t="s">
        <v>5</v>
      </c>
      <c r="L249" s="2" t="s">
        <v>28</v>
      </c>
      <c r="M249" s="2" t="s">
        <v>5</v>
      </c>
      <c r="N249" s="4">
        <v>594.89</v>
      </c>
    </row>
    <row r="250" spans="1:14" x14ac:dyDescent="0.25">
      <c r="A250" s="2" t="s">
        <v>154</v>
      </c>
      <c r="B250" s="2" t="s">
        <v>155</v>
      </c>
      <c r="C250" s="3">
        <v>1.6140000000000001</v>
      </c>
      <c r="D250" s="4">
        <v>77.875500000000002</v>
      </c>
      <c r="E250" s="4">
        <v>45.192</v>
      </c>
      <c r="F250" s="4">
        <f t="shared" si="18"/>
        <v>32.683500000000002</v>
      </c>
      <c r="G250" s="5">
        <f t="shared" si="19"/>
        <v>0.41968911917098445</v>
      </c>
      <c r="H250" s="2" t="s">
        <v>310</v>
      </c>
      <c r="I250" s="6" t="s">
        <v>32</v>
      </c>
      <c r="J250" s="2" t="s">
        <v>311</v>
      </c>
      <c r="K250" s="2" t="s">
        <v>5</v>
      </c>
      <c r="L250" s="2" t="s">
        <v>28</v>
      </c>
      <c r="M250" s="2" t="s">
        <v>5</v>
      </c>
      <c r="N250" s="4">
        <v>172.13</v>
      </c>
    </row>
    <row r="251" spans="1:14" x14ac:dyDescent="0.25">
      <c r="A251" s="2" t="s">
        <v>154</v>
      </c>
      <c r="B251" s="2" t="s">
        <v>155</v>
      </c>
      <c r="C251" s="3">
        <v>1.62</v>
      </c>
      <c r="D251" s="4">
        <v>78.165000000000006</v>
      </c>
      <c r="E251" s="4">
        <v>45.36</v>
      </c>
      <c r="F251" s="4">
        <f t="shared" si="18"/>
        <v>32.805000000000007</v>
      </c>
      <c r="G251" s="5">
        <f t="shared" si="19"/>
        <v>0.4196891191709845</v>
      </c>
      <c r="H251" s="2" t="s">
        <v>314</v>
      </c>
      <c r="I251" s="6" t="s">
        <v>69</v>
      </c>
      <c r="J251" s="2" t="s">
        <v>315</v>
      </c>
      <c r="K251" s="2" t="s">
        <v>5</v>
      </c>
      <c r="L251" s="2" t="s">
        <v>28</v>
      </c>
      <c r="M251" s="2" t="s">
        <v>5</v>
      </c>
      <c r="N251" s="4">
        <v>594.89</v>
      </c>
    </row>
    <row r="252" spans="1:14" x14ac:dyDescent="0.25">
      <c r="A252" s="2" t="s">
        <v>165</v>
      </c>
      <c r="B252" s="2" t="s">
        <v>166</v>
      </c>
      <c r="C252" s="3">
        <v>6.24</v>
      </c>
      <c r="D252" s="4">
        <v>218.21279999999999</v>
      </c>
      <c r="E252" s="4">
        <v>146.63999999999999</v>
      </c>
      <c r="F252" s="4">
        <f t="shared" si="18"/>
        <v>71.572800000000001</v>
      </c>
      <c r="G252" s="5">
        <f t="shared" si="19"/>
        <v>0.32799542464969977</v>
      </c>
      <c r="H252" s="2" t="s">
        <v>314</v>
      </c>
      <c r="I252" s="6" t="s">
        <v>69</v>
      </c>
      <c r="J252" s="2" t="s">
        <v>315</v>
      </c>
      <c r="K252" s="2" t="s">
        <v>5</v>
      </c>
      <c r="L252" s="2" t="s">
        <v>28</v>
      </c>
      <c r="M252" s="2" t="s">
        <v>5</v>
      </c>
      <c r="N252" s="4">
        <v>594.89</v>
      </c>
    </row>
    <row r="253" spans="1:14" x14ac:dyDescent="0.25">
      <c r="A253" s="2" t="s">
        <v>316</v>
      </c>
      <c r="B253" s="2" t="s">
        <v>317</v>
      </c>
      <c r="C253" s="3">
        <v>3.782</v>
      </c>
      <c r="D253" s="4">
        <v>84.073859999999996</v>
      </c>
      <c r="E253" s="4">
        <v>57.108199999999997</v>
      </c>
      <c r="F253" s="4">
        <f t="shared" si="18"/>
        <v>26.96566</v>
      </c>
      <c r="G253" s="5">
        <f t="shared" si="19"/>
        <v>0.3207377417903734</v>
      </c>
      <c r="H253" s="2" t="s">
        <v>314</v>
      </c>
      <c r="I253" s="6" t="s">
        <v>69</v>
      </c>
      <c r="J253" s="2" t="s">
        <v>315</v>
      </c>
      <c r="K253" s="2" t="s">
        <v>5</v>
      </c>
      <c r="L253" s="2" t="s">
        <v>28</v>
      </c>
      <c r="M253" s="2" t="s">
        <v>5</v>
      </c>
      <c r="N253" s="4">
        <v>594.89</v>
      </c>
    </row>
    <row r="254" spans="1:14" x14ac:dyDescent="0.25">
      <c r="A254" s="2" t="s">
        <v>318</v>
      </c>
      <c r="B254" s="2" t="s">
        <v>319</v>
      </c>
      <c r="C254" s="3">
        <v>2.7719999999999998</v>
      </c>
      <c r="D254" s="4">
        <v>130.69980000000001</v>
      </c>
      <c r="E254" s="4">
        <v>83.16</v>
      </c>
      <c r="F254" s="4">
        <f t="shared" si="18"/>
        <v>47.539800000000014</v>
      </c>
      <c r="G254" s="5">
        <f t="shared" si="19"/>
        <v>0.36373276776246033</v>
      </c>
      <c r="H254" s="2" t="s">
        <v>314</v>
      </c>
      <c r="I254" s="6" t="s">
        <v>69</v>
      </c>
      <c r="J254" s="2" t="s">
        <v>315</v>
      </c>
      <c r="K254" s="2" t="s">
        <v>5</v>
      </c>
      <c r="L254" s="2" t="s">
        <v>28</v>
      </c>
      <c r="M254" s="2" t="s">
        <v>5</v>
      </c>
      <c r="N254" s="4">
        <v>594.89</v>
      </c>
    </row>
    <row r="256" spans="1:14" x14ac:dyDescent="0.25">
      <c r="A256" s="13" t="s">
        <v>59</v>
      </c>
      <c r="B256" s="21"/>
      <c r="C256" s="22">
        <f>SUM(C245:C255)</f>
        <v>26.867999999999999</v>
      </c>
      <c r="D256" s="23">
        <f>SUM(D245:D255)</f>
        <v>767.01975999999991</v>
      </c>
      <c r="E256" s="23">
        <f>SUM(E245:E255)</f>
        <v>452.25620000000004</v>
      </c>
      <c r="F256" s="23">
        <f>D256-E256</f>
        <v>314.76355999999987</v>
      </c>
      <c r="G256" s="24">
        <f>IF(((D256)=0),0,(D256-E256)/ D256)</f>
        <v>0.41037216564016538</v>
      </c>
      <c r="H256" s="21"/>
      <c r="I256" s="21"/>
      <c r="J256" s="21"/>
      <c r="K256" s="21"/>
      <c r="L256" s="21"/>
      <c r="M256" s="21"/>
      <c r="N256" s="21"/>
    </row>
    <row r="258" spans="1:14" s="17" customFormat="1" ht="18.75" x14ac:dyDescent="0.3"/>
    <row r="259" spans="1:14" s="7" customFormat="1" x14ac:dyDescent="0.25">
      <c r="A259" s="13" t="s">
        <v>320</v>
      </c>
      <c r="B259" s="18" t="s">
        <v>321</v>
      </c>
      <c r="C259" s="19"/>
      <c r="D259" s="20" t="s">
        <v>5</v>
      </c>
      <c r="E259" s="19"/>
      <c r="F259" s="19"/>
      <c r="G259" s="19"/>
      <c r="H259" s="19"/>
      <c r="I259" s="19"/>
      <c r="J259" s="19"/>
      <c r="K259" s="19"/>
      <c r="L259" s="19"/>
      <c r="M259" s="19"/>
      <c r="N259" s="19"/>
    </row>
    <row r="261" spans="1:14" x14ac:dyDescent="0.25">
      <c r="A261" s="2" t="s">
        <v>322</v>
      </c>
      <c r="B261" s="2" t="s">
        <v>323</v>
      </c>
      <c r="C261" s="3">
        <v>1.78</v>
      </c>
      <c r="D261" s="4">
        <v>38.893000000000001</v>
      </c>
      <c r="E261" s="4">
        <v>20.47</v>
      </c>
      <c r="F261" s="4">
        <f t="shared" ref="F261:F274" si="20">D261-E261</f>
        <v>18.423000000000002</v>
      </c>
      <c r="G261" s="5">
        <f t="shared" ref="G261:G274" si="21">IF(((D261)=0),0,(D261-E261)/ D261)</f>
        <v>0.47368421052631582</v>
      </c>
      <c r="H261" s="2" t="s">
        <v>324</v>
      </c>
      <c r="I261" s="6" t="s">
        <v>69</v>
      </c>
      <c r="J261" s="2" t="s">
        <v>325</v>
      </c>
      <c r="K261" s="2" t="s">
        <v>5</v>
      </c>
      <c r="L261" s="2" t="s">
        <v>28</v>
      </c>
      <c r="M261" s="2" t="s">
        <v>5</v>
      </c>
      <c r="N261" s="4">
        <v>838.99</v>
      </c>
    </row>
    <row r="262" spans="1:14" x14ac:dyDescent="0.25">
      <c r="A262" s="2" t="s">
        <v>326</v>
      </c>
      <c r="B262" s="2" t="s">
        <v>327</v>
      </c>
      <c r="C262" s="3">
        <v>15.3</v>
      </c>
      <c r="D262" s="4">
        <v>250.30799999999999</v>
      </c>
      <c r="E262" s="4">
        <v>81.396000000000001</v>
      </c>
      <c r="F262" s="4">
        <f t="shared" si="20"/>
        <v>168.91199999999998</v>
      </c>
      <c r="G262" s="5">
        <f t="shared" si="21"/>
        <v>0.67481662591687031</v>
      </c>
      <c r="H262" s="2" t="s">
        <v>324</v>
      </c>
      <c r="I262" s="6" t="s">
        <v>69</v>
      </c>
      <c r="J262" s="2" t="s">
        <v>325</v>
      </c>
      <c r="K262" s="2" t="s">
        <v>5</v>
      </c>
      <c r="L262" s="2" t="s">
        <v>28</v>
      </c>
      <c r="M262" s="2" t="s">
        <v>5</v>
      </c>
      <c r="N262" s="4">
        <v>838.99</v>
      </c>
    </row>
    <row r="263" spans="1:14" x14ac:dyDescent="0.25">
      <c r="A263" s="2" t="s">
        <v>328</v>
      </c>
      <c r="B263" s="2" t="s">
        <v>329</v>
      </c>
      <c r="C263" s="3">
        <v>-74.564999999999998</v>
      </c>
      <c r="D263" s="4">
        <v>-4211.4312</v>
      </c>
      <c r="E263" s="4">
        <v>-2758.9050000000002</v>
      </c>
      <c r="F263" s="4">
        <f t="shared" si="20"/>
        <v>-1452.5261999999998</v>
      </c>
      <c r="G263" s="5">
        <f t="shared" si="21"/>
        <v>0.34490084985835689</v>
      </c>
      <c r="H263" s="2" t="s">
        <v>330</v>
      </c>
      <c r="I263" s="6" t="s">
        <v>69</v>
      </c>
      <c r="J263" s="2" t="s">
        <v>331</v>
      </c>
      <c r="K263" s="2" t="s">
        <v>5</v>
      </c>
      <c r="L263" s="2" t="s">
        <v>332</v>
      </c>
      <c r="M263" s="2" t="s">
        <v>5</v>
      </c>
      <c r="N263" s="4">
        <v>-5228.25</v>
      </c>
    </row>
    <row r="264" spans="1:14" x14ac:dyDescent="0.25">
      <c r="A264" s="2" t="s">
        <v>328</v>
      </c>
      <c r="B264" s="2" t="s">
        <v>329</v>
      </c>
      <c r="C264" s="3">
        <v>82.85</v>
      </c>
      <c r="D264" s="4">
        <v>4679.3680000000004</v>
      </c>
      <c r="E264" s="4">
        <v>3065.45</v>
      </c>
      <c r="F264" s="4">
        <f t="shared" si="20"/>
        <v>1613.9180000000006</v>
      </c>
      <c r="G264" s="5">
        <f t="shared" si="21"/>
        <v>0.34490084985835706</v>
      </c>
      <c r="H264" s="2" t="s">
        <v>333</v>
      </c>
      <c r="I264" s="6" t="s">
        <v>32</v>
      </c>
      <c r="J264" s="2" t="s">
        <v>331</v>
      </c>
      <c r="K264" s="2" t="s">
        <v>5</v>
      </c>
      <c r="L264" s="2" t="s">
        <v>28</v>
      </c>
      <c r="M264" s="2" t="s">
        <v>5</v>
      </c>
      <c r="N264" s="4">
        <v>10117.31</v>
      </c>
    </row>
    <row r="265" spans="1:14" x14ac:dyDescent="0.25">
      <c r="A265" s="2" t="s">
        <v>334</v>
      </c>
      <c r="B265" s="2" t="s">
        <v>335</v>
      </c>
      <c r="C265" s="3">
        <v>24.36</v>
      </c>
      <c r="D265" s="4">
        <v>419.72280000000001</v>
      </c>
      <c r="E265" s="4">
        <v>360.52800000000002</v>
      </c>
      <c r="F265" s="4">
        <f t="shared" si="20"/>
        <v>59.194799999999987</v>
      </c>
      <c r="G265" s="5">
        <f t="shared" si="21"/>
        <v>0.14103308183401042</v>
      </c>
      <c r="H265" s="2" t="s">
        <v>324</v>
      </c>
      <c r="I265" s="6" t="s">
        <v>69</v>
      </c>
      <c r="J265" s="2" t="s">
        <v>325</v>
      </c>
      <c r="K265" s="2" t="s">
        <v>5</v>
      </c>
      <c r="L265" s="2" t="s">
        <v>28</v>
      </c>
      <c r="M265" s="2" t="s">
        <v>5</v>
      </c>
      <c r="N265" s="4">
        <v>838.99</v>
      </c>
    </row>
    <row r="266" spans="1:14" x14ac:dyDescent="0.25">
      <c r="A266" s="2" t="s">
        <v>334</v>
      </c>
      <c r="B266" s="2" t="s">
        <v>335</v>
      </c>
      <c r="C266" s="3">
        <v>25.34</v>
      </c>
      <c r="D266" s="4">
        <v>436.60820000000001</v>
      </c>
      <c r="E266" s="4">
        <v>375.03199999999998</v>
      </c>
      <c r="F266" s="4">
        <f t="shared" si="20"/>
        <v>61.576200000000028</v>
      </c>
      <c r="G266" s="5">
        <f t="shared" si="21"/>
        <v>0.1410330818340105</v>
      </c>
      <c r="H266" s="2" t="s">
        <v>333</v>
      </c>
      <c r="I266" s="6" t="s">
        <v>32</v>
      </c>
      <c r="J266" s="2" t="s">
        <v>331</v>
      </c>
      <c r="K266" s="2" t="s">
        <v>5</v>
      </c>
      <c r="L266" s="2" t="s">
        <v>28</v>
      </c>
      <c r="M266" s="2" t="s">
        <v>5</v>
      </c>
      <c r="N266" s="4">
        <v>10117.31</v>
      </c>
    </row>
    <row r="267" spans="1:14" x14ac:dyDescent="0.25">
      <c r="A267" s="2" t="s">
        <v>134</v>
      </c>
      <c r="B267" s="2" t="s">
        <v>135</v>
      </c>
      <c r="C267" s="3">
        <v>5.4480000000000004</v>
      </c>
      <c r="D267" s="4">
        <v>69.080640000000002</v>
      </c>
      <c r="E267" s="4">
        <v>38.680799999999998</v>
      </c>
      <c r="F267" s="4">
        <f t="shared" si="20"/>
        <v>30.399840000000005</v>
      </c>
      <c r="G267" s="5">
        <f t="shared" si="21"/>
        <v>0.44006309148264988</v>
      </c>
      <c r="H267" s="2" t="s">
        <v>324</v>
      </c>
      <c r="I267" s="6" t="s">
        <v>69</v>
      </c>
      <c r="J267" s="2" t="s">
        <v>325</v>
      </c>
      <c r="K267" s="2" t="s">
        <v>5</v>
      </c>
      <c r="L267" s="2" t="s">
        <v>28</v>
      </c>
      <c r="M267" s="2" t="s">
        <v>5</v>
      </c>
      <c r="N267" s="4">
        <v>838.99</v>
      </c>
    </row>
    <row r="268" spans="1:14" x14ac:dyDescent="0.25">
      <c r="A268" s="2" t="s">
        <v>336</v>
      </c>
      <c r="B268" s="2" t="s">
        <v>337</v>
      </c>
      <c r="C268" s="3">
        <v>6.21</v>
      </c>
      <c r="D268" s="4">
        <v>60.982199999999999</v>
      </c>
      <c r="E268" s="4">
        <v>40.365000000000002</v>
      </c>
      <c r="F268" s="4">
        <f t="shared" si="20"/>
        <v>20.617199999999997</v>
      </c>
      <c r="G268" s="5">
        <f t="shared" si="21"/>
        <v>0.33808553971486754</v>
      </c>
      <c r="H268" s="2" t="s">
        <v>324</v>
      </c>
      <c r="I268" s="6" t="s">
        <v>69</v>
      </c>
      <c r="J268" s="2" t="s">
        <v>325</v>
      </c>
      <c r="K268" s="2" t="s">
        <v>5</v>
      </c>
      <c r="L268" s="2" t="s">
        <v>28</v>
      </c>
      <c r="M268" s="2" t="s">
        <v>5</v>
      </c>
      <c r="N268" s="4">
        <v>838.99</v>
      </c>
    </row>
    <row r="269" spans="1:14" x14ac:dyDescent="0.25">
      <c r="A269" s="2" t="s">
        <v>338</v>
      </c>
      <c r="B269" s="2" t="s">
        <v>339</v>
      </c>
      <c r="C269" s="3">
        <v>9.6750000000000007</v>
      </c>
      <c r="D269" s="4">
        <v>488.10374999999999</v>
      </c>
      <c r="E269" s="4">
        <v>328.95</v>
      </c>
      <c r="F269" s="4">
        <f t="shared" si="20"/>
        <v>159.15375</v>
      </c>
      <c r="G269" s="5">
        <f t="shared" si="21"/>
        <v>0.32606541129831518</v>
      </c>
      <c r="H269" s="2" t="s">
        <v>333</v>
      </c>
      <c r="I269" s="6" t="s">
        <v>32</v>
      </c>
      <c r="J269" s="2" t="s">
        <v>331</v>
      </c>
      <c r="K269" s="2" t="s">
        <v>5</v>
      </c>
      <c r="L269" s="2" t="s">
        <v>28</v>
      </c>
      <c r="M269" s="2" t="s">
        <v>5</v>
      </c>
      <c r="N269" s="4">
        <v>10117.31</v>
      </c>
    </row>
    <row r="270" spans="1:14" x14ac:dyDescent="0.25">
      <c r="A270" s="2" t="s">
        <v>340</v>
      </c>
      <c r="B270" s="2" t="s">
        <v>341</v>
      </c>
      <c r="C270" s="3">
        <v>10.95</v>
      </c>
      <c r="D270" s="4">
        <v>516.29250000000002</v>
      </c>
      <c r="E270" s="4">
        <v>191.625</v>
      </c>
      <c r="F270" s="4">
        <f t="shared" si="20"/>
        <v>324.66750000000002</v>
      </c>
      <c r="G270" s="5">
        <f t="shared" si="21"/>
        <v>0.62884411452810185</v>
      </c>
      <c r="H270" s="2" t="s">
        <v>333</v>
      </c>
      <c r="I270" s="6" t="s">
        <v>32</v>
      </c>
      <c r="J270" s="2" t="s">
        <v>331</v>
      </c>
      <c r="K270" s="2" t="s">
        <v>5</v>
      </c>
      <c r="L270" s="2" t="s">
        <v>28</v>
      </c>
      <c r="M270" s="2" t="s">
        <v>5</v>
      </c>
      <c r="N270" s="4">
        <v>10117.31</v>
      </c>
    </row>
    <row r="271" spans="1:14" x14ac:dyDescent="0.25">
      <c r="A271" s="2" t="s">
        <v>342</v>
      </c>
      <c r="B271" s="2" t="s">
        <v>343</v>
      </c>
      <c r="C271" s="3">
        <v>42</v>
      </c>
      <c r="D271" s="4">
        <v>2601.9</v>
      </c>
      <c r="E271" s="4">
        <v>1029</v>
      </c>
      <c r="F271" s="4">
        <f t="shared" si="20"/>
        <v>1572.9</v>
      </c>
      <c r="G271" s="5">
        <f t="shared" si="21"/>
        <v>0.60451977401129942</v>
      </c>
      <c r="H271" s="2" t="s">
        <v>333</v>
      </c>
      <c r="I271" s="6" t="s">
        <v>32</v>
      </c>
      <c r="J271" s="2" t="s">
        <v>331</v>
      </c>
      <c r="K271" s="2" t="s">
        <v>5</v>
      </c>
      <c r="L271" s="2" t="s">
        <v>28</v>
      </c>
      <c r="M271" s="2" t="s">
        <v>5</v>
      </c>
      <c r="N271" s="4">
        <v>10117.31</v>
      </c>
    </row>
    <row r="272" spans="1:14" x14ac:dyDescent="0.25">
      <c r="A272" s="2" t="s">
        <v>344</v>
      </c>
      <c r="B272" s="2" t="s">
        <v>345</v>
      </c>
      <c r="C272" s="3">
        <v>-37.799999999999997</v>
      </c>
      <c r="D272" s="4">
        <v>-1016.82</v>
      </c>
      <c r="E272" s="4">
        <v>-548.1</v>
      </c>
      <c r="F272" s="4">
        <f t="shared" si="20"/>
        <v>-468.72</v>
      </c>
      <c r="G272" s="5">
        <f t="shared" si="21"/>
        <v>0.46096654275092935</v>
      </c>
      <c r="H272" s="2" t="s">
        <v>330</v>
      </c>
      <c r="I272" s="6" t="s">
        <v>69</v>
      </c>
      <c r="J272" s="2" t="s">
        <v>331</v>
      </c>
      <c r="K272" s="2" t="s">
        <v>5</v>
      </c>
      <c r="L272" s="2" t="s">
        <v>332</v>
      </c>
      <c r="M272" s="2" t="s">
        <v>5</v>
      </c>
      <c r="N272" s="4">
        <v>-5228.25</v>
      </c>
    </row>
    <row r="273" spans="1:14" x14ac:dyDescent="0.25">
      <c r="A273" s="2" t="s">
        <v>344</v>
      </c>
      <c r="B273" s="2" t="s">
        <v>345</v>
      </c>
      <c r="C273" s="3">
        <v>42</v>
      </c>
      <c r="D273" s="4">
        <v>1129.8</v>
      </c>
      <c r="E273" s="4">
        <v>609</v>
      </c>
      <c r="F273" s="4">
        <f t="shared" si="20"/>
        <v>520.79999999999995</v>
      </c>
      <c r="G273" s="5">
        <f t="shared" si="21"/>
        <v>0.46096654275092935</v>
      </c>
      <c r="H273" s="2" t="s">
        <v>333</v>
      </c>
      <c r="I273" s="6" t="s">
        <v>32</v>
      </c>
      <c r="J273" s="2" t="s">
        <v>331</v>
      </c>
      <c r="K273" s="2" t="s">
        <v>5</v>
      </c>
      <c r="L273" s="2" t="s">
        <v>28</v>
      </c>
      <c r="M273" s="2" t="s">
        <v>5</v>
      </c>
      <c r="N273" s="4">
        <v>10117.31</v>
      </c>
    </row>
    <row r="274" spans="1:14" x14ac:dyDescent="0.25">
      <c r="A274" s="2" t="s">
        <v>346</v>
      </c>
      <c r="B274" s="2" t="s">
        <v>347</v>
      </c>
      <c r="C274" s="3">
        <v>9.86</v>
      </c>
      <c r="D274" s="4">
        <v>265.23399999999998</v>
      </c>
      <c r="E274" s="4">
        <v>142.97</v>
      </c>
      <c r="F274" s="4">
        <f t="shared" si="20"/>
        <v>122.26399999999998</v>
      </c>
      <c r="G274" s="5">
        <f t="shared" si="21"/>
        <v>0.46096654275092935</v>
      </c>
      <c r="H274" s="2" t="s">
        <v>333</v>
      </c>
      <c r="I274" s="6" t="s">
        <v>32</v>
      </c>
      <c r="J274" s="2" t="s">
        <v>331</v>
      </c>
      <c r="K274" s="2" t="s">
        <v>5</v>
      </c>
      <c r="L274" s="2" t="s">
        <v>28</v>
      </c>
      <c r="M274" s="2" t="s">
        <v>5</v>
      </c>
      <c r="N274" s="4">
        <v>10117.31</v>
      </c>
    </row>
    <row r="276" spans="1:14" x14ac:dyDescent="0.25">
      <c r="A276" s="13" t="s">
        <v>59</v>
      </c>
      <c r="B276" s="21"/>
      <c r="C276" s="22">
        <f>SUM(C258:C275)</f>
        <v>163.40800000000002</v>
      </c>
      <c r="D276" s="23">
        <f>SUM(D258:D275)</f>
        <v>5728.0418900000013</v>
      </c>
      <c r="E276" s="23">
        <f>SUM(E258:E275)</f>
        <v>2976.4617999999996</v>
      </c>
      <c r="F276" s="23">
        <f>D276-E276</f>
        <v>2751.5800900000017</v>
      </c>
      <c r="G276" s="24">
        <f>IF(((D276)=0),0,(D276-E276)/ D276)</f>
        <v>0.48037010602239172</v>
      </c>
      <c r="H276" s="21"/>
      <c r="I276" s="21"/>
      <c r="J276" s="21"/>
      <c r="K276" s="21"/>
      <c r="L276" s="21"/>
      <c r="M276" s="21"/>
      <c r="N276" s="21"/>
    </row>
    <row r="278" spans="1:14" s="17" customFormat="1" ht="18.75" x14ac:dyDescent="0.3"/>
    <row r="279" spans="1:14" s="7" customFormat="1" x14ac:dyDescent="0.25">
      <c r="A279" s="13" t="s">
        <v>348</v>
      </c>
      <c r="B279" s="18" t="s">
        <v>349</v>
      </c>
      <c r="C279" s="19"/>
      <c r="D279" s="20" t="s">
        <v>5</v>
      </c>
      <c r="E279" s="19"/>
      <c r="F279" s="19"/>
      <c r="G279" s="19"/>
      <c r="H279" s="19"/>
      <c r="I279" s="19"/>
      <c r="J279" s="19"/>
      <c r="K279" s="19"/>
      <c r="L279" s="19"/>
      <c r="M279" s="19"/>
      <c r="N279" s="19"/>
    </row>
    <row r="281" spans="1:14" x14ac:dyDescent="0.25">
      <c r="A281" s="2" t="s">
        <v>350</v>
      </c>
      <c r="B281" s="2" t="s">
        <v>351</v>
      </c>
      <c r="C281" s="3">
        <v>12</v>
      </c>
      <c r="D281" s="4">
        <v>133.68</v>
      </c>
      <c r="E281" s="4">
        <v>86.4</v>
      </c>
      <c r="F281" s="4">
        <f t="shared" ref="F281:F312" si="22">D281-E281</f>
        <v>47.28</v>
      </c>
      <c r="G281" s="5">
        <f t="shared" ref="G281:G312" si="23">IF(((D281)=0),0,(D281-E281)/ D281)</f>
        <v>0.35368043087971274</v>
      </c>
      <c r="H281" s="2" t="s">
        <v>352</v>
      </c>
      <c r="I281" s="6" t="s">
        <v>39</v>
      </c>
      <c r="J281" s="2" t="s">
        <v>353</v>
      </c>
      <c r="K281" s="2" t="s">
        <v>354</v>
      </c>
      <c r="L281" s="2" t="s">
        <v>28</v>
      </c>
      <c r="M281" s="2" t="s">
        <v>5</v>
      </c>
      <c r="N281" s="4">
        <v>15963.52</v>
      </c>
    </row>
    <row r="282" spans="1:14" x14ac:dyDescent="0.25">
      <c r="A282" s="2" t="s">
        <v>355</v>
      </c>
      <c r="B282" s="2" t="s">
        <v>356</v>
      </c>
      <c r="C282" s="3">
        <v>120</v>
      </c>
      <c r="D282" s="4">
        <v>1714.8</v>
      </c>
      <c r="E282" s="4">
        <v>1200</v>
      </c>
      <c r="F282" s="4">
        <f t="shared" si="22"/>
        <v>514.79999999999995</v>
      </c>
      <c r="G282" s="5">
        <f t="shared" si="23"/>
        <v>0.30020993701889431</v>
      </c>
      <c r="H282" s="2" t="s">
        <v>357</v>
      </c>
      <c r="I282" s="6" t="s">
        <v>32</v>
      </c>
      <c r="J282" s="2" t="s">
        <v>358</v>
      </c>
      <c r="K282" s="2" t="s">
        <v>359</v>
      </c>
      <c r="L282" s="2" t="s">
        <v>28</v>
      </c>
      <c r="M282" s="2" t="s">
        <v>5</v>
      </c>
      <c r="N282" s="4">
        <v>17654.8</v>
      </c>
    </row>
    <row r="283" spans="1:14" x14ac:dyDescent="0.25">
      <c r="A283" s="2" t="s">
        <v>355</v>
      </c>
      <c r="B283" s="2" t="s">
        <v>356</v>
      </c>
      <c r="C283" s="3">
        <v>120</v>
      </c>
      <c r="D283" s="4">
        <v>1714.8</v>
      </c>
      <c r="E283" s="4">
        <v>1200</v>
      </c>
      <c r="F283" s="4">
        <f t="shared" si="22"/>
        <v>514.79999999999995</v>
      </c>
      <c r="G283" s="5">
        <f t="shared" si="23"/>
        <v>0.30020993701889431</v>
      </c>
      <c r="H283" s="2" t="s">
        <v>352</v>
      </c>
      <c r="I283" s="6" t="s">
        <v>39</v>
      </c>
      <c r="J283" s="2" t="s">
        <v>353</v>
      </c>
      <c r="K283" s="2" t="s">
        <v>354</v>
      </c>
      <c r="L283" s="2" t="s">
        <v>28</v>
      </c>
      <c r="M283" s="2" t="s">
        <v>5</v>
      </c>
      <c r="N283" s="4">
        <v>15963.52</v>
      </c>
    </row>
    <row r="284" spans="1:14" x14ac:dyDescent="0.25">
      <c r="A284" s="2" t="s">
        <v>360</v>
      </c>
      <c r="B284" s="2" t="s">
        <v>361</v>
      </c>
      <c r="C284" s="3">
        <v>101.295</v>
      </c>
      <c r="D284" s="4">
        <v>1670.35455</v>
      </c>
      <c r="E284" s="4">
        <v>1195.2809999999999</v>
      </c>
      <c r="F284" s="4">
        <f t="shared" si="22"/>
        <v>475.07355000000007</v>
      </c>
      <c r="G284" s="5">
        <f t="shared" si="23"/>
        <v>0.28441479684657373</v>
      </c>
      <c r="H284" s="2" t="s">
        <v>352</v>
      </c>
      <c r="I284" s="6" t="s">
        <v>39</v>
      </c>
      <c r="J284" s="2" t="s">
        <v>353</v>
      </c>
      <c r="K284" s="2" t="s">
        <v>354</v>
      </c>
      <c r="L284" s="2" t="s">
        <v>28</v>
      </c>
      <c r="M284" s="2" t="s">
        <v>5</v>
      </c>
      <c r="N284" s="4">
        <v>15963.52</v>
      </c>
    </row>
    <row r="285" spans="1:14" x14ac:dyDescent="0.25">
      <c r="A285" s="2" t="s">
        <v>360</v>
      </c>
      <c r="B285" s="2" t="s">
        <v>361</v>
      </c>
      <c r="C285" s="3">
        <v>40.43</v>
      </c>
      <c r="D285" s="4">
        <v>666.69069999999999</v>
      </c>
      <c r="E285" s="4">
        <v>477.07400000000001</v>
      </c>
      <c r="F285" s="4">
        <f t="shared" si="22"/>
        <v>189.61669999999998</v>
      </c>
      <c r="G285" s="5">
        <f t="shared" si="23"/>
        <v>0.28441479684657367</v>
      </c>
      <c r="H285" s="2" t="s">
        <v>357</v>
      </c>
      <c r="I285" s="6" t="s">
        <v>32</v>
      </c>
      <c r="J285" s="2" t="s">
        <v>358</v>
      </c>
      <c r="K285" s="2" t="s">
        <v>359</v>
      </c>
      <c r="L285" s="2" t="s">
        <v>28</v>
      </c>
      <c r="M285" s="2" t="s">
        <v>5</v>
      </c>
      <c r="N285" s="4">
        <v>17654.8</v>
      </c>
    </row>
    <row r="286" spans="1:14" x14ac:dyDescent="0.25">
      <c r="A286" s="2" t="s">
        <v>362</v>
      </c>
      <c r="B286" s="2" t="s">
        <v>363</v>
      </c>
      <c r="C286" s="3">
        <v>15.16</v>
      </c>
      <c r="D286" s="4">
        <v>192.68360000000001</v>
      </c>
      <c r="E286" s="4">
        <v>184.952</v>
      </c>
      <c r="F286" s="4">
        <f t="shared" si="22"/>
        <v>7.7316000000000145</v>
      </c>
      <c r="G286" s="5">
        <f t="shared" si="23"/>
        <v>4.0125885129819114E-2</v>
      </c>
      <c r="H286" s="2" t="s">
        <v>352</v>
      </c>
      <c r="I286" s="6" t="s">
        <v>39</v>
      </c>
      <c r="J286" s="2" t="s">
        <v>353</v>
      </c>
      <c r="K286" s="2" t="s">
        <v>354</v>
      </c>
      <c r="L286" s="2" t="s">
        <v>28</v>
      </c>
      <c r="M286" s="2" t="s">
        <v>5</v>
      </c>
      <c r="N286" s="4">
        <v>15963.52</v>
      </c>
    </row>
    <row r="287" spans="1:14" x14ac:dyDescent="0.25">
      <c r="A287" s="2" t="s">
        <v>362</v>
      </c>
      <c r="B287" s="2" t="s">
        <v>363</v>
      </c>
      <c r="C287" s="3">
        <v>76.3</v>
      </c>
      <c r="D287" s="4">
        <v>969.77300000000002</v>
      </c>
      <c r="E287" s="4">
        <v>763</v>
      </c>
      <c r="F287" s="4">
        <f t="shared" si="22"/>
        <v>206.77300000000002</v>
      </c>
      <c r="G287" s="5">
        <f t="shared" si="23"/>
        <v>0.21321793863099922</v>
      </c>
      <c r="H287" s="2" t="s">
        <v>357</v>
      </c>
      <c r="I287" s="6" t="s">
        <v>32</v>
      </c>
      <c r="J287" s="2" t="s">
        <v>358</v>
      </c>
      <c r="K287" s="2" t="s">
        <v>359</v>
      </c>
      <c r="L287" s="2" t="s">
        <v>28</v>
      </c>
      <c r="M287" s="2" t="s">
        <v>5</v>
      </c>
      <c r="N287" s="4">
        <v>17654.8</v>
      </c>
    </row>
    <row r="288" spans="1:14" x14ac:dyDescent="0.25">
      <c r="A288" s="2" t="s">
        <v>364</v>
      </c>
      <c r="B288" s="2" t="s">
        <v>365</v>
      </c>
      <c r="C288" s="3">
        <v>21.08</v>
      </c>
      <c r="D288" s="4">
        <v>301.23320000000001</v>
      </c>
      <c r="E288" s="4">
        <v>238.20400000000001</v>
      </c>
      <c r="F288" s="4">
        <f t="shared" si="22"/>
        <v>63.029200000000003</v>
      </c>
      <c r="G288" s="5">
        <f t="shared" si="23"/>
        <v>0.2092372288313506</v>
      </c>
      <c r="H288" s="2" t="s">
        <v>357</v>
      </c>
      <c r="I288" s="6" t="s">
        <v>32</v>
      </c>
      <c r="J288" s="2" t="s">
        <v>358</v>
      </c>
      <c r="K288" s="2" t="s">
        <v>359</v>
      </c>
      <c r="L288" s="2" t="s">
        <v>28</v>
      </c>
      <c r="M288" s="2" t="s">
        <v>5</v>
      </c>
      <c r="N288" s="4">
        <v>17654.8</v>
      </c>
    </row>
    <row r="289" spans="1:14" x14ac:dyDescent="0.25">
      <c r="A289" s="2" t="s">
        <v>364</v>
      </c>
      <c r="B289" s="2" t="s">
        <v>365</v>
      </c>
      <c r="C289" s="3">
        <v>17.399999999999999</v>
      </c>
      <c r="D289" s="4">
        <v>248.64599999999999</v>
      </c>
      <c r="E289" s="4">
        <v>196.62</v>
      </c>
      <c r="F289" s="4">
        <f t="shared" si="22"/>
        <v>52.025999999999982</v>
      </c>
      <c r="G289" s="5">
        <f t="shared" si="23"/>
        <v>0.20923722883135054</v>
      </c>
      <c r="H289" s="2" t="s">
        <v>352</v>
      </c>
      <c r="I289" s="6" t="s">
        <v>39</v>
      </c>
      <c r="J289" s="2" t="s">
        <v>353</v>
      </c>
      <c r="K289" s="2" t="s">
        <v>354</v>
      </c>
      <c r="L289" s="2" t="s">
        <v>28</v>
      </c>
      <c r="M289" s="2" t="s">
        <v>5</v>
      </c>
      <c r="N289" s="4">
        <v>15963.52</v>
      </c>
    </row>
    <row r="290" spans="1:14" x14ac:dyDescent="0.25">
      <c r="A290" s="2" t="s">
        <v>366</v>
      </c>
      <c r="B290" s="2" t="s">
        <v>367</v>
      </c>
      <c r="C290" s="3">
        <v>57.685000000000002</v>
      </c>
      <c r="D290" s="4">
        <v>575.69629999999995</v>
      </c>
      <c r="E290" s="4">
        <v>340.91834999999998</v>
      </c>
      <c r="F290" s="4">
        <f t="shared" si="22"/>
        <v>234.77794999999998</v>
      </c>
      <c r="G290" s="5">
        <f t="shared" si="23"/>
        <v>0.40781563126252507</v>
      </c>
      <c r="H290" s="2" t="s">
        <v>352</v>
      </c>
      <c r="I290" s="6" t="s">
        <v>39</v>
      </c>
      <c r="J290" s="2" t="s">
        <v>353</v>
      </c>
      <c r="K290" s="2" t="s">
        <v>354</v>
      </c>
      <c r="L290" s="2" t="s">
        <v>28</v>
      </c>
      <c r="M290" s="2" t="s">
        <v>5</v>
      </c>
      <c r="N290" s="4">
        <v>15963.52</v>
      </c>
    </row>
    <row r="291" spans="1:14" x14ac:dyDescent="0.25">
      <c r="A291" s="2" t="s">
        <v>366</v>
      </c>
      <c r="B291" s="2" t="s">
        <v>367</v>
      </c>
      <c r="C291" s="3">
        <v>56.924999999999997</v>
      </c>
      <c r="D291" s="4">
        <v>568.11149999999998</v>
      </c>
      <c r="E291" s="4">
        <v>336.42675000000003</v>
      </c>
      <c r="F291" s="4">
        <f t="shared" si="22"/>
        <v>231.68474999999995</v>
      </c>
      <c r="G291" s="5">
        <f t="shared" si="23"/>
        <v>0.40781563126252496</v>
      </c>
      <c r="H291" s="2" t="s">
        <v>357</v>
      </c>
      <c r="I291" s="6" t="s">
        <v>32</v>
      </c>
      <c r="J291" s="2" t="s">
        <v>358</v>
      </c>
      <c r="K291" s="2" t="s">
        <v>359</v>
      </c>
      <c r="L291" s="2" t="s">
        <v>28</v>
      </c>
      <c r="M291" s="2" t="s">
        <v>5</v>
      </c>
      <c r="N291" s="4">
        <v>17654.8</v>
      </c>
    </row>
    <row r="292" spans="1:14" x14ac:dyDescent="0.25">
      <c r="A292" s="2" t="s">
        <v>368</v>
      </c>
      <c r="B292" s="2" t="s">
        <v>369</v>
      </c>
      <c r="C292" s="3">
        <v>15.26</v>
      </c>
      <c r="D292" s="4">
        <v>251.63740000000001</v>
      </c>
      <c r="E292" s="4">
        <v>190.75</v>
      </c>
      <c r="F292" s="4">
        <f t="shared" si="22"/>
        <v>60.887400000000014</v>
      </c>
      <c r="G292" s="5">
        <f t="shared" si="23"/>
        <v>0.24196482716798062</v>
      </c>
      <c r="H292" s="2" t="s">
        <v>352</v>
      </c>
      <c r="I292" s="6" t="s">
        <v>39</v>
      </c>
      <c r="J292" s="2" t="s">
        <v>353</v>
      </c>
      <c r="K292" s="2" t="s">
        <v>354</v>
      </c>
      <c r="L292" s="2" t="s">
        <v>28</v>
      </c>
      <c r="M292" s="2" t="s">
        <v>5</v>
      </c>
      <c r="N292" s="4">
        <v>15963.52</v>
      </c>
    </row>
    <row r="293" spans="1:14" x14ac:dyDescent="0.25">
      <c r="A293" s="2" t="s">
        <v>370</v>
      </c>
      <c r="B293" s="2" t="s">
        <v>371</v>
      </c>
      <c r="C293" s="3">
        <v>31.04</v>
      </c>
      <c r="D293" s="4">
        <v>169.47839999999999</v>
      </c>
      <c r="E293" s="4">
        <v>111.744</v>
      </c>
      <c r="F293" s="4">
        <f t="shared" si="22"/>
        <v>57.734399999999994</v>
      </c>
      <c r="G293" s="5">
        <f t="shared" si="23"/>
        <v>0.34065934065934061</v>
      </c>
      <c r="H293" s="2" t="s">
        <v>352</v>
      </c>
      <c r="I293" s="6" t="s">
        <v>39</v>
      </c>
      <c r="J293" s="2" t="s">
        <v>353</v>
      </c>
      <c r="K293" s="2" t="s">
        <v>354</v>
      </c>
      <c r="L293" s="2" t="s">
        <v>28</v>
      </c>
      <c r="M293" s="2" t="s">
        <v>5</v>
      </c>
      <c r="N293" s="4">
        <v>15963.52</v>
      </c>
    </row>
    <row r="294" spans="1:14" x14ac:dyDescent="0.25">
      <c r="A294" s="2" t="s">
        <v>370</v>
      </c>
      <c r="B294" s="2" t="s">
        <v>371</v>
      </c>
      <c r="C294" s="3">
        <v>31.02</v>
      </c>
      <c r="D294" s="4">
        <v>169.36920000000001</v>
      </c>
      <c r="E294" s="4">
        <v>111.672</v>
      </c>
      <c r="F294" s="4">
        <f t="shared" si="22"/>
        <v>57.697200000000009</v>
      </c>
      <c r="G294" s="5">
        <f t="shared" si="23"/>
        <v>0.34065934065934073</v>
      </c>
      <c r="H294" s="2" t="s">
        <v>357</v>
      </c>
      <c r="I294" s="6" t="s">
        <v>32</v>
      </c>
      <c r="J294" s="2" t="s">
        <v>358</v>
      </c>
      <c r="K294" s="2" t="s">
        <v>359</v>
      </c>
      <c r="L294" s="2" t="s">
        <v>28</v>
      </c>
      <c r="M294" s="2" t="s">
        <v>5</v>
      </c>
      <c r="N294" s="4">
        <v>17654.8</v>
      </c>
    </row>
    <row r="295" spans="1:14" x14ac:dyDescent="0.25">
      <c r="A295" s="2" t="s">
        <v>372</v>
      </c>
      <c r="B295" s="2" t="s">
        <v>373</v>
      </c>
      <c r="C295" s="3">
        <v>29.98</v>
      </c>
      <c r="D295" s="4">
        <v>396.93520000000001</v>
      </c>
      <c r="E295" s="4">
        <v>269.82</v>
      </c>
      <c r="F295" s="4">
        <f t="shared" si="22"/>
        <v>127.11520000000002</v>
      </c>
      <c r="G295" s="5">
        <f t="shared" si="23"/>
        <v>0.32024169184290036</v>
      </c>
      <c r="H295" s="2" t="s">
        <v>352</v>
      </c>
      <c r="I295" s="6" t="s">
        <v>39</v>
      </c>
      <c r="J295" s="2" t="s">
        <v>353</v>
      </c>
      <c r="K295" s="2" t="s">
        <v>354</v>
      </c>
      <c r="L295" s="2" t="s">
        <v>28</v>
      </c>
      <c r="M295" s="2" t="s">
        <v>5</v>
      </c>
      <c r="N295" s="4">
        <v>15963.52</v>
      </c>
    </row>
    <row r="296" spans="1:14" x14ac:dyDescent="0.25">
      <c r="A296" s="2" t="s">
        <v>372</v>
      </c>
      <c r="B296" s="2" t="s">
        <v>373</v>
      </c>
      <c r="C296" s="3">
        <v>61.74</v>
      </c>
      <c r="D296" s="4">
        <v>817.43759999999997</v>
      </c>
      <c r="E296" s="4">
        <v>555.66</v>
      </c>
      <c r="F296" s="4">
        <f t="shared" si="22"/>
        <v>261.77760000000001</v>
      </c>
      <c r="G296" s="5">
        <f t="shared" si="23"/>
        <v>0.3202416918429003</v>
      </c>
      <c r="H296" s="2" t="s">
        <v>357</v>
      </c>
      <c r="I296" s="6" t="s">
        <v>32</v>
      </c>
      <c r="J296" s="2" t="s">
        <v>358</v>
      </c>
      <c r="K296" s="2" t="s">
        <v>359</v>
      </c>
      <c r="L296" s="2" t="s">
        <v>28</v>
      </c>
      <c r="M296" s="2" t="s">
        <v>5</v>
      </c>
      <c r="N296" s="4">
        <v>17654.8</v>
      </c>
    </row>
    <row r="297" spans="1:14" x14ac:dyDescent="0.25">
      <c r="A297" s="2" t="s">
        <v>374</v>
      </c>
      <c r="B297" s="2" t="s">
        <v>375</v>
      </c>
      <c r="C297" s="3">
        <v>4.6500000000000004</v>
      </c>
      <c r="D297" s="4">
        <v>84.769499999999994</v>
      </c>
      <c r="E297" s="4">
        <v>64.914000000000001</v>
      </c>
      <c r="F297" s="4">
        <f t="shared" si="22"/>
        <v>19.855499999999992</v>
      </c>
      <c r="G297" s="5">
        <f t="shared" si="23"/>
        <v>0.23422929237520562</v>
      </c>
      <c r="H297" s="2" t="s">
        <v>357</v>
      </c>
      <c r="I297" s="6" t="s">
        <v>32</v>
      </c>
      <c r="J297" s="2" t="s">
        <v>358</v>
      </c>
      <c r="K297" s="2" t="s">
        <v>359</v>
      </c>
      <c r="L297" s="2" t="s">
        <v>28</v>
      </c>
      <c r="M297" s="2" t="s">
        <v>5</v>
      </c>
      <c r="N297" s="4">
        <v>17654.8</v>
      </c>
    </row>
    <row r="298" spans="1:14" x14ac:dyDescent="0.25">
      <c r="A298" s="2" t="s">
        <v>376</v>
      </c>
      <c r="B298" s="2" t="s">
        <v>377</v>
      </c>
      <c r="C298" s="3">
        <v>58.819000000000003</v>
      </c>
      <c r="D298" s="4">
        <v>710.53351999999995</v>
      </c>
      <c r="E298" s="4">
        <v>429.37869999999998</v>
      </c>
      <c r="F298" s="4">
        <f t="shared" si="22"/>
        <v>281.15481999999997</v>
      </c>
      <c r="G298" s="5">
        <f t="shared" si="23"/>
        <v>0.39569536423841056</v>
      </c>
      <c r="H298" s="2" t="s">
        <v>357</v>
      </c>
      <c r="I298" s="6" t="s">
        <v>32</v>
      </c>
      <c r="J298" s="2" t="s">
        <v>358</v>
      </c>
      <c r="K298" s="2" t="s">
        <v>359</v>
      </c>
      <c r="L298" s="2" t="s">
        <v>28</v>
      </c>
      <c r="M298" s="2" t="s">
        <v>5</v>
      </c>
      <c r="N298" s="4">
        <v>17654.8</v>
      </c>
    </row>
    <row r="299" spans="1:14" x14ac:dyDescent="0.25">
      <c r="A299" s="2" t="s">
        <v>378</v>
      </c>
      <c r="B299" s="2" t="s">
        <v>379</v>
      </c>
      <c r="C299" s="3">
        <v>128.86000000000001</v>
      </c>
      <c r="D299" s="4">
        <v>1556.6288</v>
      </c>
      <c r="E299" s="4">
        <v>940.678</v>
      </c>
      <c r="F299" s="4">
        <f t="shared" si="22"/>
        <v>615.95079999999996</v>
      </c>
      <c r="G299" s="5">
        <f t="shared" si="23"/>
        <v>0.39569536423841056</v>
      </c>
      <c r="H299" s="2" t="s">
        <v>352</v>
      </c>
      <c r="I299" s="6" t="s">
        <v>39</v>
      </c>
      <c r="J299" s="2" t="s">
        <v>353</v>
      </c>
      <c r="K299" s="2" t="s">
        <v>354</v>
      </c>
      <c r="L299" s="2" t="s">
        <v>28</v>
      </c>
      <c r="M299" s="2" t="s">
        <v>5</v>
      </c>
      <c r="N299" s="4">
        <v>15963.52</v>
      </c>
    </row>
    <row r="300" spans="1:14" x14ac:dyDescent="0.25">
      <c r="A300" s="2" t="s">
        <v>378</v>
      </c>
      <c r="B300" s="2" t="s">
        <v>379</v>
      </c>
      <c r="C300" s="3">
        <v>61.72</v>
      </c>
      <c r="D300" s="4">
        <v>745.57759999999996</v>
      </c>
      <c r="E300" s="4">
        <v>450.55599999999998</v>
      </c>
      <c r="F300" s="4">
        <f t="shared" si="22"/>
        <v>295.02159999999998</v>
      </c>
      <c r="G300" s="5">
        <f t="shared" si="23"/>
        <v>0.39569536423841056</v>
      </c>
      <c r="H300" s="2" t="s">
        <v>357</v>
      </c>
      <c r="I300" s="6" t="s">
        <v>32</v>
      </c>
      <c r="J300" s="2" t="s">
        <v>358</v>
      </c>
      <c r="K300" s="2" t="s">
        <v>359</v>
      </c>
      <c r="L300" s="2" t="s">
        <v>28</v>
      </c>
      <c r="M300" s="2" t="s">
        <v>5</v>
      </c>
      <c r="N300" s="4">
        <v>17654.8</v>
      </c>
    </row>
    <row r="301" spans="1:14" x14ac:dyDescent="0.25">
      <c r="A301" s="2" t="s">
        <v>380</v>
      </c>
      <c r="B301" s="2" t="s">
        <v>381</v>
      </c>
      <c r="C301" s="3">
        <v>16.399999999999999</v>
      </c>
      <c r="D301" s="4">
        <v>233.37200000000001</v>
      </c>
      <c r="E301" s="4">
        <v>82</v>
      </c>
      <c r="F301" s="4">
        <f t="shared" si="22"/>
        <v>151.37200000000001</v>
      </c>
      <c r="G301" s="5">
        <f t="shared" si="23"/>
        <v>0.64862965565706254</v>
      </c>
      <c r="H301" s="2" t="s">
        <v>357</v>
      </c>
      <c r="I301" s="6" t="s">
        <v>32</v>
      </c>
      <c r="J301" s="2" t="s">
        <v>358</v>
      </c>
      <c r="K301" s="2" t="s">
        <v>359</v>
      </c>
      <c r="L301" s="2" t="s">
        <v>28</v>
      </c>
      <c r="M301" s="2" t="s">
        <v>5</v>
      </c>
      <c r="N301" s="4">
        <v>17654.8</v>
      </c>
    </row>
    <row r="302" spans="1:14" x14ac:dyDescent="0.25">
      <c r="A302" s="2" t="s">
        <v>380</v>
      </c>
      <c r="B302" s="2" t="s">
        <v>381</v>
      </c>
      <c r="C302" s="3">
        <v>14.574999999999999</v>
      </c>
      <c r="D302" s="4">
        <v>207.40225000000001</v>
      </c>
      <c r="E302" s="4">
        <v>72.875</v>
      </c>
      <c r="F302" s="4">
        <f t="shared" si="22"/>
        <v>134.52725000000001</v>
      </c>
      <c r="G302" s="5">
        <f t="shared" si="23"/>
        <v>0.64862965565706254</v>
      </c>
      <c r="H302" s="2" t="s">
        <v>352</v>
      </c>
      <c r="I302" s="6" t="s">
        <v>39</v>
      </c>
      <c r="J302" s="2" t="s">
        <v>353</v>
      </c>
      <c r="K302" s="2" t="s">
        <v>354</v>
      </c>
      <c r="L302" s="2" t="s">
        <v>28</v>
      </c>
      <c r="M302" s="2" t="s">
        <v>5</v>
      </c>
      <c r="N302" s="4">
        <v>15963.52</v>
      </c>
    </row>
    <row r="303" spans="1:14" x14ac:dyDescent="0.25">
      <c r="A303" s="2" t="s">
        <v>382</v>
      </c>
      <c r="B303" s="2" t="s">
        <v>383</v>
      </c>
      <c r="C303" s="3">
        <v>145.81</v>
      </c>
      <c r="D303" s="4">
        <v>788.83209999999997</v>
      </c>
      <c r="E303" s="4">
        <v>524.91600000000005</v>
      </c>
      <c r="F303" s="4">
        <f t="shared" si="22"/>
        <v>263.91609999999991</v>
      </c>
      <c r="G303" s="5">
        <f t="shared" si="23"/>
        <v>0.33456561922365979</v>
      </c>
      <c r="H303" s="2" t="s">
        <v>357</v>
      </c>
      <c r="I303" s="6" t="s">
        <v>32</v>
      </c>
      <c r="J303" s="2" t="s">
        <v>358</v>
      </c>
      <c r="K303" s="2" t="s">
        <v>359</v>
      </c>
      <c r="L303" s="2" t="s">
        <v>28</v>
      </c>
      <c r="M303" s="2" t="s">
        <v>5</v>
      </c>
      <c r="N303" s="4">
        <v>17654.8</v>
      </c>
    </row>
    <row r="304" spans="1:14" x14ac:dyDescent="0.25">
      <c r="A304" s="2" t="s">
        <v>382</v>
      </c>
      <c r="B304" s="2" t="s">
        <v>383</v>
      </c>
      <c r="C304" s="3">
        <v>227.28</v>
      </c>
      <c r="D304" s="4">
        <v>1229.5848000000001</v>
      </c>
      <c r="E304" s="4">
        <v>818.20799999999997</v>
      </c>
      <c r="F304" s="4">
        <f t="shared" si="22"/>
        <v>411.37680000000012</v>
      </c>
      <c r="G304" s="5">
        <f t="shared" si="23"/>
        <v>0.33456561922365996</v>
      </c>
      <c r="H304" s="2" t="s">
        <v>352</v>
      </c>
      <c r="I304" s="6" t="s">
        <v>39</v>
      </c>
      <c r="J304" s="2" t="s">
        <v>353</v>
      </c>
      <c r="K304" s="2" t="s">
        <v>354</v>
      </c>
      <c r="L304" s="2" t="s">
        <v>28</v>
      </c>
      <c r="M304" s="2" t="s">
        <v>5</v>
      </c>
      <c r="N304" s="4">
        <v>15963.52</v>
      </c>
    </row>
    <row r="305" spans="1:14" x14ac:dyDescent="0.25">
      <c r="A305" s="2" t="s">
        <v>384</v>
      </c>
      <c r="B305" s="2" t="s">
        <v>385</v>
      </c>
      <c r="C305" s="3">
        <v>31.71</v>
      </c>
      <c r="D305" s="4">
        <v>138.25559999999999</v>
      </c>
      <c r="E305" s="4">
        <v>79.275000000000006</v>
      </c>
      <c r="F305" s="4">
        <f t="shared" si="22"/>
        <v>58.980599999999981</v>
      </c>
      <c r="G305" s="5">
        <f t="shared" si="23"/>
        <v>0.42660550458715585</v>
      </c>
      <c r="H305" s="2" t="s">
        <v>357</v>
      </c>
      <c r="I305" s="6" t="s">
        <v>32</v>
      </c>
      <c r="J305" s="2" t="s">
        <v>358</v>
      </c>
      <c r="K305" s="2" t="s">
        <v>359</v>
      </c>
      <c r="L305" s="2" t="s">
        <v>28</v>
      </c>
      <c r="M305" s="2" t="s">
        <v>5</v>
      </c>
      <c r="N305" s="4">
        <v>17654.8</v>
      </c>
    </row>
    <row r="306" spans="1:14" x14ac:dyDescent="0.25">
      <c r="A306" s="2" t="s">
        <v>384</v>
      </c>
      <c r="B306" s="2" t="s">
        <v>385</v>
      </c>
      <c r="C306" s="3">
        <v>15.04</v>
      </c>
      <c r="D306" s="4">
        <v>65.574399999999997</v>
      </c>
      <c r="E306" s="4">
        <v>37.6</v>
      </c>
      <c r="F306" s="4">
        <f t="shared" si="22"/>
        <v>27.974399999999996</v>
      </c>
      <c r="G306" s="5">
        <f t="shared" si="23"/>
        <v>0.4266055045871559</v>
      </c>
      <c r="H306" s="2" t="s">
        <v>352</v>
      </c>
      <c r="I306" s="6" t="s">
        <v>39</v>
      </c>
      <c r="J306" s="2" t="s">
        <v>353</v>
      </c>
      <c r="K306" s="2" t="s">
        <v>354</v>
      </c>
      <c r="L306" s="2" t="s">
        <v>28</v>
      </c>
      <c r="M306" s="2" t="s">
        <v>5</v>
      </c>
      <c r="N306" s="4">
        <v>15963.52</v>
      </c>
    </row>
    <row r="307" spans="1:14" x14ac:dyDescent="0.25">
      <c r="A307" s="2" t="s">
        <v>386</v>
      </c>
      <c r="B307" s="2" t="s">
        <v>387</v>
      </c>
      <c r="C307" s="3">
        <v>6</v>
      </c>
      <c r="D307" s="4">
        <v>55.8</v>
      </c>
      <c r="E307" s="4">
        <v>26.16</v>
      </c>
      <c r="F307" s="4">
        <f t="shared" si="22"/>
        <v>29.639999999999997</v>
      </c>
      <c r="G307" s="5">
        <f t="shared" si="23"/>
        <v>0.53118279569892468</v>
      </c>
      <c r="H307" s="2" t="s">
        <v>352</v>
      </c>
      <c r="I307" s="6" t="s">
        <v>39</v>
      </c>
      <c r="J307" s="2" t="s">
        <v>353</v>
      </c>
      <c r="K307" s="2" t="s">
        <v>354</v>
      </c>
      <c r="L307" s="2" t="s">
        <v>28</v>
      </c>
      <c r="M307" s="2" t="s">
        <v>5</v>
      </c>
      <c r="N307" s="4">
        <v>15963.52</v>
      </c>
    </row>
    <row r="308" spans="1:14" x14ac:dyDescent="0.25">
      <c r="A308" s="2" t="s">
        <v>386</v>
      </c>
      <c r="B308" s="2" t="s">
        <v>387</v>
      </c>
      <c r="C308" s="3">
        <v>12</v>
      </c>
      <c r="D308" s="4">
        <v>111.6</v>
      </c>
      <c r="E308" s="4">
        <v>52.32</v>
      </c>
      <c r="F308" s="4">
        <f t="shared" si="22"/>
        <v>59.279999999999994</v>
      </c>
      <c r="G308" s="5">
        <f t="shared" si="23"/>
        <v>0.53118279569892468</v>
      </c>
      <c r="H308" s="2" t="s">
        <v>357</v>
      </c>
      <c r="I308" s="6" t="s">
        <v>32</v>
      </c>
      <c r="J308" s="2" t="s">
        <v>358</v>
      </c>
      <c r="K308" s="2" t="s">
        <v>359</v>
      </c>
      <c r="L308" s="2" t="s">
        <v>28</v>
      </c>
      <c r="M308" s="2" t="s">
        <v>5</v>
      </c>
      <c r="N308" s="4">
        <v>17654.8</v>
      </c>
    </row>
    <row r="309" spans="1:14" x14ac:dyDescent="0.25">
      <c r="A309" s="2" t="s">
        <v>388</v>
      </c>
      <c r="B309" s="2" t="s">
        <v>389</v>
      </c>
      <c r="C309" s="3">
        <v>19.03</v>
      </c>
      <c r="D309" s="4">
        <v>181.92679999999999</v>
      </c>
      <c r="E309" s="4">
        <v>103.1426</v>
      </c>
      <c r="F309" s="4">
        <f t="shared" si="22"/>
        <v>78.784199999999984</v>
      </c>
      <c r="G309" s="5">
        <f t="shared" si="23"/>
        <v>0.43305439330543927</v>
      </c>
      <c r="H309" s="2" t="s">
        <v>357</v>
      </c>
      <c r="I309" s="6" t="s">
        <v>32</v>
      </c>
      <c r="J309" s="2" t="s">
        <v>358</v>
      </c>
      <c r="K309" s="2" t="s">
        <v>359</v>
      </c>
      <c r="L309" s="2" t="s">
        <v>28</v>
      </c>
      <c r="M309" s="2" t="s">
        <v>5</v>
      </c>
      <c r="N309" s="4">
        <v>17654.8</v>
      </c>
    </row>
    <row r="310" spans="1:14" x14ac:dyDescent="0.25">
      <c r="A310" s="2" t="s">
        <v>388</v>
      </c>
      <c r="B310" s="2" t="s">
        <v>389</v>
      </c>
      <c r="C310" s="3">
        <v>14.08</v>
      </c>
      <c r="D310" s="4">
        <v>134.60480000000001</v>
      </c>
      <c r="E310" s="4">
        <v>76.313599999999994</v>
      </c>
      <c r="F310" s="4">
        <f t="shared" si="22"/>
        <v>58.291200000000018</v>
      </c>
      <c r="G310" s="5">
        <f t="shared" si="23"/>
        <v>0.43305439330543943</v>
      </c>
      <c r="H310" s="2" t="s">
        <v>352</v>
      </c>
      <c r="I310" s="6" t="s">
        <v>39</v>
      </c>
      <c r="J310" s="2" t="s">
        <v>353</v>
      </c>
      <c r="K310" s="2" t="s">
        <v>354</v>
      </c>
      <c r="L310" s="2" t="s">
        <v>28</v>
      </c>
      <c r="M310" s="2" t="s">
        <v>5</v>
      </c>
      <c r="N310" s="4">
        <v>15963.52</v>
      </c>
    </row>
    <row r="311" spans="1:14" x14ac:dyDescent="0.25">
      <c r="A311" s="2" t="s">
        <v>390</v>
      </c>
      <c r="B311" s="2" t="s">
        <v>391</v>
      </c>
      <c r="C311" s="3">
        <v>60.93</v>
      </c>
      <c r="D311" s="4">
        <v>672.05790000000002</v>
      </c>
      <c r="E311" s="4">
        <v>456.97500000000002</v>
      </c>
      <c r="F311" s="4">
        <f t="shared" si="22"/>
        <v>215.0829</v>
      </c>
      <c r="G311" s="5">
        <f t="shared" si="23"/>
        <v>0.32003626473254759</v>
      </c>
      <c r="H311" s="2" t="s">
        <v>357</v>
      </c>
      <c r="I311" s="6" t="s">
        <v>32</v>
      </c>
      <c r="J311" s="2" t="s">
        <v>358</v>
      </c>
      <c r="K311" s="2" t="s">
        <v>359</v>
      </c>
      <c r="L311" s="2" t="s">
        <v>28</v>
      </c>
      <c r="M311" s="2" t="s">
        <v>5</v>
      </c>
      <c r="N311" s="4">
        <v>17654.8</v>
      </c>
    </row>
    <row r="312" spans="1:14" x14ac:dyDescent="0.25">
      <c r="A312" s="2" t="s">
        <v>390</v>
      </c>
      <c r="B312" s="2" t="s">
        <v>391</v>
      </c>
      <c r="C312" s="3">
        <v>48.362000000000002</v>
      </c>
      <c r="D312" s="4">
        <v>533.43286000000001</v>
      </c>
      <c r="E312" s="4">
        <v>362.71499999999997</v>
      </c>
      <c r="F312" s="4">
        <f t="shared" si="22"/>
        <v>170.71786000000003</v>
      </c>
      <c r="G312" s="5">
        <f t="shared" si="23"/>
        <v>0.32003626473254765</v>
      </c>
      <c r="H312" s="2" t="s">
        <v>352</v>
      </c>
      <c r="I312" s="6" t="s">
        <v>39</v>
      </c>
      <c r="J312" s="2" t="s">
        <v>353</v>
      </c>
      <c r="K312" s="2" t="s">
        <v>354</v>
      </c>
      <c r="L312" s="2" t="s">
        <v>28</v>
      </c>
      <c r="M312" s="2" t="s">
        <v>5</v>
      </c>
      <c r="N312" s="4">
        <v>15963.52</v>
      </c>
    </row>
    <row r="313" spans="1:14" x14ac:dyDescent="0.25">
      <c r="A313" s="2" t="s">
        <v>392</v>
      </c>
      <c r="B313" s="2" t="s">
        <v>393</v>
      </c>
      <c r="C313" s="3">
        <v>10.4</v>
      </c>
      <c r="D313" s="4">
        <v>151.32</v>
      </c>
      <c r="E313" s="4">
        <v>109.2</v>
      </c>
      <c r="F313" s="4">
        <f t="shared" ref="F313:F344" si="24">D313-E313</f>
        <v>42.11999999999999</v>
      </c>
      <c r="G313" s="5">
        <f t="shared" ref="G313:G336" si="25">IF(((D313)=0),0,(D313-E313)/ D313)</f>
        <v>0.27835051546391748</v>
      </c>
      <c r="H313" s="2" t="s">
        <v>352</v>
      </c>
      <c r="I313" s="6" t="s">
        <v>39</v>
      </c>
      <c r="J313" s="2" t="s">
        <v>353</v>
      </c>
      <c r="K313" s="2" t="s">
        <v>354</v>
      </c>
      <c r="L313" s="2" t="s">
        <v>28</v>
      </c>
      <c r="M313" s="2" t="s">
        <v>5</v>
      </c>
      <c r="N313" s="4">
        <v>15963.52</v>
      </c>
    </row>
    <row r="314" spans="1:14" x14ac:dyDescent="0.25">
      <c r="A314" s="2" t="s">
        <v>392</v>
      </c>
      <c r="B314" s="2" t="s">
        <v>393</v>
      </c>
      <c r="C314" s="3">
        <v>10.4</v>
      </c>
      <c r="D314" s="4">
        <v>151.32</v>
      </c>
      <c r="E314" s="4">
        <v>109.2</v>
      </c>
      <c r="F314" s="4">
        <f t="shared" si="24"/>
        <v>42.11999999999999</v>
      </c>
      <c r="G314" s="5">
        <f t="shared" si="25"/>
        <v>0.27835051546391748</v>
      </c>
      <c r="H314" s="2" t="s">
        <v>357</v>
      </c>
      <c r="I314" s="6" t="s">
        <v>32</v>
      </c>
      <c r="J314" s="2" t="s">
        <v>358</v>
      </c>
      <c r="K314" s="2" t="s">
        <v>359</v>
      </c>
      <c r="L314" s="2" t="s">
        <v>28</v>
      </c>
      <c r="M314" s="2" t="s">
        <v>5</v>
      </c>
      <c r="N314" s="4">
        <v>17654.8</v>
      </c>
    </row>
    <row r="315" spans="1:14" x14ac:dyDescent="0.25">
      <c r="A315" s="2" t="s">
        <v>394</v>
      </c>
      <c r="B315" s="2" t="s">
        <v>395</v>
      </c>
      <c r="C315" s="3">
        <v>195.2</v>
      </c>
      <c r="D315" s="4">
        <v>3177.8560000000002</v>
      </c>
      <c r="E315" s="4">
        <v>3220.8</v>
      </c>
      <c r="F315" s="4">
        <f t="shared" si="24"/>
        <v>-42.94399999999996</v>
      </c>
      <c r="G315" s="5">
        <f t="shared" si="25"/>
        <v>-1.35135135135135E-2</v>
      </c>
      <c r="H315" s="2" t="s">
        <v>352</v>
      </c>
      <c r="I315" s="6" t="s">
        <v>39</v>
      </c>
      <c r="J315" s="2" t="s">
        <v>353</v>
      </c>
      <c r="K315" s="2" t="s">
        <v>354</v>
      </c>
      <c r="L315" s="2" t="s">
        <v>28</v>
      </c>
      <c r="M315" s="2" t="s">
        <v>5</v>
      </c>
      <c r="N315" s="4">
        <v>15963.52</v>
      </c>
    </row>
    <row r="316" spans="1:14" x14ac:dyDescent="0.25">
      <c r="A316" s="2" t="s">
        <v>396</v>
      </c>
      <c r="B316" s="2" t="s">
        <v>397</v>
      </c>
      <c r="C316" s="3">
        <v>10.58</v>
      </c>
      <c r="D316" s="4">
        <v>126.7484</v>
      </c>
      <c r="E316" s="4">
        <v>89.506799999999998</v>
      </c>
      <c r="F316" s="4">
        <f t="shared" si="24"/>
        <v>37.241600000000005</v>
      </c>
      <c r="G316" s="5">
        <f t="shared" si="25"/>
        <v>0.29382303839732893</v>
      </c>
      <c r="H316" s="2" t="s">
        <v>357</v>
      </c>
      <c r="I316" s="6" t="s">
        <v>32</v>
      </c>
      <c r="J316" s="2" t="s">
        <v>358</v>
      </c>
      <c r="K316" s="2" t="s">
        <v>359</v>
      </c>
      <c r="L316" s="2" t="s">
        <v>28</v>
      </c>
      <c r="M316" s="2" t="s">
        <v>5</v>
      </c>
      <c r="N316" s="4">
        <v>17654.8</v>
      </c>
    </row>
    <row r="317" spans="1:14" x14ac:dyDescent="0.25">
      <c r="A317" s="2" t="s">
        <v>396</v>
      </c>
      <c r="B317" s="2" t="s">
        <v>397</v>
      </c>
      <c r="C317" s="3">
        <v>10.3</v>
      </c>
      <c r="D317" s="4">
        <v>123.39400000000001</v>
      </c>
      <c r="E317" s="4">
        <v>87.138000000000005</v>
      </c>
      <c r="F317" s="4">
        <f t="shared" si="24"/>
        <v>36.256</v>
      </c>
      <c r="G317" s="5">
        <f t="shared" si="25"/>
        <v>0.29382303839732887</v>
      </c>
      <c r="H317" s="2" t="s">
        <v>352</v>
      </c>
      <c r="I317" s="6" t="s">
        <v>39</v>
      </c>
      <c r="J317" s="2" t="s">
        <v>353</v>
      </c>
      <c r="K317" s="2" t="s">
        <v>354</v>
      </c>
      <c r="L317" s="2" t="s">
        <v>28</v>
      </c>
      <c r="M317" s="2" t="s">
        <v>5</v>
      </c>
      <c r="N317" s="4">
        <v>15963.52</v>
      </c>
    </row>
    <row r="318" spans="1:14" x14ac:dyDescent="0.25">
      <c r="A318" s="2" t="s">
        <v>398</v>
      </c>
      <c r="B318" s="2" t="s">
        <v>399</v>
      </c>
      <c r="C318" s="3">
        <v>158.01</v>
      </c>
      <c r="D318" s="4">
        <v>2365.4097000000002</v>
      </c>
      <c r="E318" s="4">
        <v>1722.309</v>
      </c>
      <c r="F318" s="4">
        <f t="shared" si="24"/>
        <v>643.10070000000019</v>
      </c>
      <c r="G318" s="5">
        <f t="shared" si="25"/>
        <v>0.2718770875083501</v>
      </c>
      <c r="H318" s="2" t="s">
        <v>357</v>
      </c>
      <c r="I318" s="6" t="s">
        <v>32</v>
      </c>
      <c r="J318" s="2" t="s">
        <v>358</v>
      </c>
      <c r="K318" s="2" t="s">
        <v>359</v>
      </c>
      <c r="L318" s="2" t="s">
        <v>28</v>
      </c>
      <c r="M318" s="2" t="s">
        <v>5</v>
      </c>
      <c r="N318" s="4">
        <v>17654.8</v>
      </c>
    </row>
    <row r="319" spans="1:14" x14ac:dyDescent="0.25">
      <c r="A319" s="2" t="s">
        <v>398</v>
      </c>
      <c r="B319" s="2" t="s">
        <v>399</v>
      </c>
      <c r="C319" s="3">
        <v>139.47999999999999</v>
      </c>
      <c r="D319" s="4">
        <v>2088.0156000000002</v>
      </c>
      <c r="E319" s="4">
        <v>1520.3320000000001</v>
      </c>
      <c r="F319" s="4">
        <f t="shared" si="24"/>
        <v>567.68360000000007</v>
      </c>
      <c r="G319" s="5">
        <f t="shared" si="25"/>
        <v>0.27187708750835005</v>
      </c>
      <c r="H319" s="2" t="s">
        <v>352</v>
      </c>
      <c r="I319" s="6" t="s">
        <v>39</v>
      </c>
      <c r="J319" s="2" t="s">
        <v>353</v>
      </c>
      <c r="K319" s="2" t="s">
        <v>354</v>
      </c>
      <c r="L319" s="2" t="s">
        <v>28</v>
      </c>
      <c r="M319" s="2" t="s">
        <v>5</v>
      </c>
      <c r="N319" s="4">
        <v>15963.52</v>
      </c>
    </row>
    <row r="320" spans="1:14" x14ac:dyDescent="0.25">
      <c r="A320" s="2" t="s">
        <v>400</v>
      </c>
      <c r="B320" s="2" t="s">
        <v>401</v>
      </c>
      <c r="C320" s="3">
        <v>61.09</v>
      </c>
      <c r="D320" s="4">
        <v>731.85820000000001</v>
      </c>
      <c r="E320" s="4">
        <v>494.82900000000001</v>
      </c>
      <c r="F320" s="4">
        <f t="shared" si="24"/>
        <v>237.0292</v>
      </c>
      <c r="G320" s="5">
        <f t="shared" si="25"/>
        <v>0.32387312186978295</v>
      </c>
      <c r="H320" s="2" t="s">
        <v>357</v>
      </c>
      <c r="I320" s="6" t="s">
        <v>32</v>
      </c>
      <c r="J320" s="2" t="s">
        <v>358</v>
      </c>
      <c r="K320" s="2" t="s">
        <v>359</v>
      </c>
      <c r="L320" s="2" t="s">
        <v>28</v>
      </c>
      <c r="M320" s="2" t="s">
        <v>5</v>
      </c>
      <c r="N320" s="4">
        <v>17654.8</v>
      </c>
    </row>
    <row r="321" spans="1:14" x14ac:dyDescent="0.25">
      <c r="A321" s="2" t="s">
        <v>402</v>
      </c>
      <c r="B321" s="2" t="s">
        <v>403</v>
      </c>
      <c r="C321" s="3">
        <v>14.23</v>
      </c>
      <c r="D321" s="4">
        <v>133.762</v>
      </c>
      <c r="E321" s="4">
        <v>103.879</v>
      </c>
      <c r="F321" s="4">
        <f t="shared" si="24"/>
        <v>29.882999999999996</v>
      </c>
      <c r="G321" s="5">
        <f t="shared" si="25"/>
        <v>0.2234042553191489</v>
      </c>
      <c r="H321" s="2" t="s">
        <v>352</v>
      </c>
      <c r="I321" s="6" t="s">
        <v>39</v>
      </c>
      <c r="J321" s="2" t="s">
        <v>353</v>
      </c>
      <c r="K321" s="2" t="s">
        <v>354</v>
      </c>
      <c r="L321" s="2" t="s">
        <v>28</v>
      </c>
      <c r="M321" s="2" t="s">
        <v>5</v>
      </c>
      <c r="N321" s="4">
        <v>15963.52</v>
      </c>
    </row>
    <row r="322" spans="1:14" x14ac:dyDescent="0.25">
      <c r="A322" s="2" t="s">
        <v>404</v>
      </c>
      <c r="B322" s="2" t="s">
        <v>405</v>
      </c>
      <c r="C322" s="3">
        <v>30.32</v>
      </c>
      <c r="D322" s="4">
        <v>243.77279999999999</v>
      </c>
      <c r="E322" s="4">
        <v>215.27199999999999</v>
      </c>
      <c r="F322" s="4">
        <f t="shared" si="24"/>
        <v>28.500799999999998</v>
      </c>
      <c r="G322" s="5">
        <f t="shared" si="25"/>
        <v>0.11691542288557213</v>
      </c>
      <c r="H322" s="2" t="s">
        <v>357</v>
      </c>
      <c r="I322" s="6" t="s">
        <v>32</v>
      </c>
      <c r="J322" s="2" t="s">
        <v>358</v>
      </c>
      <c r="K322" s="2" t="s">
        <v>359</v>
      </c>
      <c r="L322" s="2" t="s">
        <v>28</v>
      </c>
      <c r="M322" s="2" t="s">
        <v>5</v>
      </c>
      <c r="N322" s="4">
        <v>17654.8</v>
      </c>
    </row>
    <row r="323" spans="1:14" x14ac:dyDescent="0.25">
      <c r="A323" s="2" t="s">
        <v>404</v>
      </c>
      <c r="B323" s="2" t="s">
        <v>405</v>
      </c>
      <c r="C323" s="3">
        <v>15.55</v>
      </c>
      <c r="D323" s="4">
        <v>125.02200000000001</v>
      </c>
      <c r="E323" s="4">
        <v>110.405</v>
      </c>
      <c r="F323" s="4">
        <f t="shared" si="24"/>
        <v>14.617000000000004</v>
      </c>
      <c r="G323" s="5">
        <f t="shared" si="25"/>
        <v>0.11691542288557218</v>
      </c>
      <c r="H323" s="2" t="s">
        <v>352</v>
      </c>
      <c r="I323" s="6" t="s">
        <v>39</v>
      </c>
      <c r="J323" s="2" t="s">
        <v>353</v>
      </c>
      <c r="K323" s="2" t="s">
        <v>354</v>
      </c>
      <c r="L323" s="2" t="s">
        <v>28</v>
      </c>
      <c r="M323" s="2" t="s">
        <v>5</v>
      </c>
      <c r="N323" s="4">
        <v>15963.52</v>
      </c>
    </row>
    <row r="324" spans="1:14" x14ac:dyDescent="0.25">
      <c r="A324" s="2" t="s">
        <v>406</v>
      </c>
      <c r="B324" s="2" t="s">
        <v>407</v>
      </c>
      <c r="C324" s="3">
        <v>19.899999999999999</v>
      </c>
      <c r="D324" s="4">
        <v>218.50200000000001</v>
      </c>
      <c r="E324" s="4">
        <v>149.25</v>
      </c>
      <c r="F324" s="4">
        <f t="shared" si="24"/>
        <v>69.25200000000001</v>
      </c>
      <c r="G324" s="5">
        <f t="shared" si="25"/>
        <v>0.31693989071038253</v>
      </c>
      <c r="H324" s="2" t="s">
        <v>357</v>
      </c>
      <c r="I324" s="6" t="s">
        <v>32</v>
      </c>
      <c r="J324" s="2" t="s">
        <v>358</v>
      </c>
      <c r="K324" s="2" t="s">
        <v>359</v>
      </c>
      <c r="L324" s="2" t="s">
        <v>28</v>
      </c>
      <c r="M324" s="2" t="s">
        <v>5</v>
      </c>
      <c r="N324" s="4">
        <v>17654.8</v>
      </c>
    </row>
    <row r="325" spans="1:14" x14ac:dyDescent="0.25">
      <c r="A325" s="2" t="s">
        <v>408</v>
      </c>
      <c r="B325" s="2" t="s">
        <v>409</v>
      </c>
      <c r="C325" s="3">
        <v>224.39400000000001</v>
      </c>
      <c r="D325" s="4">
        <v>3949.3344000000002</v>
      </c>
      <c r="E325" s="4">
        <v>3085.4175</v>
      </c>
      <c r="F325" s="4">
        <f t="shared" si="24"/>
        <v>863.91690000000017</v>
      </c>
      <c r="G325" s="5">
        <f t="shared" si="25"/>
        <v>0.21875000000000003</v>
      </c>
      <c r="H325" s="2" t="s">
        <v>357</v>
      </c>
      <c r="I325" s="6" t="s">
        <v>32</v>
      </c>
      <c r="J325" s="2" t="s">
        <v>358</v>
      </c>
      <c r="K325" s="2" t="s">
        <v>359</v>
      </c>
      <c r="L325" s="2" t="s">
        <v>28</v>
      </c>
      <c r="M325" s="2" t="s">
        <v>5</v>
      </c>
      <c r="N325" s="4">
        <v>17654.8</v>
      </c>
    </row>
    <row r="326" spans="1:14" x14ac:dyDescent="0.25">
      <c r="A326" s="2" t="s">
        <v>408</v>
      </c>
      <c r="B326" s="2" t="s">
        <v>409</v>
      </c>
      <c r="C326" s="3">
        <v>15.48</v>
      </c>
      <c r="D326" s="4">
        <v>272.44799999999998</v>
      </c>
      <c r="E326" s="4">
        <v>212.85</v>
      </c>
      <c r="F326" s="4">
        <f t="shared" si="24"/>
        <v>59.597999999999985</v>
      </c>
      <c r="G326" s="5">
        <f t="shared" si="25"/>
        <v>0.21874999999999997</v>
      </c>
      <c r="H326" s="2" t="s">
        <v>352</v>
      </c>
      <c r="I326" s="6" t="s">
        <v>39</v>
      </c>
      <c r="J326" s="2" t="s">
        <v>353</v>
      </c>
      <c r="K326" s="2" t="s">
        <v>354</v>
      </c>
      <c r="L326" s="2" t="s">
        <v>28</v>
      </c>
      <c r="M326" s="2" t="s">
        <v>5</v>
      </c>
      <c r="N326" s="4">
        <v>15963.52</v>
      </c>
    </row>
    <row r="327" spans="1:14" x14ac:dyDescent="0.25">
      <c r="A327" s="2" t="s">
        <v>410</v>
      </c>
      <c r="B327" s="2" t="s">
        <v>411</v>
      </c>
      <c r="C327" s="3">
        <v>4</v>
      </c>
      <c r="D327" s="4">
        <v>84.24</v>
      </c>
      <c r="E327" s="4">
        <v>65.92</v>
      </c>
      <c r="F327" s="4">
        <f t="shared" si="24"/>
        <v>18.319999999999993</v>
      </c>
      <c r="G327" s="5">
        <f t="shared" si="25"/>
        <v>0.21747388414055074</v>
      </c>
      <c r="H327" s="2" t="s">
        <v>352</v>
      </c>
      <c r="I327" s="6" t="s">
        <v>39</v>
      </c>
      <c r="J327" s="2" t="s">
        <v>353</v>
      </c>
      <c r="K327" s="2" t="s">
        <v>354</v>
      </c>
      <c r="L327" s="2" t="s">
        <v>28</v>
      </c>
      <c r="M327" s="2" t="s">
        <v>5</v>
      </c>
      <c r="N327" s="4">
        <v>15963.52</v>
      </c>
    </row>
    <row r="328" spans="1:14" x14ac:dyDescent="0.25">
      <c r="A328" s="2" t="s">
        <v>410</v>
      </c>
      <c r="B328" s="2" t="s">
        <v>411</v>
      </c>
      <c r="C328" s="3">
        <v>8</v>
      </c>
      <c r="D328" s="4">
        <v>168.48</v>
      </c>
      <c r="E328" s="4">
        <v>131.84</v>
      </c>
      <c r="F328" s="4">
        <f t="shared" si="24"/>
        <v>36.639999999999986</v>
      </c>
      <c r="G328" s="5">
        <f t="shared" si="25"/>
        <v>0.21747388414055074</v>
      </c>
      <c r="H328" s="2" t="s">
        <v>357</v>
      </c>
      <c r="I328" s="6" t="s">
        <v>32</v>
      </c>
      <c r="J328" s="2" t="s">
        <v>358</v>
      </c>
      <c r="K328" s="2" t="s">
        <v>359</v>
      </c>
      <c r="L328" s="2" t="s">
        <v>28</v>
      </c>
      <c r="M328" s="2" t="s">
        <v>5</v>
      </c>
      <c r="N328" s="4">
        <v>17654.8</v>
      </c>
    </row>
    <row r="329" spans="1:14" x14ac:dyDescent="0.25">
      <c r="A329" s="2" t="s">
        <v>412</v>
      </c>
      <c r="B329" s="2" t="s">
        <v>413</v>
      </c>
      <c r="C329" s="3">
        <v>4</v>
      </c>
      <c r="D329" s="4">
        <v>84.68</v>
      </c>
      <c r="E329" s="4">
        <v>64.56</v>
      </c>
      <c r="F329" s="4">
        <f t="shared" si="24"/>
        <v>20.120000000000005</v>
      </c>
      <c r="G329" s="5">
        <f t="shared" si="25"/>
        <v>0.2376003778932452</v>
      </c>
      <c r="H329" s="2" t="s">
        <v>352</v>
      </c>
      <c r="I329" s="6" t="s">
        <v>39</v>
      </c>
      <c r="J329" s="2" t="s">
        <v>353</v>
      </c>
      <c r="K329" s="2" t="s">
        <v>354</v>
      </c>
      <c r="L329" s="2" t="s">
        <v>28</v>
      </c>
      <c r="M329" s="2" t="s">
        <v>5</v>
      </c>
      <c r="N329" s="4">
        <v>15963.52</v>
      </c>
    </row>
    <row r="330" spans="1:14" x14ac:dyDescent="0.25">
      <c r="A330" s="2" t="s">
        <v>412</v>
      </c>
      <c r="B330" s="2" t="s">
        <v>413</v>
      </c>
      <c r="C330" s="3">
        <v>8</v>
      </c>
      <c r="D330" s="4">
        <v>169.36</v>
      </c>
      <c r="E330" s="4">
        <v>129.12</v>
      </c>
      <c r="F330" s="4">
        <f t="shared" si="24"/>
        <v>40.240000000000009</v>
      </c>
      <c r="G330" s="5">
        <f t="shared" si="25"/>
        <v>0.2376003778932452</v>
      </c>
      <c r="H330" s="2" t="s">
        <v>357</v>
      </c>
      <c r="I330" s="6" t="s">
        <v>32</v>
      </c>
      <c r="J330" s="2" t="s">
        <v>358</v>
      </c>
      <c r="K330" s="2" t="s">
        <v>359</v>
      </c>
      <c r="L330" s="2" t="s">
        <v>28</v>
      </c>
      <c r="M330" s="2" t="s">
        <v>5</v>
      </c>
      <c r="N330" s="4">
        <v>17654.8</v>
      </c>
    </row>
    <row r="331" spans="1:14" x14ac:dyDescent="0.25">
      <c r="A331" s="2" t="s">
        <v>414</v>
      </c>
      <c r="B331" s="2" t="s">
        <v>415</v>
      </c>
      <c r="C331" s="3">
        <v>21.7</v>
      </c>
      <c r="D331" s="4">
        <v>262.13600000000002</v>
      </c>
      <c r="E331" s="4">
        <v>184.45</v>
      </c>
      <c r="F331" s="4">
        <f t="shared" si="24"/>
        <v>77.686000000000035</v>
      </c>
      <c r="G331" s="5">
        <f t="shared" si="25"/>
        <v>0.29635761589403986</v>
      </c>
      <c r="H331" s="2" t="s">
        <v>357</v>
      </c>
      <c r="I331" s="6" t="s">
        <v>32</v>
      </c>
      <c r="J331" s="2" t="s">
        <v>358</v>
      </c>
      <c r="K331" s="2" t="s">
        <v>359</v>
      </c>
      <c r="L331" s="2" t="s">
        <v>28</v>
      </c>
      <c r="M331" s="2" t="s">
        <v>5</v>
      </c>
      <c r="N331" s="4">
        <v>17654.8</v>
      </c>
    </row>
    <row r="332" spans="1:14" x14ac:dyDescent="0.25">
      <c r="A332" s="2" t="s">
        <v>414</v>
      </c>
      <c r="B332" s="2" t="s">
        <v>415</v>
      </c>
      <c r="C332" s="3">
        <v>22.8</v>
      </c>
      <c r="D332" s="4">
        <v>275.42399999999998</v>
      </c>
      <c r="E332" s="4">
        <v>193.8</v>
      </c>
      <c r="F332" s="4">
        <f t="shared" si="24"/>
        <v>81.623999999999967</v>
      </c>
      <c r="G332" s="5">
        <f t="shared" si="25"/>
        <v>0.29635761589403964</v>
      </c>
      <c r="H332" s="2" t="s">
        <v>352</v>
      </c>
      <c r="I332" s="6" t="s">
        <v>39</v>
      </c>
      <c r="J332" s="2" t="s">
        <v>353</v>
      </c>
      <c r="K332" s="2" t="s">
        <v>354</v>
      </c>
      <c r="L332" s="2" t="s">
        <v>28</v>
      </c>
      <c r="M332" s="2" t="s">
        <v>5</v>
      </c>
      <c r="N332" s="4">
        <v>15963.52</v>
      </c>
    </row>
    <row r="333" spans="1:14" x14ac:dyDescent="0.25">
      <c r="A333" s="2" t="s">
        <v>416</v>
      </c>
      <c r="B333" s="2" t="s">
        <v>417</v>
      </c>
      <c r="C333" s="3">
        <v>14.37</v>
      </c>
      <c r="D333" s="4">
        <v>134.3595</v>
      </c>
      <c r="E333" s="4">
        <v>107.77500000000001</v>
      </c>
      <c r="F333" s="4">
        <f t="shared" si="24"/>
        <v>26.584499999999991</v>
      </c>
      <c r="G333" s="5">
        <f t="shared" si="25"/>
        <v>0.19786096256684485</v>
      </c>
      <c r="H333" s="2" t="s">
        <v>357</v>
      </c>
      <c r="I333" s="6" t="s">
        <v>32</v>
      </c>
      <c r="J333" s="2" t="s">
        <v>358</v>
      </c>
      <c r="K333" s="2" t="s">
        <v>359</v>
      </c>
      <c r="L333" s="2" t="s">
        <v>28</v>
      </c>
      <c r="M333" s="2" t="s">
        <v>5</v>
      </c>
      <c r="N333" s="4">
        <v>17654.8</v>
      </c>
    </row>
    <row r="334" spans="1:14" x14ac:dyDescent="0.25">
      <c r="A334" s="2" t="s">
        <v>418</v>
      </c>
      <c r="B334" s="2" t="s">
        <v>419</v>
      </c>
      <c r="C334" s="3">
        <v>27.72</v>
      </c>
      <c r="D334" s="4">
        <v>259.18200000000002</v>
      </c>
      <c r="E334" s="4">
        <v>263.33999999999997</v>
      </c>
      <c r="F334" s="4">
        <f t="shared" si="24"/>
        <v>-4.1579999999999586</v>
      </c>
      <c r="G334" s="5">
        <f t="shared" si="25"/>
        <v>-1.604278074866294E-2</v>
      </c>
      <c r="H334" s="2" t="s">
        <v>357</v>
      </c>
      <c r="I334" s="6" t="s">
        <v>32</v>
      </c>
      <c r="J334" s="2" t="s">
        <v>358</v>
      </c>
      <c r="K334" s="2" t="s">
        <v>359</v>
      </c>
      <c r="L334" s="2" t="s">
        <v>28</v>
      </c>
      <c r="M334" s="2" t="s">
        <v>5</v>
      </c>
      <c r="N334" s="4">
        <v>17654.8</v>
      </c>
    </row>
    <row r="335" spans="1:14" x14ac:dyDescent="0.25">
      <c r="A335" s="2" t="s">
        <v>418</v>
      </c>
      <c r="B335" s="2" t="s">
        <v>419</v>
      </c>
      <c r="C335" s="3">
        <v>27.684999999999999</v>
      </c>
      <c r="D335" s="4">
        <v>258.85475000000002</v>
      </c>
      <c r="E335" s="4">
        <v>263.00749999999999</v>
      </c>
      <c r="F335" s="4">
        <f t="shared" si="24"/>
        <v>-4.1527499999999691</v>
      </c>
      <c r="G335" s="5">
        <f t="shared" si="25"/>
        <v>-1.6042780748662982E-2</v>
      </c>
      <c r="H335" s="2" t="s">
        <v>352</v>
      </c>
      <c r="I335" s="6" t="s">
        <v>39</v>
      </c>
      <c r="J335" s="2" t="s">
        <v>353</v>
      </c>
      <c r="K335" s="2" t="s">
        <v>354</v>
      </c>
      <c r="L335" s="2" t="s">
        <v>28</v>
      </c>
      <c r="M335" s="2" t="s">
        <v>5</v>
      </c>
      <c r="N335" s="4">
        <v>15963.52</v>
      </c>
    </row>
    <row r="336" spans="1:14" x14ac:dyDescent="0.25">
      <c r="A336" s="2" t="s">
        <v>420</v>
      </c>
      <c r="B336" s="2" t="s">
        <v>421</v>
      </c>
      <c r="C336" s="3">
        <v>4</v>
      </c>
      <c r="D336" s="4">
        <v>51.56</v>
      </c>
      <c r="E336" s="4">
        <v>35.72</v>
      </c>
      <c r="F336" s="4">
        <f t="shared" si="24"/>
        <v>15.840000000000003</v>
      </c>
      <c r="G336" s="5">
        <f t="shared" si="25"/>
        <v>0.30721489526764939</v>
      </c>
      <c r="H336" s="2" t="s">
        <v>352</v>
      </c>
      <c r="I336" s="6" t="s">
        <v>39</v>
      </c>
      <c r="J336" s="2" t="s">
        <v>353</v>
      </c>
      <c r="K336" s="2" t="s">
        <v>354</v>
      </c>
      <c r="L336" s="2" t="s">
        <v>28</v>
      </c>
      <c r="M336" s="2" t="s">
        <v>5</v>
      </c>
      <c r="N336" s="4">
        <v>15963.52</v>
      </c>
    </row>
    <row r="338" spans="1:14" x14ac:dyDescent="0.25">
      <c r="A338" s="13" t="s">
        <v>59</v>
      </c>
      <c r="B338" s="21"/>
      <c r="C338" s="22">
        <f>SUM(C278:C337)</f>
        <v>2730.190000000001</v>
      </c>
      <c r="D338" s="23">
        <f>SUM(D278:D337)</f>
        <v>33618.318929999994</v>
      </c>
      <c r="E338" s="23">
        <f>SUM(E278:E337)</f>
        <v>24706.469799999999</v>
      </c>
      <c r="F338" s="23">
        <f>D338-E338</f>
        <v>8911.8491299999951</v>
      </c>
      <c r="G338" s="24">
        <f>IF(((D338)=0),0,(D338-E338)/ D338)</f>
        <v>0.26508907683802491</v>
      </c>
      <c r="H338" s="21"/>
      <c r="I338" s="21"/>
      <c r="J338" s="21"/>
      <c r="K338" s="21"/>
      <c r="L338" s="21"/>
      <c r="M338" s="21"/>
      <c r="N338" s="21"/>
    </row>
    <row r="340" spans="1:14" s="17" customFormat="1" ht="18.75" x14ac:dyDescent="0.3"/>
    <row r="341" spans="1:14" s="7" customFormat="1" x14ac:dyDescent="0.25">
      <c r="A341" s="13" t="s">
        <v>422</v>
      </c>
      <c r="B341" s="18" t="s">
        <v>423</v>
      </c>
      <c r="C341" s="19"/>
      <c r="D341" s="20" t="s">
        <v>5</v>
      </c>
      <c r="E341" s="19"/>
      <c r="F341" s="19"/>
      <c r="G341" s="19"/>
      <c r="H341" s="19"/>
      <c r="I341" s="19"/>
      <c r="J341" s="19"/>
      <c r="K341" s="19"/>
      <c r="L341" s="19"/>
      <c r="M341" s="19"/>
      <c r="N341" s="19"/>
    </row>
    <row r="343" spans="1:14" x14ac:dyDescent="0.25">
      <c r="A343" s="2" t="s">
        <v>350</v>
      </c>
      <c r="B343" s="2" t="s">
        <v>351</v>
      </c>
      <c r="C343" s="3">
        <v>12</v>
      </c>
      <c r="D343" s="4">
        <v>133.68</v>
      </c>
      <c r="E343" s="4">
        <v>86.4</v>
      </c>
      <c r="F343" s="4">
        <f t="shared" ref="F343:F374" si="26">D343-E343</f>
        <v>47.28</v>
      </c>
      <c r="G343" s="5">
        <f t="shared" ref="G343:G374" si="27">IF(((D343)=0),0,(D343-E343)/ D343)</f>
        <v>0.35368043087971274</v>
      </c>
      <c r="H343" s="2" t="s">
        <v>424</v>
      </c>
      <c r="I343" s="6" t="s">
        <v>74</v>
      </c>
      <c r="J343" s="2" t="s">
        <v>425</v>
      </c>
      <c r="K343" s="2" t="s">
        <v>426</v>
      </c>
      <c r="L343" s="2" t="s">
        <v>28</v>
      </c>
      <c r="M343" s="2" t="s">
        <v>5</v>
      </c>
      <c r="N343" s="4">
        <v>6228.09</v>
      </c>
    </row>
    <row r="344" spans="1:14" x14ac:dyDescent="0.25">
      <c r="A344" s="2" t="s">
        <v>350</v>
      </c>
      <c r="B344" s="2" t="s">
        <v>351</v>
      </c>
      <c r="C344" s="3">
        <v>12</v>
      </c>
      <c r="D344" s="4">
        <v>133.68</v>
      </c>
      <c r="E344" s="4">
        <v>86.4</v>
      </c>
      <c r="F344" s="4">
        <f t="shared" si="26"/>
        <v>47.28</v>
      </c>
      <c r="G344" s="5">
        <f t="shared" si="27"/>
        <v>0.35368043087971274</v>
      </c>
      <c r="H344" s="2" t="s">
        <v>427</v>
      </c>
      <c r="I344" s="6" t="s">
        <v>39</v>
      </c>
      <c r="J344" s="2" t="s">
        <v>428</v>
      </c>
      <c r="K344" s="2" t="s">
        <v>429</v>
      </c>
      <c r="L344" s="2" t="s">
        <v>28</v>
      </c>
      <c r="M344" s="2" t="s">
        <v>5</v>
      </c>
      <c r="N344" s="4">
        <v>6511.54</v>
      </c>
    </row>
    <row r="345" spans="1:14" x14ac:dyDescent="0.25">
      <c r="A345" s="2" t="s">
        <v>355</v>
      </c>
      <c r="B345" s="2" t="s">
        <v>356</v>
      </c>
      <c r="C345" s="3">
        <v>50</v>
      </c>
      <c r="D345" s="4">
        <v>714.5</v>
      </c>
      <c r="E345" s="4">
        <v>500</v>
      </c>
      <c r="F345" s="4">
        <f t="shared" si="26"/>
        <v>214.5</v>
      </c>
      <c r="G345" s="5">
        <f t="shared" si="27"/>
        <v>0.30020993701889431</v>
      </c>
      <c r="H345" s="2" t="s">
        <v>424</v>
      </c>
      <c r="I345" s="6" t="s">
        <v>74</v>
      </c>
      <c r="J345" s="2" t="s">
        <v>425</v>
      </c>
      <c r="K345" s="2" t="s">
        <v>426</v>
      </c>
      <c r="L345" s="2" t="s">
        <v>28</v>
      </c>
      <c r="M345" s="2" t="s">
        <v>5</v>
      </c>
      <c r="N345" s="4">
        <v>6228.09</v>
      </c>
    </row>
    <row r="346" spans="1:14" x14ac:dyDescent="0.25">
      <c r="A346" s="2" t="s">
        <v>355</v>
      </c>
      <c r="B346" s="2" t="s">
        <v>356</v>
      </c>
      <c r="C346" s="3">
        <v>25</v>
      </c>
      <c r="D346" s="4">
        <v>357.25</v>
      </c>
      <c r="E346" s="4">
        <v>250</v>
      </c>
      <c r="F346" s="4">
        <f t="shared" si="26"/>
        <v>107.25</v>
      </c>
      <c r="G346" s="5">
        <f t="shared" si="27"/>
        <v>0.30020993701889431</v>
      </c>
      <c r="H346" s="2" t="s">
        <v>427</v>
      </c>
      <c r="I346" s="6" t="s">
        <v>39</v>
      </c>
      <c r="J346" s="2" t="s">
        <v>428</v>
      </c>
      <c r="K346" s="2" t="s">
        <v>429</v>
      </c>
      <c r="L346" s="2" t="s">
        <v>28</v>
      </c>
      <c r="M346" s="2" t="s">
        <v>5</v>
      </c>
      <c r="N346" s="4">
        <v>6511.54</v>
      </c>
    </row>
    <row r="347" spans="1:14" x14ac:dyDescent="0.25">
      <c r="A347" s="2" t="s">
        <v>355</v>
      </c>
      <c r="B347" s="2" t="s">
        <v>356</v>
      </c>
      <c r="C347" s="3">
        <v>50</v>
      </c>
      <c r="D347" s="4">
        <v>714.5</v>
      </c>
      <c r="E347" s="4">
        <v>500</v>
      </c>
      <c r="F347" s="4">
        <f t="shared" si="26"/>
        <v>214.5</v>
      </c>
      <c r="G347" s="5">
        <f t="shared" si="27"/>
        <v>0.30020993701889431</v>
      </c>
      <c r="H347" s="2" t="s">
        <v>430</v>
      </c>
      <c r="I347" s="6" t="s">
        <v>74</v>
      </c>
      <c r="J347" s="2" t="s">
        <v>431</v>
      </c>
      <c r="K347" s="2" t="s">
        <v>432</v>
      </c>
      <c r="L347" s="2" t="s">
        <v>28</v>
      </c>
      <c r="M347" s="2" t="s">
        <v>5</v>
      </c>
      <c r="N347" s="4">
        <v>5807.29</v>
      </c>
    </row>
    <row r="348" spans="1:14" x14ac:dyDescent="0.25">
      <c r="A348" s="2" t="s">
        <v>355</v>
      </c>
      <c r="B348" s="2" t="s">
        <v>356</v>
      </c>
      <c r="C348" s="3">
        <v>50</v>
      </c>
      <c r="D348" s="4">
        <v>714.5</v>
      </c>
      <c r="E348" s="4">
        <v>500</v>
      </c>
      <c r="F348" s="4">
        <f t="shared" si="26"/>
        <v>214.5</v>
      </c>
      <c r="G348" s="5">
        <f t="shared" si="27"/>
        <v>0.30020993701889431</v>
      </c>
      <c r="H348" s="2" t="s">
        <v>433</v>
      </c>
      <c r="I348" s="6" t="s">
        <v>32</v>
      </c>
      <c r="J348" s="2" t="s">
        <v>434</v>
      </c>
      <c r="K348" s="2" t="s">
        <v>435</v>
      </c>
      <c r="L348" s="2" t="s">
        <v>28</v>
      </c>
      <c r="M348" s="2" t="s">
        <v>5</v>
      </c>
      <c r="N348" s="4">
        <v>6085.6</v>
      </c>
    </row>
    <row r="349" spans="1:14" x14ac:dyDescent="0.25">
      <c r="A349" s="2" t="s">
        <v>360</v>
      </c>
      <c r="B349" s="2" t="s">
        <v>361</v>
      </c>
      <c r="C349" s="3">
        <v>15.34</v>
      </c>
      <c r="D349" s="4">
        <v>252.95660000000001</v>
      </c>
      <c r="E349" s="4">
        <v>181.012</v>
      </c>
      <c r="F349" s="4">
        <f t="shared" si="26"/>
        <v>71.944600000000008</v>
      </c>
      <c r="G349" s="5">
        <f t="shared" si="27"/>
        <v>0.28441479684657373</v>
      </c>
      <c r="H349" s="2" t="s">
        <v>424</v>
      </c>
      <c r="I349" s="6" t="s">
        <v>74</v>
      </c>
      <c r="J349" s="2" t="s">
        <v>425</v>
      </c>
      <c r="K349" s="2" t="s">
        <v>426</v>
      </c>
      <c r="L349" s="2" t="s">
        <v>28</v>
      </c>
      <c r="M349" s="2" t="s">
        <v>5</v>
      </c>
      <c r="N349" s="4">
        <v>6228.09</v>
      </c>
    </row>
    <row r="350" spans="1:14" x14ac:dyDescent="0.25">
      <c r="A350" s="2" t="s">
        <v>360</v>
      </c>
      <c r="B350" s="2" t="s">
        <v>361</v>
      </c>
      <c r="C350" s="3">
        <v>30.53</v>
      </c>
      <c r="D350" s="4">
        <v>503.43970000000002</v>
      </c>
      <c r="E350" s="4">
        <v>360.25400000000002</v>
      </c>
      <c r="F350" s="4">
        <f t="shared" si="26"/>
        <v>143.1857</v>
      </c>
      <c r="G350" s="5">
        <f t="shared" si="27"/>
        <v>0.28441479684657367</v>
      </c>
      <c r="H350" s="2" t="s">
        <v>433</v>
      </c>
      <c r="I350" s="6" t="s">
        <v>32</v>
      </c>
      <c r="J350" s="2" t="s">
        <v>434</v>
      </c>
      <c r="K350" s="2" t="s">
        <v>435</v>
      </c>
      <c r="L350" s="2" t="s">
        <v>28</v>
      </c>
      <c r="M350" s="2" t="s">
        <v>5</v>
      </c>
      <c r="N350" s="4">
        <v>6085.6</v>
      </c>
    </row>
    <row r="351" spans="1:14" x14ac:dyDescent="0.25">
      <c r="A351" s="2" t="s">
        <v>360</v>
      </c>
      <c r="B351" s="2" t="s">
        <v>361</v>
      </c>
      <c r="C351" s="3">
        <v>30.46</v>
      </c>
      <c r="D351" s="4">
        <v>502.28539999999998</v>
      </c>
      <c r="E351" s="4">
        <v>359.428</v>
      </c>
      <c r="F351" s="4">
        <f t="shared" si="26"/>
        <v>142.85739999999998</v>
      </c>
      <c r="G351" s="5">
        <f t="shared" si="27"/>
        <v>0.28441479684657367</v>
      </c>
      <c r="H351" s="2" t="s">
        <v>430</v>
      </c>
      <c r="I351" s="6" t="s">
        <v>74</v>
      </c>
      <c r="J351" s="2" t="s">
        <v>431</v>
      </c>
      <c r="K351" s="2" t="s">
        <v>432</v>
      </c>
      <c r="L351" s="2" t="s">
        <v>28</v>
      </c>
      <c r="M351" s="2" t="s">
        <v>5</v>
      </c>
      <c r="N351" s="4">
        <v>5807.29</v>
      </c>
    </row>
    <row r="352" spans="1:14" x14ac:dyDescent="0.25">
      <c r="A352" s="2" t="s">
        <v>360</v>
      </c>
      <c r="B352" s="2" t="s">
        <v>361</v>
      </c>
      <c r="C352" s="3">
        <v>30.5</v>
      </c>
      <c r="D352" s="4">
        <v>502.94499999999999</v>
      </c>
      <c r="E352" s="4">
        <v>359.9</v>
      </c>
      <c r="F352" s="4">
        <f t="shared" si="26"/>
        <v>143.04500000000002</v>
      </c>
      <c r="G352" s="5">
        <f t="shared" si="27"/>
        <v>0.28441479684657373</v>
      </c>
      <c r="H352" s="2" t="s">
        <v>427</v>
      </c>
      <c r="I352" s="6" t="s">
        <v>39</v>
      </c>
      <c r="J352" s="2" t="s">
        <v>428</v>
      </c>
      <c r="K352" s="2" t="s">
        <v>429</v>
      </c>
      <c r="L352" s="2" t="s">
        <v>28</v>
      </c>
      <c r="M352" s="2" t="s">
        <v>5</v>
      </c>
      <c r="N352" s="4">
        <v>6511.54</v>
      </c>
    </row>
    <row r="353" spans="1:14" x14ac:dyDescent="0.25">
      <c r="A353" s="2" t="s">
        <v>362</v>
      </c>
      <c r="B353" s="2" t="s">
        <v>363</v>
      </c>
      <c r="C353" s="3">
        <v>30.04</v>
      </c>
      <c r="D353" s="4">
        <v>381.80840000000001</v>
      </c>
      <c r="E353" s="4">
        <v>366.488</v>
      </c>
      <c r="F353" s="4">
        <f t="shared" si="26"/>
        <v>15.320400000000006</v>
      </c>
      <c r="G353" s="5">
        <f t="shared" si="27"/>
        <v>4.0125885129819058E-2</v>
      </c>
      <c r="H353" s="2" t="s">
        <v>424</v>
      </c>
      <c r="I353" s="6" t="s">
        <v>74</v>
      </c>
      <c r="J353" s="2" t="s">
        <v>425</v>
      </c>
      <c r="K353" s="2" t="s">
        <v>426</v>
      </c>
      <c r="L353" s="2" t="s">
        <v>28</v>
      </c>
      <c r="M353" s="2" t="s">
        <v>5</v>
      </c>
      <c r="N353" s="4">
        <v>6228.09</v>
      </c>
    </row>
    <row r="354" spans="1:14" x14ac:dyDescent="0.25">
      <c r="A354" s="2" t="s">
        <v>362</v>
      </c>
      <c r="B354" s="2" t="s">
        <v>363</v>
      </c>
      <c r="C354" s="3">
        <v>15.22</v>
      </c>
      <c r="D354" s="4">
        <v>193.4462</v>
      </c>
      <c r="E354" s="4">
        <v>185.684</v>
      </c>
      <c r="F354" s="4">
        <f t="shared" si="26"/>
        <v>7.7622000000000071</v>
      </c>
      <c r="G354" s="5">
        <f t="shared" si="27"/>
        <v>4.0125885129819079E-2</v>
      </c>
      <c r="H354" s="2" t="s">
        <v>430</v>
      </c>
      <c r="I354" s="6" t="s">
        <v>74</v>
      </c>
      <c r="J354" s="2" t="s">
        <v>431</v>
      </c>
      <c r="K354" s="2" t="s">
        <v>432</v>
      </c>
      <c r="L354" s="2" t="s">
        <v>28</v>
      </c>
      <c r="M354" s="2" t="s">
        <v>5</v>
      </c>
      <c r="N354" s="4">
        <v>5807.29</v>
      </c>
    </row>
    <row r="355" spans="1:14" x14ac:dyDescent="0.25">
      <c r="A355" s="2" t="s">
        <v>364</v>
      </c>
      <c r="B355" s="2" t="s">
        <v>365</v>
      </c>
      <c r="C355" s="3">
        <v>24.6</v>
      </c>
      <c r="D355" s="4">
        <v>351.53399999999999</v>
      </c>
      <c r="E355" s="4">
        <v>277.98</v>
      </c>
      <c r="F355" s="4">
        <f t="shared" si="26"/>
        <v>73.553999999999974</v>
      </c>
      <c r="G355" s="5">
        <f t="shared" si="27"/>
        <v>0.20923722883135051</v>
      </c>
      <c r="H355" s="2" t="s">
        <v>430</v>
      </c>
      <c r="I355" s="6" t="s">
        <v>74</v>
      </c>
      <c r="J355" s="2" t="s">
        <v>431</v>
      </c>
      <c r="K355" s="2" t="s">
        <v>432</v>
      </c>
      <c r="L355" s="2" t="s">
        <v>28</v>
      </c>
      <c r="M355" s="2" t="s">
        <v>5</v>
      </c>
      <c r="N355" s="4">
        <v>5807.29</v>
      </c>
    </row>
    <row r="356" spans="1:14" x14ac:dyDescent="0.25">
      <c r="A356" s="2" t="s">
        <v>366</v>
      </c>
      <c r="B356" s="2" t="s">
        <v>367</v>
      </c>
      <c r="C356" s="3">
        <v>29.385000000000002</v>
      </c>
      <c r="D356" s="4">
        <v>293.26229999999998</v>
      </c>
      <c r="E356" s="4">
        <v>173.66534999999999</v>
      </c>
      <c r="F356" s="4">
        <f t="shared" si="26"/>
        <v>119.59694999999999</v>
      </c>
      <c r="G356" s="5">
        <f t="shared" si="27"/>
        <v>0.40781563126252507</v>
      </c>
      <c r="H356" s="2" t="s">
        <v>427</v>
      </c>
      <c r="I356" s="6" t="s">
        <v>39</v>
      </c>
      <c r="J356" s="2" t="s">
        <v>428</v>
      </c>
      <c r="K356" s="2" t="s">
        <v>429</v>
      </c>
      <c r="L356" s="2" t="s">
        <v>28</v>
      </c>
      <c r="M356" s="2" t="s">
        <v>5</v>
      </c>
      <c r="N356" s="4">
        <v>6511.54</v>
      </c>
    </row>
    <row r="357" spans="1:14" x14ac:dyDescent="0.25">
      <c r="A357" s="2" t="s">
        <v>366</v>
      </c>
      <c r="B357" s="2" t="s">
        <v>367</v>
      </c>
      <c r="C357" s="3">
        <v>14.39</v>
      </c>
      <c r="D357" s="4">
        <v>143.6122</v>
      </c>
      <c r="E357" s="4">
        <v>85.044899999999998</v>
      </c>
      <c r="F357" s="4">
        <f t="shared" si="26"/>
        <v>58.567300000000003</v>
      </c>
      <c r="G357" s="5">
        <f t="shared" si="27"/>
        <v>0.40781563126252507</v>
      </c>
      <c r="H357" s="2" t="s">
        <v>430</v>
      </c>
      <c r="I357" s="6" t="s">
        <v>74</v>
      </c>
      <c r="J357" s="2" t="s">
        <v>431</v>
      </c>
      <c r="K357" s="2" t="s">
        <v>432</v>
      </c>
      <c r="L357" s="2" t="s">
        <v>28</v>
      </c>
      <c r="M357" s="2" t="s">
        <v>5</v>
      </c>
      <c r="N357" s="4">
        <v>5807.29</v>
      </c>
    </row>
    <row r="358" spans="1:14" x14ac:dyDescent="0.25">
      <c r="A358" s="2" t="s">
        <v>436</v>
      </c>
      <c r="B358" s="2" t="s">
        <v>437</v>
      </c>
      <c r="C358" s="3">
        <v>10.17</v>
      </c>
      <c r="D358" s="4">
        <v>95.597999999999999</v>
      </c>
      <c r="E358" s="4">
        <v>81.36</v>
      </c>
      <c r="F358" s="4">
        <f t="shared" si="26"/>
        <v>14.238</v>
      </c>
      <c r="G358" s="5">
        <f t="shared" si="27"/>
        <v>0.14893617021276595</v>
      </c>
      <c r="H358" s="2" t="s">
        <v>427</v>
      </c>
      <c r="I358" s="6" t="s">
        <v>39</v>
      </c>
      <c r="J358" s="2" t="s">
        <v>428</v>
      </c>
      <c r="K358" s="2" t="s">
        <v>429</v>
      </c>
      <c r="L358" s="2" t="s">
        <v>28</v>
      </c>
      <c r="M358" s="2" t="s">
        <v>5</v>
      </c>
      <c r="N358" s="4">
        <v>6511.54</v>
      </c>
    </row>
    <row r="359" spans="1:14" x14ac:dyDescent="0.25">
      <c r="A359" s="2" t="s">
        <v>368</v>
      </c>
      <c r="B359" s="2" t="s">
        <v>369</v>
      </c>
      <c r="C359" s="3">
        <v>15.26</v>
      </c>
      <c r="D359" s="4">
        <v>251.63740000000001</v>
      </c>
      <c r="E359" s="4">
        <v>190.75</v>
      </c>
      <c r="F359" s="4">
        <f t="shared" si="26"/>
        <v>60.887400000000014</v>
      </c>
      <c r="G359" s="5">
        <f t="shared" si="27"/>
        <v>0.24196482716798062</v>
      </c>
      <c r="H359" s="2" t="s">
        <v>433</v>
      </c>
      <c r="I359" s="6" t="s">
        <v>32</v>
      </c>
      <c r="J359" s="2" t="s">
        <v>434</v>
      </c>
      <c r="K359" s="2" t="s">
        <v>435</v>
      </c>
      <c r="L359" s="2" t="s">
        <v>28</v>
      </c>
      <c r="M359" s="2" t="s">
        <v>5</v>
      </c>
      <c r="N359" s="4">
        <v>6085.6</v>
      </c>
    </row>
    <row r="360" spans="1:14" x14ac:dyDescent="0.25">
      <c r="A360" s="2" t="s">
        <v>438</v>
      </c>
      <c r="B360" s="2" t="s">
        <v>439</v>
      </c>
      <c r="C360" s="3">
        <v>9.4450000000000003</v>
      </c>
      <c r="D360" s="4">
        <v>133.93010000000001</v>
      </c>
      <c r="E360" s="4">
        <v>68.948499999999996</v>
      </c>
      <c r="F360" s="4">
        <f t="shared" si="26"/>
        <v>64.981600000000014</v>
      </c>
      <c r="G360" s="5">
        <f t="shared" si="27"/>
        <v>0.48519040902679839</v>
      </c>
      <c r="H360" s="2" t="s">
        <v>424</v>
      </c>
      <c r="I360" s="6" t="s">
        <v>74</v>
      </c>
      <c r="J360" s="2" t="s">
        <v>425</v>
      </c>
      <c r="K360" s="2" t="s">
        <v>426</v>
      </c>
      <c r="L360" s="2" t="s">
        <v>28</v>
      </c>
      <c r="M360" s="2" t="s">
        <v>5</v>
      </c>
      <c r="N360" s="4">
        <v>6228.09</v>
      </c>
    </row>
    <row r="361" spans="1:14" x14ac:dyDescent="0.25">
      <c r="A361" s="2" t="s">
        <v>438</v>
      </c>
      <c r="B361" s="2" t="s">
        <v>439</v>
      </c>
      <c r="C361" s="3">
        <v>10.47</v>
      </c>
      <c r="D361" s="4">
        <v>148.46459999999999</v>
      </c>
      <c r="E361" s="4">
        <v>76.430999999999997</v>
      </c>
      <c r="F361" s="4">
        <f t="shared" si="26"/>
        <v>72.033599999999993</v>
      </c>
      <c r="G361" s="5">
        <f t="shared" si="27"/>
        <v>0.48519040902679827</v>
      </c>
      <c r="H361" s="2" t="s">
        <v>430</v>
      </c>
      <c r="I361" s="6" t="s">
        <v>74</v>
      </c>
      <c r="J361" s="2" t="s">
        <v>431</v>
      </c>
      <c r="K361" s="2" t="s">
        <v>432</v>
      </c>
      <c r="L361" s="2" t="s">
        <v>28</v>
      </c>
      <c r="M361" s="2" t="s">
        <v>5</v>
      </c>
      <c r="N361" s="4">
        <v>5807.29</v>
      </c>
    </row>
    <row r="362" spans="1:14" x14ac:dyDescent="0.25">
      <c r="A362" s="2" t="s">
        <v>438</v>
      </c>
      <c r="B362" s="2" t="s">
        <v>439</v>
      </c>
      <c r="C362" s="3">
        <v>28.864999999999998</v>
      </c>
      <c r="D362" s="4">
        <v>409.3057</v>
      </c>
      <c r="E362" s="4">
        <v>210.71449999999999</v>
      </c>
      <c r="F362" s="4">
        <f t="shared" si="26"/>
        <v>198.59120000000001</v>
      </c>
      <c r="G362" s="5">
        <f t="shared" si="27"/>
        <v>0.48519040902679833</v>
      </c>
      <c r="H362" s="2" t="s">
        <v>433</v>
      </c>
      <c r="I362" s="6" t="s">
        <v>32</v>
      </c>
      <c r="J362" s="2" t="s">
        <v>434</v>
      </c>
      <c r="K362" s="2" t="s">
        <v>435</v>
      </c>
      <c r="L362" s="2" t="s">
        <v>28</v>
      </c>
      <c r="M362" s="2" t="s">
        <v>5</v>
      </c>
      <c r="N362" s="4">
        <v>6085.6</v>
      </c>
    </row>
    <row r="363" spans="1:14" x14ac:dyDescent="0.25">
      <c r="A363" s="2" t="s">
        <v>370</v>
      </c>
      <c r="B363" s="2" t="s">
        <v>371</v>
      </c>
      <c r="C363" s="3">
        <v>29.178000000000001</v>
      </c>
      <c r="D363" s="4">
        <v>159.31188</v>
      </c>
      <c r="E363" s="4">
        <v>105.0408</v>
      </c>
      <c r="F363" s="4">
        <f t="shared" si="26"/>
        <v>54.271079999999998</v>
      </c>
      <c r="G363" s="5">
        <f t="shared" si="27"/>
        <v>0.34065934065934061</v>
      </c>
      <c r="H363" s="2" t="s">
        <v>427</v>
      </c>
      <c r="I363" s="6" t="s">
        <v>39</v>
      </c>
      <c r="J363" s="2" t="s">
        <v>428</v>
      </c>
      <c r="K363" s="2" t="s">
        <v>429</v>
      </c>
      <c r="L363" s="2" t="s">
        <v>28</v>
      </c>
      <c r="M363" s="2" t="s">
        <v>5</v>
      </c>
      <c r="N363" s="4">
        <v>6511.54</v>
      </c>
    </row>
    <row r="364" spans="1:14" x14ac:dyDescent="0.25">
      <c r="A364" s="2" t="s">
        <v>370</v>
      </c>
      <c r="B364" s="2" t="s">
        <v>371</v>
      </c>
      <c r="C364" s="3">
        <v>48.15</v>
      </c>
      <c r="D364" s="4">
        <v>262.899</v>
      </c>
      <c r="E364" s="4">
        <v>173.34</v>
      </c>
      <c r="F364" s="4">
        <f t="shared" si="26"/>
        <v>89.558999999999997</v>
      </c>
      <c r="G364" s="5">
        <f t="shared" si="27"/>
        <v>0.34065934065934067</v>
      </c>
      <c r="H364" s="2" t="s">
        <v>430</v>
      </c>
      <c r="I364" s="6" t="s">
        <v>74</v>
      </c>
      <c r="J364" s="2" t="s">
        <v>431</v>
      </c>
      <c r="K364" s="2" t="s">
        <v>432</v>
      </c>
      <c r="L364" s="2" t="s">
        <v>28</v>
      </c>
      <c r="M364" s="2" t="s">
        <v>5</v>
      </c>
      <c r="N364" s="4">
        <v>5807.29</v>
      </c>
    </row>
    <row r="365" spans="1:14" x14ac:dyDescent="0.25">
      <c r="A365" s="2" t="s">
        <v>370</v>
      </c>
      <c r="B365" s="2" t="s">
        <v>371</v>
      </c>
      <c r="C365" s="3">
        <v>31.21</v>
      </c>
      <c r="D365" s="4">
        <v>170.4066</v>
      </c>
      <c r="E365" s="4">
        <v>112.35599999999999</v>
      </c>
      <c r="F365" s="4">
        <f t="shared" si="26"/>
        <v>58.050600000000003</v>
      </c>
      <c r="G365" s="5">
        <f t="shared" si="27"/>
        <v>0.34065934065934067</v>
      </c>
      <c r="H365" s="2" t="s">
        <v>433</v>
      </c>
      <c r="I365" s="6" t="s">
        <v>32</v>
      </c>
      <c r="J365" s="2" t="s">
        <v>434</v>
      </c>
      <c r="K365" s="2" t="s">
        <v>435</v>
      </c>
      <c r="L365" s="2" t="s">
        <v>28</v>
      </c>
      <c r="M365" s="2" t="s">
        <v>5</v>
      </c>
      <c r="N365" s="4">
        <v>6085.6</v>
      </c>
    </row>
    <row r="366" spans="1:14" x14ac:dyDescent="0.25">
      <c r="A366" s="2" t="s">
        <v>370</v>
      </c>
      <c r="B366" s="2" t="s">
        <v>371</v>
      </c>
      <c r="C366" s="3">
        <v>31.87</v>
      </c>
      <c r="D366" s="4">
        <v>174.0102</v>
      </c>
      <c r="E366" s="4">
        <v>114.732</v>
      </c>
      <c r="F366" s="4">
        <f t="shared" si="26"/>
        <v>59.278199999999998</v>
      </c>
      <c r="G366" s="5">
        <f t="shared" si="27"/>
        <v>0.34065934065934067</v>
      </c>
      <c r="H366" s="2" t="s">
        <v>424</v>
      </c>
      <c r="I366" s="6" t="s">
        <v>74</v>
      </c>
      <c r="J366" s="2" t="s">
        <v>425</v>
      </c>
      <c r="K366" s="2" t="s">
        <v>426</v>
      </c>
      <c r="L366" s="2" t="s">
        <v>28</v>
      </c>
      <c r="M366" s="2" t="s">
        <v>5</v>
      </c>
      <c r="N366" s="4">
        <v>6228.09</v>
      </c>
    </row>
    <row r="367" spans="1:14" x14ac:dyDescent="0.25">
      <c r="A367" s="2" t="s">
        <v>372</v>
      </c>
      <c r="B367" s="2" t="s">
        <v>373</v>
      </c>
      <c r="C367" s="3">
        <v>15.53</v>
      </c>
      <c r="D367" s="4">
        <v>205.6172</v>
      </c>
      <c r="E367" s="4">
        <v>139.77000000000001</v>
      </c>
      <c r="F367" s="4">
        <f t="shared" si="26"/>
        <v>65.847199999999987</v>
      </c>
      <c r="G367" s="5">
        <f t="shared" si="27"/>
        <v>0.32024169184290024</v>
      </c>
      <c r="H367" s="2" t="s">
        <v>427</v>
      </c>
      <c r="I367" s="6" t="s">
        <v>39</v>
      </c>
      <c r="J367" s="2" t="s">
        <v>428</v>
      </c>
      <c r="K367" s="2" t="s">
        <v>429</v>
      </c>
      <c r="L367" s="2" t="s">
        <v>28</v>
      </c>
      <c r="M367" s="2" t="s">
        <v>5</v>
      </c>
      <c r="N367" s="4">
        <v>6511.54</v>
      </c>
    </row>
    <row r="368" spans="1:14" x14ac:dyDescent="0.25">
      <c r="A368" s="2" t="s">
        <v>372</v>
      </c>
      <c r="B368" s="2" t="s">
        <v>373</v>
      </c>
      <c r="C368" s="3">
        <v>15.49</v>
      </c>
      <c r="D368" s="4">
        <v>205.08760000000001</v>
      </c>
      <c r="E368" s="4">
        <v>139.41</v>
      </c>
      <c r="F368" s="4">
        <f t="shared" si="26"/>
        <v>65.677600000000012</v>
      </c>
      <c r="G368" s="5">
        <f t="shared" si="27"/>
        <v>0.32024169184290036</v>
      </c>
      <c r="H368" s="2" t="s">
        <v>433</v>
      </c>
      <c r="I368" s="6" t="s">
        <v>32</v>
      </c>
      <c r="J368" s="2" t="s">
        <v>434</v>
      </c>
      <c r="K368" s="2" t="s">
        <v>435</v>
      </c>
      <c r="L368" s="2" t="s">
        <v>28</v>
      </c>
      <c r="M368" s="2" t="s">
        <v>5</v>
      </c>
      <c r="N368" s="4">
        <v>6085.6</v>
      </c>
    </row>
    <row r="369" spans="1:14" x14ac:dyDescent="0.25">
      <c r="A369" s="2" t="s">
        <v>440</v>
      </c>
      <c r="B369" s="2" t="s">
        <v>441</v>
      </c>
      <c r="C369" s="3">
        <v>15.32</v>
      </c>
      <c r="D369" s="4">
        <v>143.24199999999999</v>
      </c>
      <c r="E369" s="4">
        <v>186.904</v>
      </c>
      <c r="F369" s="4">
        <f t="shared" si="26"/>
        <v>-43.662000000000006</v>
      </c>
      <c r="G369" s="5">
        <f t="shared" si="27"/>
        <v>-0.30481283422459898</v>
      </c>
      <c r="H369" s="2" t="s">
        <v>427</v>
      </c>
      <c r="I369" s="6" t="s">
        <v>39</v>
      </c>
      <c r="J369" s="2" t="s">
        <v>428</v>
      </c>
      <c r="K369" s="2" t="s">
        <v>429</v>
      </c>
      <c r="L369" s="2" t="s">
        <v>28</v>
      </c>
      <c r="M369" s="2" t="s">
        <v>5</v>
      </c>
      <c r="N369" s="4">
        <v>6511.54</v>
      </c>
    </row>
    <row r="370" spans="1:14" x14ac:dyDescent="0.25">
      <c r="A370" s="2" t="s">
        <v>440</v>
      </c>
      <c r="B370" s="2" t="s">
        <v>441</v>
      </c>
      <c r="C370" s="3">
        <v>15.34</v>
      </c>
      <c r="D370" s="4">
        <v>143.429</v>
      </c>
      <c r="E370" s="4">
        <v>187.148</v>
      </c>
      <c r="F370" s="4">
        <f t="shared" si="26"/>
        <v>-43.718999999999994</v>
      </c>
      <c r="G370" s="5">
        <f t="shared" si="27"/>
        <v>-0.30481283422459887</v>
      </c>
      <c r="H370" s="2" t="s">
        <v>424</v>
      </c>
      <c r="I370" s="6" t="s">
        <v>74</v>
      </c>
      <c r="J370" s="2" t="s">
        <v>425</v>
      </c>
      <c r="K370" s="2" t="s">
        <v>426</v>
      </c>
      <c r="L370" s="2" t="s">
        <v>28</v>
      </c>
      <c r="M370" s="2" t="s">
        <v>5</v>
      </c>
      <c r="N370" s="4">
        <v>6228.09</v>
      </c>
    </row>
    <row r="371" spans="1:14" x14ac:dyDescent="0.25">
      <c r="A371" s="2" t="s">
        <v>440</v>
      </c>
      <c r="B371" s="2" t="s">
        <v>441</v>
      </c>
      <c r="C371" s="3">
        <v>15.11</v>
      </c>
      <c r="D371" s="4">
        <v>141.27850000000001</v>
      </c>
      <c r="E371" s="4">
        <v>184.34200000000001</v>
      </c>
      <c r="F371" s="4">
        <f t="shared" si="26"/>
        <v>-43.063500000000005</v>
      </c>
      <c r="G371" s="5">
        <f t="shared" si="27"/>
        <v>-0.30481283422459893</v>
      </c>
      <c r="H371" s="2" t="s">
        <v>430</v>
      </c>
      <c r="I371" s="6" t="s">
        <v>74</v>
      </c>
      <c r="J371" s="2" t="s">
        <v>431</v>
      </c>
      <c r="K371" s="2" t="s">
        <v>432</v>
      </c>
      <c r="L371" s="2" t="s">
        <v>28</v>
      </c>
      <c r="M371" s="2" t="s">
        <v>5</v>
      </c>
      <c r="N371" s="4">
        <v>5807.29</v>
      </c>
    </row>
    <row r="372" spans="1:14" x14ac:dyDescent="0.25">
      <c r="A372" s="2" t="s">
        <v>374</v>
      </c>
      <c r="B372" s="2" t="s">
        <v>375</v>
      </c>
      <c r="C372" s="3">
        <v>5.27</v>
      </c>
      <c r="D372" s="4">
        <v>96.072100000000006</v>
      </c>
      <c r="E372" s="4">
        <v>73.569199999999995</v>
      </c>
      <c r="F372" s="4">
        <f t="shared" si="26"/>
        <v>22.502900000000011</v>
      </c>
      <c r="G372" s="5">
        <f t="shared" si="27"/>
        <v>0.23422929237520582</v>
      </c>
      <c r="H372" s="2" t="s">
        <v>433</v>
      </c>
      <c r="I372" s="6" t="s">
        <v>32</v>
      </c>
      <c r="J372" s="2" t="s">
        <v>434</v>
      </c>
      <c r="K372" s="2" t="s">
        <v>435</v>
      </c>
      <c r="L372" s="2" t="s">
        <v>28</v>
      </c>
      <c r="M372" s="2" t="s">
        <v>5</v>
      </c>
      <c r="N372" s="4">
        <v>6085.6</v>
      </c>
    </row>
    <row r="373" spans="1:14" x14ac:dyDescent="0.25">
      <c r="A373" s="2" t="s">
        <v>374</v>
      </c>
      <c r="B373" s="2" t="s">
        <v>375</v>
      </c>
      <c r="C373" s="3">
        <v>5</v>
      </c>
      <c r="D373" s="4">
        <v>91.15</v>
      </c>
      <c r="E373" s="4">
        <v>69.8</v>
      </c>
      <c r="F373" s="4">
        <f t="shared" si="26"/>
        <v>21.350000000000009</v>
      </c>
      <c r="G373" s="5">
        <f t="shared" si="27"/>
        <v>0.23422929237520579</v>
      </c>
      <c r="H373" s="2" t="s">
        <v>424</v>
      </c>
      <c r="I373" s="6" t="s">
        <v>74</v>
      </c>
      <c r="J373" s="2" t="s">
        <v>425</v>
      </c>
      <c r="K373" s="2" t="s">
        <v>426</v>
      </c>
      <c r="L373" s="2" t="s">
        <v>28</v>
      </c>
      <c r="M373" s="2" t="s">
        <v>5</v>
      </c>
      <c r="N373" s="4">
        <v>6228.09</v>
      </c>
    </row>
    <row r="374" spans="1:14" x14ac:dyDescent="0.25">
      <c r="A374" s="2" t="s">
        <v>378</v>
      </c>
      <c r="B374" s="2" t="s">
        <v>379</v>
      </c>
      <c r="C374" s="3">
        <v>31.99</v>
      </c>
      <c r="D374" s="4">
        <v>386.43920000000003</v>
      </c>
      <c r="E374" s="4">
        <v>233.52699999999999</v>
      </c>
      <c r="F374" s="4">
        <f t="shared" si="26"/>
        <v>152.91220000000004</v>
      </c>
      <c r="G374" s="5">
        <f t="shared" si="27"/>
        <v>0.39569536423841067</v>
      </c>
      <c r="H374" s="2" t="s">
        <v>427</v>
      </c>
      <c r="I374" s="6" t="s">
        <v>39</v>
      </c>
      <c r="J374" s="2" t="s">
        <v>428</v>
      </c>
      <c r="K374" s="2" t="s">
        <v>429</v>
      </c>
      <c r="L374" s="2" t="s">
        <v>28</v>
      </c>
      <c r="M374" s="2" t="s">
        <v>5</v>
      </c>
      <c r="N374" s="4">
        <v>6511.54</v>
      </c>
    </row>
    <row r="375" spans="1:14" x14ac:dyDescent="0.25">
      <c r="A375" s="2" t="s">
        <v>378</v>
      </c>
      <c r="B375" s="2" t="s">
        <v>379</v>
      </c>
      <c r="C375" s="3">
        <v>29.114999999999998</v>
      </c>
      <c r="D375" s="4">
        <v>351.70920000000001</v>
      </c>
      <c r="E375" s="4">
        <v>212.5395</v>
      </c>
      <c r="F375" s="4">
        <f t="shared" ref="F375:F406" si="28">D375-E375</f>
        <v>139.16970000000001</v>
      </c>
      <c r="G375" s="5">
        <f t="shared" ref="G375:G406" si="29">IF(((D375)=0),0,(D375-E375)/ D375)</f>
        <v>0.39569536423841062</v>
      </c>
      <c r="H375" s="2" t="s">
        <v>424</v>
      </c>
      <c r="I375" s="6" t="s">
        <v>74</v>
      </c>
      <c r="J375" s="2" t="s">
        <v>425</v>
      </c>
      <c r="K375" s="2" t="s">
        <v>426</v>
      </c>
      <c r="L375" s="2" t="s">
        <v>28</v>
      </c>
      <c r="M375" s="2" t="s">
        <v>5</v>
      </c>
      <c r="N375" s="4">
        <v>6228.09</v>
      </c>
    </row>
    <row r="376" spans="1:14" x14ac:dyDescent="0.25">
      <c r="A376" s="2" t="s">
        <v>378</v>
      </c>
      <c r="B376" s="2" t="s">
        <v>379</v>
      </c>
      <c r="C376" s="3">
        <v>47.03</v>
      </c>
      <c r="D376" s="4">
        <v>568.12239999999997</v>
      </c>
      <c r="E376" s="4">
        <v>343.31900000000002</v>
      </c>
      <c r="F376" s="4">
        <f t="shared" si="28"/>
        <v>224.80339999999995</v>
      </c>
      <c r="G376" s="5">
        <f t="shared" si="29"/>
        <v>0.39569536423841051</v>
      </c>
      <c r="H376" s="2" t="s">
        <v>430</v>
      </c>
      <c r="I376" s="6" t="s">
        <v>74</v>
      </c>
      <c r="J376" s="2" t="s">
        <v>431</v>
      </c>
      <c r="K376" s="2" t="s">
        <v>432</v>
      </c>
      <c r="L376" s="2" t="s">
        <v>28</v>
      </c>
      <c r="M376" s="2" t="s">
        <v>5</v>
      </c>
      <c r="N376" s="4">
        <v>5807.29</v>
      </c>
    </row>
    <row r="377" spans="1:14" x14ac:dyDescent="0.25">
      <c r="A377" s="2" t="s">
        <v>378</v>
      </c>
      <c r="B377" s="2" t="s">
        <v>379</v>
      </c>
      <c r="C377" s="3">
        <v>31.844999999999999</v>
      </c>
      <c r="D377" s="4">
        <v>384.68759999999997</v>
      </c>
      <c r="E377" s="4">
        <v>232.46850000000001</v>
      </c>
      <c r="F377" s="4">
        <f t="shared" si="28"/>
        <v>152.21909999999997</v>
      </c>
      <c r="G377" s="5">
        <f t="shared" si="29"/>
        <v>0.39569536423841056</v>
      </c>
      <c r="H377" s="2" t="s">
        <v>433</v>
      </c>
      <c r="I377" s="6" t="s">
        <v>32</v>
      </c>
      <c r="J377" s="2" t="s">
        <v>434</v>
      </c>
      <c r="K377" s="2" t="s">
        <v>435</v>
      </c>
      <c r="L377" s="2" t="s">
        <v>28</v>
      </c>
      <c r="M377" s="2" t="s">
        <v>5</v>
      </c>
      <c r="N377" s="4">
        <v>6085.6</v>
      </c>
    </row>
    <row r="378" spans="1:14" x14ac:dyDescent="0.25">
      <c r="A378" s="2" t="s">
        <v>382</v>
      </c>
      <c r="B378" s="2" t="s">
        <v>383</v>
      </c>
      <c r="C378" s="3">
        <v>63.77</v>
      </c>
      <c r="D378" s="4">
        <v>344.9957</v>
      </c>
      <c r="E378" s="4">
        <v>229.572</v>
      </c>
      <c r="F378" s="4">
        <f t="shared" si="28"/>
        <v>115.4237</v>
      </c>
      <c r="G378" s="5">
        <f t="shared" si="29"/>
        <v>0.3345656192236599</v>
      </c>
      <c r="H378" s="2" t="s">
        <v>424</v>
      </c>
      <c r="I378" s="6" t="s">
        <v>74</v>
      </c>
      <c r="J378" s="2" t="s">
        <v>425</v>
      </c>
      <c r="K378" s="2" t="s">
        <v>426</v>
      </c>
      <c r="L378" s="2" t="s">
        <v>28</v>
      </c>
      <c r="M378" s="2" t="s">
        <v>5</v>
      </c>
      <c r="N378" s="4">
        <v>6228.09</v>
      </c>
    </row>
    <row r="379" spans="1:14" x14ac:dyDescent="0.25">
      <c r="A379" s="2" t="s">
        <v>382</v>
      </c>
      <c r="B379" s="2" t="s">
        <v>383</v>
      </c>
      <c r="C379" s="3">
        <v>64.19</v>
      </c>
      <c r="D379" s="4">
        <v>347.2679</v>
      </c>
      <c r="E379" s="4">
        <v>231.084</v>
      </c>
      <c r="F379" s="4">
        <f t="shared" si="28"/>
        <v>116.18389999999999</v>
      </c>
      <c r="G379" s="5">
        <f t="shared" si="29"/>
        <v>0.33456561922365985</v>
      </c>
      <c r="H379" s="2" t="s">
        <v>430</v>
      </c>
      <c r="I379" s="6" t="s">
        <v>74</v>
      </c>
      <c r="J379" s="2" t="s">
        <v>431</v>
      </c>
      <c r="K379" s="2" t="s">
        <v>432</v>
      </c>
      <c r="L379" s="2" t="s">
        <v>28</v>
      </c>
      <c r="M379" s="2" t="s">
        <v>5</v>
      </c>
      <c r="N379" s="4">
        <v>5807.29</v>
      </c>
    </row>
    <row r="380" spans="1:14" x14ac:dyDescent="0.25">
      <c r="A380" s="2" t="s">
        <v>382</v>
      </c>
      <c r="B380" s="2" t="s">
        <v>383</v>
      </c>
      <c r="C380" s="3">
        <v>94.234999999999999</v>
      </c>
      <c r="D380" s="4">
        <v>509.81135</v>
      </c>
      <c r="E380" s="4">
        <v>339.24599999999998</v>
      </c>
      <c r="F380" s="4">
        <f t="shared" si="28"/>
        <v>170.56535000000002</v>
      </c>
      <c r="G380" s="5">
        <f t="shared" si="29"/>
        <v>0.3345656192236599</v>
      </c>
      <c r="H380" s="2" t="s">
        <v>427</v>
      </c>
      <c r="I380" s="6" t="s">
        <v>39</v>
      </c>
      <c r="J380" s="2" t="s">
        <v>428</v>
      </c>
      <c r="K380" s="2" t="s">
        <v>429</v>
      </c>
      <c r="L380" s="2" t="s">
        <v>28</v>
      </c>
      <c r="M380" s="2" t="s">
        <v>5</v>
      </c>
      <c r="N380" s="4">
        <v>6511.54</v>
      </c>
    </row>
    <row r="381" spans="1:14" x14ac:dyDescent="0.25">
      <c r="A381" s="2" t="s">
        <v>382</v>
      </c>
      <c r="B381" s="2" t="s">
        <v>383</v>
      </c>
      <c r="C381" s="3">
        <v>29.215</v>
      </c>
      <c r="D381" s="4">
        <v>158.05314999999999</v>
      </c>
      <c r="E381" s="4">
        <v>105.17400000000001</v>
      </c>
      <c r="F381" s="4">
        <f t="shared" si="28"/>
        <v>52.879149999999981</v>
      </c>
      <c r="G381" s="5">
        <f t="shared" si="29"/>
        <v>0.33456561922365979</v>
      </c>
      <c r="H381" s="2" t="s">
        <v>433</v>
      </c>
      <c r="I381" s="6" t="s">
        <v>32</v>
      </c>
      <c r="J381" s="2" t="s">
        <v>434</v>
      </c>
      <c r="K381" s="2" t="s">
        <v>435</v>
      </c>
      <c r="L381" s="2" t="s">
        <v>28</v>
      </c>
      <c r="M381" s="2" t="s">
        <v>5</v>
      </c>
      <c r="N381" s="4">
        <v>6085.6</v>
      </c>
    </row>
    <row r="382" spans="1:14" x14ac:dyDescent="0.25">
      <c r="A382" s="2" t="s">
        <v>384</v>
      </c>
      <c r="B382" s="2" t="s">
        <v>385</v>
      </c>
      <c r="C382" s="3">
        <v>16.670000000000002</v>
      </c>
      <c r="D382" s="4">
        <v>72.681200000000004</v>
      </c>
      <c r="E382" s="4">
        <v>41.674999999999997</v>
      </c>
      <c r="F382" s="4">
        <f t="shared" si="28"/>
        <v>31.006200000000007</v>
      </c>
      <c r="G382" s="5">
        <f t="shared" si="29"/>
        <v>0.42660550458715601</v>
      </c>
      <c r="H382" s="2" t="s">
        <v>430</v>
      </c>
      <c r="I382" s="6" t="s">
        <v>74</v>
      </c>
      <c r="J382" s="2" t="s">
        <v>431</v>
      </c>
      <c r="K382" s="2" t="s">
        <v>432</v>
      </c>
      <c r="L382" s="2" t="s">
        <v>28</v>
      </c>
      <c r="M382" s="2" t="s">
        <v>5</v>
      </c>
      <c r="N382" s="4">
        <v>5807.29</v>
      </c>
    </row>
    <row r="383" spans="1:14" x14ac:dyDescent="0.25">
      <c r="A383" s="2" t="s">
        <v>386</v>
      </c>
      <c r="B383" s="2" t="s">
        <v>387</v>
      </c>
      <c r="C383" s="3">
        <v>6</v>
      </c>
      <c r="D383" s="4">
        <v>55.8</v>
      </c>
      <c r="E383" s="4">
        <v>26.16</v>
      </c>
      <c r="F383" s="4">
        <f t="shared" si="28"/>
        <v>29.639999999999997</v>
      </c>
      <c r="G383" s="5">
        <f t="shared" si="29"/>
        <v>0.53118279569892468</v>
      </c>
      <c r="H383" s="2" t="s">
        <v>433</v>
      </c>
      <c r="I383" s="6" t="s">
        <v>32</v>
      </c>
      <c r="J383" s="2" t="s">
        <v>434</v>
      </c>
      <c r="K383" s="2" t="s">
        <v>435</v>
      </c>
      <c r="L383" s="2" t="s">
        <v>28</v>
      </c>
      <c r="M383" s="2" t="s">
        <v>5</v>
      </c>
      <c r="N383" s="4">
        <v>6085.6</v>
      </c>
    </row>
    <row r="384" spans="1:14" x14ac:dyDescent="0.25">
      <c r="A384" s="2" t="s">
        <v>386</v>
      </c>
      <c r="B384" s="2" t="s">
        <v>387</v>
      </c>
      <c r="C384" s="3">
        <v>6</v>
      </c>
      <c r="D384" s="4">
        <v>55.8</v>
      </c>
      <c r="E384" s="4">
        <v>26.16</v>
      </c>
      <c r="F384" s="4">
        <f t="shared" si="28"/>
        <v>29.639999999999997</v>
      </c>
      <c r="G384" s="5">
        <f t="shared" si="29"/>
        <v>0.53118279569892468</v>
      </c>
      <c r="H384" s="2" t="s">
        <v>430</v>
      </c>
      <c r="I384" s="6" t="s">
        <v>74</v>
      </c>
      <c r="J384" s="2" t="s">
        <v>431</v>
      </c>
      <c r="K384" s="2" t="s">
        <v>432</v>
      </c>
      <c r="L384" s="2" t="s">
        <v>28</v>
      </c>
      <c r="M384" s="2" t="s">
        <v>5</v>
      </c>
      <c r="N384" s="4">
        <v>5807.29</v>
      </c>
    </row>
    <row r="385" spans="1:14" x14ac:dyDescent="0.25">
      <c r="A385" s="2" t="s">
        <v>386</v>
      </c>
      <c r="B385" s="2" t="s">
        <v>387</v>
      </c>
      <c r="C385" s="3">
        <v>6</v>
      </c>
      <c r="D385" s="4">
        <v>55.8</v>
      </c>
      <c r="E385" s="4">
        <v>26.16</v>
      </c>
      <c r="F385" s="4">
        <f t="shared" si="28"/>
        <v>29.639999999999997</v>
      </c>
      <c r="G385" s="5">
        <f t="shared" si="29"/>
        <v>0.53118279569892468</v>
      </c>
      <c r="H385" s="2" t="s">
        <v>424</v>
      </c>
      <c r="I385" s="6" t="s">
        <v>74</v>
      </c>
      <c r="J385" s="2" t="s">
        <v>425</v>
      </c>
      <c r="K385" s="2" t="s">
        <v>426</v>
      </c>
      <c r="L385" s="2" t="s">
        <v>28</v>
      </c>
      <c r="M385" s="2" t="s">
        <v>5</v>
      </c>
      <c r="N385" s="4">
        <v>6228.09</v>
      </c>
    </row>
    <row r="386" spans="1:14" x14ac:dyDescent="0.25">
      <c r="A386" s="2" t="s">
        <v>386</v>
      </c>
      <c r="B386" s="2" t="s">
        <v>387</v>
      </c>
      <c r="C386" s="3">
        <v>6</v>
      </c>
      <c r="D386" s="4">
        <v>55.8</v>
      </c>
      <c r="E386" s="4">
        <v>26.16</v>
      </c>
      <c r="F386" s="4">
        <f t="shared" si="28"/>
        <v>29.639999999999997</v>
      </c>
      <c r="G386" s="5">
        <f t="shared" si="29"/>
        <v>0.53118279569892468</v>
      </c>
      <c r="H386" s="2" t="s">
        <v>427</v>
      </c>
      <c r="I386" s="6" t="s">
        <v>39</v>
      </c>
      <c r="J386" s="2" t="s">
        <v>428</v>
      </c>
      <c r="K386" s="2" t="s">
        <v>429</v>
      </c>
      <c r="L386" s="2" t="s">
        <v>28</v>
      </c>
      <c r="M386" s="2" t="s">
        <v>5</v>
      </c>
      <c r="N386" s="4">
        <v>6511.54</v>
      </c>
    </row>
    <row r="387" spans="1:14" x14ac:dyDescent="0.25">
      <c r="A387" s="2" t="s">
        <v>388</v>
      </c>
      <c r="B387" s="2" t="s">
        <v>389</v>
      </c>
      <c r="C387" s="3">
        <v>13.47</v>
      </c>
      <c r="D387" s="4">
        <v>128.7732</v>
      </c>
      <c r="E387" s="4">
        <v>73.007400000000004</v>
      </c>
      <c r="F387" s="4">
        <f t="shared" si="28"/>
        <v>55.765799999999999</v>
      </c>
      <c r="G387" s="5">
        <f t="shared" si="29"/>
        <v>0.43305439330543932</v>
      </c>
      <c r="H387" s="2" t="s">
        <v>424</v>
      </c>
      <c r="I387" s="6" t="s">
        <v>74</v>
      </c>
      <c r="J387" s="2" t="s">
        <v>425</v>
      </c>
      <c r="K387" s="2" t="s">
        <v>426</v>
      </c>
      <c r="L387" s="2" t="s">
        <v>28</v>
      </c>
      <c r="M387" s="2" t="s">
        <v>5</v>
      </c>
      <c r="N387" s="4">
        <v>6228.09</v>
      </c>
    </row>
    <row r="388" spans="1:14" x14ac:dyDescent="0.25">
      <c r="A388" s="2" t="s">
        <v>388</v>
      </c>
      <c r="B388" s="2" t="s">
        <v>389</v>
      </c>
      <c r="C388" s="3">
        <v>13.23</v>
      </c>
      <c r="D388" s="4">
        <v>126.47880000000001</v>
      </c>
      <c r="E388" s="4">
        <v>71.706599999999995</v>
      </c>
      <c r="F388" s="4">
        <f t="shared" si="28"/>
        <v>54.772200000000012</v>
      </c>
      <c r="G388" s="5">
        <f t="shared" si="29"/>
        <v>0.43305439330543938</v>
      </c>
      <c r="H388" s="2" t="s">
        <v>433</v>
      </c>
      <c r="I388" s="6" t="s">
        <v>32</v>
      </c>
      <c r="J388" s="2" t="s">
        <v>434</v>
      </c>
      <c r="K388" s="2" t="s">
        <v>435</v>
      </c>
      <c r="L388" s="2" t="s">
        <v>28</v>
      </c>
      <c r="M388" s="2" t="s">
        <v>5</v>
      </c>
      <c r="N388" s="4">
        <v>6085.6</v>
      </c>
    </row>
    <row r="389" spans="1:14" x14ac:dyDescent="0.25">
      <c r="A389" s="2" t="s">
        <v>390</v>
      </c>
      <c r="B389" s="2" t="s">
        <v>391</v>
      </c>
      <c r="C389" s="3">
        <v>23.771999999999998</v>
      </c>
      <c r="D389" s="4">
        <v>262.20515999999998</v>
      </c>
      <c r="E389" s="4">
        <v>178.29</v>
      </c>
      <c r="F389" s="4">
        <f t="shared" si="28"/>
        <v>83.915159999999986</v>
      </c>
      <c r="G389" s="5">
        <f t="shared" si="29"/>
        <v>0.32003626473254759</v>
      </c>
      <c r="H389" s="2" t="s">
        <v>427</v>
      </c>
      <c r="I389" s="6" t="s">
        <v>39</v>
      </c>
      <c r="J389" s="2" t="s">
        <v>428</v>
      </c>
      <c r="K389" s="2" t="s">
        <v>429</v>
      </c>
      <c r="L389" s="2" t="s">
        <v>28</v>
      </c>
      <c r="M389" s="2" t="s">
        <v>5</v>
      </c>
      <c r="N389" s="4">
        <v>6511.54</v>
      </c>
    </row>
    <row r="390" spans="1:14" x14ac:dyDescent="0.25">
      <c r="A390" s="2" t="s">
        <v>390</v>
      </c>
      <c r="B390" s="2" t="s">
        <v>391</v>
      </c>
      <c r="C390" s="3">
        <v>29.6</v>
      </c>
      <c r="D390" s="4">
        <v>326.488</v>
      </c>
      <c r="E390" s="4">
        <v>222</v>
      </c>
      <c r="F390" s="4">
        <f t="shared" si="28"/>
        <v>104.488</v>
      </c>
      <c r="G390" s="5">
        <f t="shared" si="29"/>
        <v>0.32003626473254759</v>
      </c>
      <c r="H390" s="2" t="s">
        <v>433</v>
      </c>
      <c r="I390" s="6" t="s">
        <v>32</v>
      </c>
      <c r="J390" s="2" t="s">
        <v>434</v>
      </c>
      <c r="K390" s="2" t="s">
        <v>435</v>
      </c>
      <c r="L390" s="2" t="s">
        <v>28</v>
      </c>
      <c r="M390" s="2" t="s">
        <v>5</v>
      </c>
      <c r="N390" s="4">
        <v>6085.6</v>
      </c>
    </row>
    <row r="391" spans="1:14" x14ac:dyDescent="0.25">
      <c r="A391" s="2" t="s">
        <v>390</v>
      </c>
      <c r="B391" s="2" t="s">
        <v>391</v>
      </c>
      <c r="C391" s="3">
        <v>19.14</v>
      </c>
      <c r="D391" s="4">
        <v>211.11420000000001</v>
      </c>
      <c r="E391" s="4">
        <v>143.55000000000001</v>
      </c>
      <c r="F391" s="4">
        <f t="shared" si="28"/>
        <v>67.5642</v>
      </c>
      <c r="G391" s="5">
        <f t="shared" si="29"/>
        <v>0.32003626473254759</v>
      </c>
      <c r="H391" s="2" t="s">
        <v>424</v>
      </c>
      <c r="I391" s="6" t="s">
        <v>74</v>
      </c>
      <c r="J391" s="2" t="s">
        <v>425</v>
      </c>
      <c r="K391" s="2" t="s">
        <v>426</v>
      </c>
      <c r="L391" s="2" t="s">
        <v>28</v>
      </c>
      <c r="M391" s="2" t="s">
        <v>5</v>
      </c>
      <c r="N391" s="4">
        <v>6228.09</v>
      </c>
    </row>
    <row r="392" spans="1:14" x14ac:dyDescent="0.25">
      <c r="A392" s="2" t="s">
        <v>392</v>
      </c>
      <c r="B392" s="2" t="s">
        <v>393</v>
      </c>
      <c r="C392" s="3">
        <v>5.2</v>
      </c>
      <c r="D392" s="4">
        <v>75.66</v>
      </c>
      <c r="E392" s="4">
        <v>54.6</v>
      </c>
      <c r="F392" s="4">
        <f t="shared" si="28"/>
        <v>21.059999999999995</v>
      </c>
      <c r="G392" s="5">
        <f t="shared" si="29"/>
        <v>0.27835051546391748</v>
      </c>
      <c r="H392" s="2" t="s">
        <v>433</v>
      </c>
      <c r="I392" s="6" t="s">
        <v>32</v>
      </c>
      <c r="J392" s="2" t="s">
        <v>434</v>
      </c>
      <c r="K392" s="2" t="s">
        <v>435</v>
      </c>
      <c r="L392" s="2" t="s">
        <v>28</v>
      </c>
      <c r="M392" s="2" t="s">
        <v>5</v>
      </c>
      <c r="N392" s="4">
        <v>6085.6</v>
      </c>
    </row>
    <row r="393" spans="1:14" x14ac:dyDescent="0.25">
      <c r="A393" s="2" t="s">
        <v>392</v>
      </c>
      <c r="B393" s="2" t="s">
        <v>393</v>
      </c>
      <c r="C393" s="3">
        <v>5.2</v>
      </c>
      <c r="D393" s="4">
        <v>75.66</v>
      </c>
      <c r="E393" s="4">
        <v>54.6</v>
      </c>
      <c r="F393" s="4">
        <f t="shared" si="28"/>
        <v>21.059999999999995</v>
      </c>
      <c r="G393" s="5">
        <f t="shared" si="29"/>
        <v>0.27835051546391748</v>
      </c>
      <c r="H393" s="2" t="s">
        <v>424</v>
      </c>
      <c r="I393" s="6" t="s">
        <v>74</v>
      </c>
      <c r="J393" s="2" t="s">
        <v>425</v>
      </c>
      <c r="K393" s="2" t="s">
        <v>426</v>
      </c>
      <c r="L393" s="2" t="s">
        <v>28</v>
      </c>
      <c r="M393" s="2" t="s">
        <v>5</v>
      </c>
      <c r="N393" s="4">
        <v>6228.09</v>
      </c>
    </row>
    <row r="394" spans="1:14" x14ac:dyDescent="0.25">
      <c r="A394" s="2" t="s">
        <v>392</v>
      </c>
      <c r="B394" s="2" t="s">
        <v>393</v>
      </c>
      <c r="C394" s="3">
        <v>5.2</v>
      </c>
      <c r="D394" s="4">
        <v>75.66</v>
      </c>
      <c r="E394" s="4">
        <v>54.6</v>
      </c>
      <c r="F394" s="4">
        <f t="shared" si="28"/>
        <v>21.059999999999995</v>
      </c>
      <c r="G394" s="5">
        <f t="shared" si="29"/>
        <v>0.27835051546391748</v>
      </c>
      <c r="H394" s="2" t="s">
        <v>427</v>
      </c>
      <c r="I394" s="6" t="s">
        <v>39</v>
      </c>
      <c r="J394" s="2" t="s">
        <v>428</v>
      </c>
      <c r="K394" s="2" t="s">
        <v>429</v>
      </c>
      <c r="L394" s="2" t="s">
        <v>28</v>
      </c>
      <c r="M394" s="2" t="s">
        <v>5</v>
      </c>
      <c r="N394" s="4">
        <v>6511.54</v>
      </c>
    </row>
    <row r="395" spans="1:14" x14ac:dyDescent="0.25">
      <c r="A395" s="2" t="s">
        <v>442</v>
      </c>
      <c r="B395" s="2" t="s">
        <v>443</v>
      </c>
      <c r="C395" s="3">
        <v>32</v>
      </c>
      <c r="D395" s="4">
        <v>568.32000000000005</v>
      </c>
      <c r="E395" s="4">
        <v>520</v>
      </c>
      <c r="F395" s="4">
        <f t="shared" si="28"/>
        <v>48.32000000000005</v>
      </c>
      <c r="G395" s="5">
        <f t="shared" si="29"/>
        <v>8.5022522522522598E-2</v>
      </c>
      <c r="H395" s="2" t="s">
        <v>427</v>
      </c>
      <c r="I395" s="6" t="s">
        <v>39</v>
      </c>
      <c r="J395" s="2" t="s">
        <v>428</v>
      </c>
      <c r="K395" s="2" t="s">
        <v>429</v>
      </c>
      <c r="L395" s="2" t="s">
        <v>28</v>
      </c>
      <c r="M395" s="2" t="s">
        <v>5</v>
      </c>
      <c r="N395" s="4">
        <v>6511.54</v>
      </c>
    </row>
    <row r="396" spans="1:14" x14ac:dyDescent="0.25">
      <c r="A396" s="2" t="s">
        <v>442</v>
      </c>
      <c r="B396" s="2" t="s">
        <v>443</v>
      </c>
      <c r="C396" s="3">
        <v>16</v>
      </c>
      <c r="D396" s="4">
        <v>284.16000000000003</v>
      </c>
      <c r="E396" s="4">
        <v>260</v>
      </c>
      <c r="F396" s="4">
        <f t="shared" si="28"/>
        <v>24.160000000000025</v>
      </c>
      <c r="G396" s="5">
        <f t="shared" si="29"/>
        <v>8.5022522522522598E-2</v>
      </c>
      <c r="H396" s="2" t="s">
        <v>430</v>
      </c>
      <c r="I396" s="6" t="s">
        <v>74</v>
      </c>
      <c r="J396" s="2" t="s">
        <v>431</v>
      </c>
      <c r="K396" s="2" t="s">
        <v>432</v>
      </c>
      <c r="L396" s="2" t="s">
        <v>28</v>
      </c>
      <c r="M396" s="2" t="s">
        <v>5</v>
      </c>
      <c r="N396" s="4">
        <v>5807.29</v>
      </c>
    </row>
    <row r="397" spans="1:14" x14ac:dyDescent="0.25">
      <c r="A397" s="2" t="s">
        <v>442</v>
      </c>
      <c r="B397" s="2" t="s">
        <v>443</v>
      </c>
      <c r="C397" s="3">
        <v>32</v>
      </c>
      <c r="D397" s="4">
        <v>568.32000000000005</v>
      </c>
      <c r="E397" s="4">
        <v>520</v>
      </c>
      <c r="F397" s="4">
        <f t="shared" si="28"/>
        <v>48.32000000000005</v>
      </c>
      <c r="G397" s="5">
        <f t="shared" si="29"/>
        <v>8.5022522522522598E-2</v>
      </c>
      <c r="H397" s="2" t="s">
        <v>424</v>
      </c>
      <c r="I397" s="6" t="s">
        <v>74</v>
      </c>
      <c r="J397" s="2" t="s">
        <v>425</v>
      </c>
      <c r="K397" s="2" t="s">
        <v>426</v>
      </c>
      <c r="L397" s="2" t="s">
        <v>28</v>
      </c>
      <c r="M397" s="2" t="s">
        <v>5</v>
      </c>
      <c r="N397" s="4">
        <v>6228.09</v>
      </c>
    </row>
    <row r="398" spans="1:14" x14ac:dyDescent="0.25">
      <c r="A398" s="2" t="s">
        <v>394</v>
      </c>
      <c r="B398" s="2" t="s">
        <v>395</v>
      </c>
      <c r="C398" s="3">
        <v>22.22</v>
      </c>
      <c r="D398" s="4">
        <v>361.74160000000001</v>
      </c>
      <c r="E398" s="4">
        <v>366.63</v>
      </c>
      <c r="F398" s="4">
        <f t="shared" si="28"/>
        <v>-4.8883999999999901</v>
      </c>
      <c r="G398" s="5">
        <f t="shared" si="29"/>
        <v>-1.3513513513513487E-2</v>
      </c>
      <c r="H398" s="2" t="s">
        <v>430</v>
      </c>
      <c r="I398" s="6" t="s">
        <v>74</v>
      </c>
      <c r="J398" s="2" t="s">
        <v>431</v>
      </c>
      <c r="K398" s="2" t="s">
        <v>432</v>
      </c>
      <c r="L398" s="2" t="s">
        <v>28</v>
      </c>
      <c r="M398" s="2" t="s">
        <v>5</v>
      </c>
      <c r="N398" s="4">
        <v>5807.29</v>
      </c>
    </row>
    <row r="399" spans="1:14" x14ac:dyDescent="0.25">
      <c r="A399" s="2" t="s">
        <v>394</v>
      </c>
      <c r="B399" s="2" t="s">
        <v>395</v>
      </c>
      <c r="C399" s="3">
        <v>43.44</v>
      </c>
      <c r="D399" s="4">
        <v>707.20320000000004</v>
      </c>
      <c r="E399" s="4">
        <v>716.76</v>
      </c>
      <c r="F399" s="4">
        <f t="shared" si="28"/>
        <v>-9.5567999999999529</v>
      </c>
      <c r="G399" s="5">
        <f t="shared" si="29"/>
        <v>-1.3513513513513447E-2</v>
      </c>
      <c r="H399" s="2" t="s">
        <v>424</v>
      </c>
      <c r="I399" s="6" t="s">
        <v>74</v>
      </c>
      <c r="J399" s="2" t="s">
        <v>425</v>
      </c>
      <c r="K399" s="2" t="s">
        <v>426</v>
      </c>
      <c r="L399" s="2" t="s">
        <v>28</v>
      </c>
      <c r="M399" s="2" t="s">
        <v>5</v>
      </c>
      <c r="N399" s="4">
        <v>6228.09</v>
      </c>
    </row>
    <row r="400" spans="1:14" x14ac:dyDescent="0.25">
      <c r="A400" s="2" t="s">
        <v>398</v>
      </c>
      <c r="B400" s="2" t="s">
        <v>399</v>
      </c>
      <c r="C400" s="3">
        <v>66.25</v>
      </c>
      <c r="D400" s="4">
        <v>991.76250000000005</v>
      </c>
      <c r="E400" s="4">
        <v>722.125</v>
      </c>
      <c r="F400" s="4">
        <f t="shared" si="28"/>
        <v>269.63750000000005</v>
      </c>
      <c r="G400" s="5">
        <f t="shared" si="29"/>
        <v>0.27187708750835005</v>
      </c>
      <c r="H400" s="2" t="s">
        <v>427</v>
      </c>
      <c r="I400" s="6" t="s">
        <v>39</v>
      </c>
      <c r="J400" s="2" t="s">
        <v>428</v>
      </c>
      <c r="K400" s="2" t="s">
        <v>429</v>
      </c>
      <c r="L400" s="2" t="s">
        <v>28</v>
      </c>
      <c r="M400" s="2" t="s">
        <v>5</v>
      </c>
      <c r="N400" s="4">
        <v>6511.54</v>
      </c>
    </row>
    <row r="401" spans="1:14" x14ac:dyDescent="0.25">
      <c r="A401" s="2" t="s">
        <v>444</v>
      </c>
      <c r="B401" s="2" t="s">
        <v>445</v>
      </c>
      <c r="C401" s="3">
        <v>15.91</v>
      </c>
      <c r="D401" s="4">
        <v>127.9164</v>
      </c>
      <c r="E401" s="4">
        <v>112.961</v>
      </c>
      <c r="F401" s="4">
        <f t="shared" si="28"/>
        <v>14.955399999999997</v>
      </c>
      <c r="G401" s="5">
        <f t="shared" si="29"/>
        <v>0.11691542288557212</v>
      </c>
      <c r="H401" s="2" t="s">
        <v>430</v>
      </c>
      <c r="I401" s="6" t="s">
        <v>74</v>
      </c>
      <c r="J401" s="2" t="s">
        <v>431</v>
      </c>
      <c r="K401" s="2" t="s">
        <v>432</v>
      </c>
      <c r="L401" s="2" t="s">
        <v>28</v>
      </c>
      <c r="M401" s="2" t="s">
        <v>5</v>
      </c>
      <c r="N401" s="4">
        <v>5807.29</v>
      </c>
    </row>
    <row r="402" spans="1:14" x14ac:dyDescent="0.25">
      <c r="A402" s="2" t="s">
        <v>444</v>
      </c>
      <c r="B402" s="2" t="s">
        <v>445</v>
      </c>
      <c r="C402" s="3">
        <v>15.4</v>
      </c>
      <c r="D402" s="4">
        <v>123.816</v>
      </c>
      <c r="E402" s="4">
        <v>109.34</v>
      </c>
      <c r="F402" s="4">
        <f t="shared" si="28"/>
        <v>14.475999999999999</v>
      </c>
      <c r="G402" s="5">
        <f t="shared" si="29"/>
        <v>0.11691542288557213</v>
      </c>
      <c r="H402" s="2" t="s">
        <v>427</v>
      </c>
      <c r="I402" s="6" t="s">
        <v>39</v>
      </c>
      <c r="J402" s="2" t="s">
        <v>428</v>
      </c>
      <c r="K402" s="2" t="s">
        <v>429</v>
      </c>
      <c r="L402" s="2" t="s">
        <v>28</v>
      </c>
      <c r="M402" s="2" t="s">
        <v>5</v>
      </c>
      <c r="N402" s="4">
        <v>6511.54</v>
      </c>
    </row>
    <row r="403" spans="1:14" x14ac:dyDescent="0.25">
      <c r="A403" s="2" t="s">
        <v>400</v>
      </c>
      <c r="B403" s="2" t="s">
        <v>401</v>
      </c>
      <c r="C403" s="3">
        <v>15.38</v>
      </c>
      <c r="D403" s="4">
        <v>184.25239999999999</v>
      </c>
      <c r="E403" s="4">
        <v>124.578</v>
      </c>
      <c r="F403" s="4">
        <f t="shared" si="28"/>
        <v>59.674399999999991</v>
      </c>
      <c r="G403" s="5">
        <f t="shared" si="29"/>
        <v>0.32387312186978295</v>
      </c>
      <c r="H403" s="2" t="s">
        <v>424</v>
      </c>
      <c r="I403" s="6" t="s">
        <v>74</v>
      </c>
      <c r="J403" s="2" t="s">
        <v>425</v>
      </c>
      <c r="K403" s="2" t="s">
        <v>426</v>
      </c>
      <c r="L403" s="2" t="s">
        <v>28</v>
      </c>
      <c r="M403" s="2" t="s">
        <v>5</v>
      </c>
      <c r="N403" s="4">
        <v>6228.09</v>
      </c>
    </row>
    <row r="404" spans="1:14" x14ac:dyDescent="0.25">
      <c r="A404" s="2" t="s">
        <v>446</v>
      </c>
      <c r="B404" s="2" t="s">
        <v>447</v>
      </c>
      <c r="C404" s="3">
        <v>50.49</v>
      </c>
      <c r="D404" s="4">
        <v>673.53660000000002</v>
      </c>
      <c r="E404" s="4">
        <v>479.65499999999997</v>
      </c>
      <c r="F404" s="4">
        <f t="shared" si="28"/>
        <v>193.88160000000005</v>
      </c>
      <c r="G404" s="5">
        <f t="shared" si="29"/>
        <v>0.28785607196401808</v>
      </c>
      <c r="H404" s="2" t="s">
        <v>433</v>
      </c>
      <c r="I404" s="6" t="s">
        <v>32</v>
      </c>
      <c r="J404" s="2" t="s">
        <v>434</v>
      </c>
      <c r="K404" s="2" t="s">
        <v>435</v>
      </c>
      <c r="L404" s="2" t="s">
        <v>28</v>
      </c>
      <c r="M404" s="2" t="s">
        <v>5</v>
      </c>
      <c r="N404" s="4">
        <v>6085.6</v>
      </c>
    </row>
    <row r="405" spans="1:14" x14ac:dyDescent="0.25">
      <c r="A405" s="2" t="s">
        <v>402</v>
      </c>
      <c r="B405" s="2" t="s">
        <v>403</v>
      </c>
      <c r="C405" s="3">
        <v>58.1</v>
      </c>
      <c r="D405" s="4">
        <v>546.14</v>
      </c>
      <c r="E405" s="4">
        <v>424.13</v>
      </c>
      <c r="F405" s="4">
        <f t="shared" si="28"/>
        <v>122.00999999999999</v>
      </c>
      <c r="G405" s="5">
        <f t="shared" si="29"/>
        <v>0.22340425531914893</v>
      </c>
      <c r="H405" s="2" t="s">
        <v>433</v>
      </c>
      <c r="I405" s="6" t="s">
        <v>32</v>
      </c>
      <c r="J405" s="2" t="s">
        <v>434</v>
      </c>
      <c r="K405" s="2" t="s">
        <v>435</v>
      </c>
      <c r="L405" s="2" t="s">
        <v>28</v>
      </c>
      <c r="M405" s="2" t="s">
        <v>5</v>
      </c>
      <c r="N405" s="4">
        <v>6085.6</v>
      </c>
    </row>
    <row r="406" spans="1:14" x14ac:dyDescent="0.25">
      <c r="A406" s="2" t="s">
        <v>402</v>
      </c>
      <c r="B406" s="2" t="s">
        <v>403</v>
      </c>
      <c r="C406" s="3">
        <v>58.22</v>
      </c>
      <c r="D406" s="4">
        <v>547.26800000000003</v>
      </c>
      <c r="E406" s="4">
        <v>425.00599999999997</v>
      </c>
      <c r="F406" s="4">
        <f t="shared" si="28"/>
        <v>122.26200000000006</v>
      </c>
      <c r="G406" s="5">
        <f t="shared" si="29"/>
        <v>0.22340425531914904</v>
      </c>
      <c r="H406" s="2" t="s">
        <v>430</v>
      </c>
      <c r="I406" s="6" t="s">
        <v>74</v>
      </c>
      <c r="J406" s="2" t="s">
        <v>431</v>
      </c>
      <c r="K406" s="2" t="s">
        <v>432</v>
      </c>
      <c r="L406" s="2" t="s">
        <v>28</v>
      </c>
      <c r="M406" s="2" t="s">
        <v>5</v>
      </c>
      <c r="N406" s="4">
        <v>5807.29</v>
      </c>
    </row>
    <row r="407" spans="1:14" x14ac:dyDescent="0.25">
      <c r="A407" s="2" t="s">
        <v>448</v>
      </c>
      <c r="B407" s="2" t="s">
        <v>449</v>
      </c>
      <c r="C407" s="3">
        <v>29.72</v>
      </c>
      <c r="D407" s="4">
        <v>277.88200000000001</v>
      </c>
      <c r="E407" s="4">
        <v>216.95599999999999</v>
      </c>
      <c r="F407" s="4">
        <f t="shared" ref="F407:F438" si="30">D407-E407</f>
        <v>60.926000000000016</v>
      </c>
      <c r="G407" s="5">
        <f t="shared" ref="G407:G426" si="31">IF(((D407)=0),0,(D407-E407)/ D407)</f>
        <v>0.21925133689839577</v>
      </c>
      <c r="H407" s="2" t="s">
        <v>427</v>
      </c>
      <c r="I407" s="6" t="s">
        <v>39</v>
      </c>
      <c r="J407" s="2" t="s">
        <v>428</v>
      </c>
      <c r="K407" s="2" t="s">
        <v>429</v>
      </c>
      <c r="L407" s="2" t="s">
        <v>28</v>
      </c>
      <c r="M407" s="2" t="s">
        <v>5</v>
      </c>
      <c r="N407" s="4">
        <v>6511.54</v>
      </c>
    </row>
    <row r="408" spans="1:14" x14ac:dyDescent="0.25">
      <c r="A408" s="2" t="s">
        <v>448</v>
      </c>
      <c r="B408" s="2" t="s">
        <v>449</v>
      </c>
      <c r="C408" s="3">
        <v>17.32</v>
      </c>
      <c r="D408" s="4">
        <v>161.94200000000001</v>
      </c>
      <c r="E408" s="4">
        <v>126.43600000000001</v>
      </c>
      <c r="F408" s="4">
        <f t="shared" si="30"/>
        <v>35.506</v>
      </c>
      <c r="G408" s="5">
        <f t="shared" si="31"/>
        <v>0.21925133689839571</v>
      </c>
      <c r="H408" s="2" t="s">
        <v>433</v>
      </c>
      <c r="I408" s="6" t="s">
        <v>32</v>
      </c>
      <c r="J408" s="2" t="s">
        <v>434</v>
      </c>
      <c r="K408" s="2" t="s">
        <v>435</v>
      </c>
      <c r="L408" s="2" t="s">
        <v>28</v>
      </c>
      <c r="M408" s="2" t="s">
        <v>5</v>
      </c>
      <c r="N408" s="4">
        <v>6085.6</v>
      </c>
    </row>
    <row r="409" spans="1:14" x14ac:dyDescent="0.25">
      <c r="A409" s="2" t="s">
        <v>450</v>
      </c>
      <c r="B409" s="2" t="s">
        <v>451</v>
      </c>
      <c r="C409" s="3">
        <v>21.66</v>
      </c>
      <c r="D409" s="4">
        <v>215.0838</v>
      </c>
      <c r="E409" s="4">
        <v>175.446</v>
      </c>
      <c r="F409" s="4">
        <f t="shared" si="30"/>
        <v>39.637799999999999</v>
      </c>
      <c r="G409" s="5">
        <f t="shared" si="31"/>
        <v>0.18429003021148035</v>
      </c>
      <c r="H409" s="2" t="s">
        <v>430</v>
      </c>
      <c r="I409" s="6" t="s">
        <v>74</v>
      </c>
      <c r="J409" s="2" t="s">
        <v>431</v>
      </c>
      <c r="K409" s="2" t="s">
        <v>432</v>
      </c>
      <c r="L409" s="2" t="s">
        <v>28</v>
      </c>
      <c r="M409" s="2" t="s">
        <v>5</v>
      </c>
      <c r="N409" s="4">
        <v>5807.29</v>
      </c>
    </row>
    <row r="410" spans="1:14" x14ac:dyDescent="0.25">
      <c r="A410" s="2" t="s">
        <v>404</v>
      </c>
      <c r="B410" s="2" t="s">
        <v>405</v>
      </c>
      <c r="C410" s="3">
        <v>29.62</v>
      </c>
      <c r="D410" s="4">
        <v>238.1448</v>
      </c>
      <c r="E410" s="4">
        <v>210.30199999999999</v>
      </c>
      <c r="F410" s="4">
        <f t="shared" si="30"/>
        <v>27.842800000000011</v>
      </c>
      <c r="G410" s="5">
        <f t="shared" si="31"/>
        <v>0.11691542288557219</v>
      </c>
      <c r="H410" s="2" t="s">
        <v>433</v>
      </c>
      <c r="I410" s="6" t="s">
        <v>32</v>
      </c>
      <c r="J410" s="2" t="s">
        <v>434</v>
      </c>
      <c r="K410" s="2" t="s">
        <v>435</v>
      </c>
      <c r="L410" s="2" t="s">
        <v>28</v>
      </c>
      <c r="M410" s="2" t="s">
        <v>5</v>
      </c>
      <c r="N410" s="4">
        <v>6085.6</v>
      </c>
    </row>
    <row r="411" spans="1:14" x14ac:dyDescent="0.25">
      <c r="A411" s="2" t="s">
        <v>404</v>
      </c>
      <c r="B411" s="2" t="s">
        <v>405</v>
      </c>
      <c r="C411" s="3">
        <v>29.23</v>
      </c>
      <c r="D411" s="4">
        <v>235.00919999999999</v>
      </c>
      <c r="E411" s="4">
        <v>207.53299999999999</v>
      </c>
      <c r="F411" s="4">
        <f t="shared" si="30"/>
        <v>27.476200000000006</v>
      </c>
      <c r="G411" s="5">
        <f t="shared" si="31"/>
        <v>0.11691542288557216</v>
      </c>
      <c r="H411" s="2" t="s">
        <v>424</v>
      </c>
      <c r="I411" s="6" t="s">
        <v>74</v>
      </c>
      <c r="J411" s="2" t="s">
        <v>425</v>
      </c>
      <c r="K411" s="2" t="s">
        <v>426</v>
      </c>
      <c r="L411" s="2" t="s">
        <v>28</v>
      </c>
      <c r="M411" s="2" t="s">
        <v>5</v>
      </c>
      <c r="N411" s="4">
        <v>6228.09</v>
      </c>
    </row>
    <row r="412" spans="1:14" x14ac:dyDescent="0.25">
      <c r="A412" s="2" t="s">
        <v>404</v>
      </c>
      <c r="B412" s="2" t="s">
        <v>405</v>
      </c>
      <c r="C412" s="3">
        <v>28.61</v>
      </c>
      <c r="D412" s="4">
        <v>230.02440000000001</v>
      </c>
      <c r="E412" s="4">
        <v>203.131</v>
      </c>
      <c r="F412" s="4">
        <f t="shared" si="30"/>
        <v>26.893400000000014</v>
      </c>
      <c r="G412" s="5">
        <f t="shared" si="31"/>
        <v>0.11691542288557219</v>
      </c>
      <c r="H412" s="2" t="s">
        <v>427</v>
      </c>
      <c r="I412" s="6" t="s">
        <v>39</v>
      </c>
      <c r="J412" s="2" t="s">
        <v>428</v>
      </c>
      <c r="K412" s="2" t="s">
        <v>429</v>
      </c>
      <c r="L412" s="2" t="s">
        <v>28</v>
      </c>
      <c r="M412" s="2" t="s">
        <v>5</v>
      </c>
      <c r="N412" s="4">
        <v>6511.54</v>
      </c>
    </row>
    <row r="413" spans="1:14" x14ac:dyDescent="0.25">
      <c r="A413" s="2" t="s">
        <v>408</v>
      </c>
      <c r="B413" s="2" t="s">
        <v>409</v>
      </c>
      <c r="C413" s="3">
        <v>63.784999999999997</v>
      </c>
      <c r="D413" s="4">
        <v>1122.616</v>
      </c>
      <c r="E413" s="4">
        <v>877.04375000000005</v>
      </c>
      <c r="F413" s="4">
        <f t="shared" si="30"/>
        <v>245.57224999999994</v>
      </c>
      <c r="G413" s="5">
        <f t="shared" si="31"/>
        <v>0.21874999999999994</v>
      </c>
      <c r="H413" s="2" t="s">
        <v>424</v>
      </c>
      <c r="I413" s="6" t="s">
        <v>74</v>
      </c>
      <c r="J413" s="2" t="s">
        <v>425</v>
      </c>
      <c r="K413" s="2" t="s">
        <v>426</v>
      </c>
      <c r="L413" s="2" t="s">
        <v>28</v>
      </c>
      <c r="M413" s="2" t="s">
        <v>5</v>
      </c>
      <c r="N413" s="4">
        <v>6228.09</v>
      </c>
    </row>
    <row r="414" spans="1:14" x14ac:dyDescent="0.25">
      <c r="A414" s="2" t="s">
        <v>408</v>
      </c>
      <c r="B414" s="2" t="s">
        <v>409</v>
      </c>
      <c r="C414" s="3">
        <v>35.305</v>
      </c>
      <c r="D414" s="4">
        <v>621.36800000000005</v>
      </c>
      <c r="E414" s="4">
        <v>485.44375000000002</v>
      </c>
      <c r="F414" s="4">
        <f t="shared" si="30"/>
        <v>135.92425000000003</v>
      </c>
      <c r="G414" s="5">
        <f t="shared" si="31"/>
        <v>0.21875000000000003</v>
      </c>
      <c r="H414" s="2" t="s">
        <v>430</v>
      </c>
      <c r="I414" s="6" t="s">
        <v>74</v>
      </c>
      <c r="J414" s="2" t="s">
        <v>431</v>
      </c>
      <c r="K414" s="2" t="s">
        <v>432</v>
      </c>
      <c r="L414" s="2" t="s">
        <v>28</v>
      </c>
      <c r="M414" s="2" t="s">
        <v>5</v>
      </c>
      <c r="N414" s="4">
        <v>5807.29</v>
      </c>
    </row>
    <row r="415" spans="1:14" x14ac:dyDescent="0.25">
      <c r="A415" s="2" t="s">
        <v>408</v>
      </c>
      <c r="B415" s="2" t="s">
        <v>409</v>
      </c>
      <c r="C415" s="3">
        <v>36.335000000000001</v>
      </c>
      <c r="D415" s="4">
        <v>639.49599999999998</v>
      </c>
      <c r="E415" s="4">
        <v>499.60624999999999</v>
      </c>
      <c r="F415" s="4">
        <f t="shared" si="30"/>
        <v>139.88974999999999</v>
      </c>
      <c r="G415" s="5">
        <f t="shared" si="31"/>
        <v>0.21875</v>
      </c>
      <c r="H415" s="2" t="s">
        <v>427</v>
      </c>
      <c r="I415" s="6" t="s">
        <v>39</v>
      </c>
      <c r="J415" s="2" t="s">
        <v>428</v>
      </c>
      <c r="K415" s="2" t="s">
        <v>429</v>
      </c>
      <c r="L415" s="2" t="s">
        <v>28</v>
      </c>
      <c r="M415" s="2" t="s">
        <v>5</v>
      </c>
      <c r="N415" s="4">
        <v>6511.54</v>
      </c>
    </row>
    <row r="416" spans="1:14" x14ac:dyDescent="0.25">
      <c r="A416" s="2" t="s">
        <v>408</v>
      </c>
      <c r="B416" s="2" t="s">
        <v>409</v>
      </c>
      <c r="C416" s="3">
        <v>27.7</v>
      </c>
      <c r="D416" s="4">
        <v>487.52</v>
      </c>
      <c r="E416" s="4">
        <v>380.875</v>
      </c>
      <c r="F416" s="4">
        <f t="shared" si="30"/>
        <v>106.64499999999998</v>
      </c>
      <c r="G416" s="5">
        <f t="shared" si="31"/>
        <v>0.21874999999999997</v>
      </c>
      <c r="H416" s="2" t="s">
        <v>433</v>
      </c>
      <c r="I416" s="6" t="s">
        <v>32</v>
      </c>
      <c r="J416" s="2" t="s">
        <v>434</v>
      </c>
      <c r="K416" s="2" t="s">
        <v>435</v>
      </c>
      <c r="L416" s="2" t="s">
        <v>28</v>
      </c>
      <c r="M416" s="2" t="s">
        <v>5</v>
      </c>
      <c r="N416" s="4">
        <v>6085.6</v>
      </c>
    </row>
    <row r="417" spans="1:14" x14ac:dyDescent="0.25">
      <c r="A417" s="2" t="s">
        <v>410</v>
      </c>
      <c r="B417" s="2" t="s">
        <v>411</v>
      </c>
      <c r="C417" s="3">
        <v>4</v>
      </c>
      <c r="D417" s="4">
        <v>84.24</v>
      </c>
      <c r="E417" s="4">
        <v>65.92</v>
      </c>
      <c r="F417" s="4">
        <f t="shared" si="30"/>
        <v>18.319999999999993</v>
      </c>
      <c r="G417" s="5">
        <f t="shared" si="31"/>
        <v>0.21747388414055074</v>
      </c>
      <c r="H417" s="2" t="s">
        <v>433</v>
      </c>
      <c r="I417" s="6" t="s">
        <v>32</v>
      </c>
      <c r="J417" s="2" t="s">
        <v>434</v>
      </c>
      <c r="K417" s="2" t="s">
        <v>435</v>
      </c>
      <c r="L417" s="2" t="s">
        <v>28</v>
      </c>
      <c r="M417" s="2" t="s">
        <v>5</v>
      </c>
      <c r="N417" s="4">
        <v>6085.6</v>
      </c>
    </row>
    <row r="418" spans="1:14" x14ac:dyDescent="0.25">
      <c r="A418" s="2" t="s">
        <v>410</v>
      </c>
      <c r="B418" s="2" t="s">
        <v>411</v>
      </c>
      <c r="C418" s="3">
        <v>3</v>
      </c>
      <c r="D418" s="4">
        <v>63.18</v>
      </c>
      <c r="E418" s="4">
        <v>49.44</v>
      </c>
      <c r="F418" s="4">
        <f t="shared" si="30"/>
        <v>13.740000000000002</v>
      </c>
      <c r="G418" s="5">
        <f t="shared" si="31"/>
        <v>0.21747388414055083</v>
      </c>
      <c r="H418" s="2" t="s">
        <v>430</v>
      </c>
      <c r="I418" s="6" t="s">
        <v>74</v>
      </c>
      <c r="J418" s="2" t="s">
        <v>431</v>
      </c>
      <c r="K418" s="2" t="s">
        <v>432</v>
      </c>
      <c r="L418" s="2" t="s">
        <v>28</v>
      </c>
      <c r="M418" s="2" t="s">
        <v>5</v>
      </c>
      <c r="N418" s="4">
        <v>5807.29</v>
      </c>
    </row>
    <row r="419" spans="1:14" x14ac:dyDescent="0.25">
      <c r="A419" s="2" t="s">
        <v>412</v>
      </c>
      <c r="B419" s="2" t="s">
        <v>413</v>
      </c>
      <c r="C419" s="3">
        <v>4</v>
      </c>
      <c r="D419" s="4">
        <v>84.68</v>
      </c>
      <c r="E419" s="4">
        <v>64.56</v>
      </c>
      <c r="F419" s="4">
        <f t="shared" si="30"/>
        <v>20.120000000000005</v>
      </c>
      <c r="G419" s="5">
        <f t="shared" si="31"/>
        <v>0.2376003778932452</v>
      </c>
      <c r="H419" s="2" t="s">
        <v>424</v>
      </c>
      <c r="I419" s="6" t="s">
        <v>74</v>
      </c>
      <c r="J419" s="2" t="s">
        <v>425</v>
      </c>
      <c r="K419" s="2" t="s">
        <v>426</v>
      </c>
      <c r="L419" s="2" t="s">
        <v>28</v>
      </c>
      <c r="M419" s="2" t="s">
        <v>5</v>
      </c>
      <c r="N419" s="4">
        <v>6228.09</v>
      </c>
    </row>
    <row r="420" spans="1:14" x14ac:dyDescent="0.25">
      <c r="A420" s="2" t="s">
        <v>412</v>
      </c>
      <c r="B420" s="2" t="s">
        <v>413</v>
      </c>
      <c r="C420" s="3">
        <v>4</v>
      </c>
      <c r="D420" s="4">
        <v>84.68</v>
      </c>
      <c r="E420" s="4">
        <v>64.56</v>
      </c>
      <c r="F420" s="4">
        <f t="shared" si="30"/>
        <v>20.120000000000005</v>
      </c>
      <c r="G420" s="5">
        <f t="shared" si="31"/>
        <v>0.2376003778932452</v>
      </c>
      <c r="H420" s="2" t="s">
        <v>427</v>
      </c>
      <c r="I420" s="6" t="s">
        <v>39</v>
      </c>
      <c r="J420" s="2" t="s">
        <v>428</v>
      </c>
      <c r="K420" s="2" t="s">
        <v>429</v>
      </c>
      <c r="L420" s="2" t="s">
        <v>28</v>
      </c>
      <c r="M420" s="2" t="s">
        <v>5</v>
      </c>
      <c r="N420" s="4">
        <v>6511.54</v>
      </c>
    </row>
    <row r="421" spans="1:14" x14ac:dyDescent="0.25">
      <c r="A421" s="2" t="s">
        <v>412</v>
      </c>
      <c r="B421" s="2" t="s">
        <v>413</v>
      </c>
      <c r="C421" s="3">
        <v>4</v>
      </c>
      <c r="D421" s="4">
        <v>84.68</v>
      </c>
      <c r="E421" s="4">
        <v>64.56</v>
      </c>
      <c r="F421" s="4">
        <f t="shared" si="30"/>
        <v>20.120000000000005</v>
      </c>
      <c r="G421" s="5">
        <f t="shared" si="31"/>
        <v>0.2376003778932452</v>
      </c>
      <c r="H421" s="2" t="s">
        <v>430</v>
      </c>
      <c r="I421" s="6" t="s">
        <v>74</v>
      </c>
      <c r="J421" s="2" t="s">
        <v>431</v>
      </c>
      <c r="K421" s="2" t="s">
        <v>432</v>
      </c>
      <c r="L421" s="2" t="s">
        <v>28</v>
      </c>
      <c r="M421" s="2" t="s">
        <v>5</v>
      </c>
      <c r="N421" s="4">
        <v>5807.29</v>
      </c>
    </row>
    <row r="422" spans="1:14" x14ac:dyDescent="0.25">
      <c r="A422" s="2" t="s">
        <v>414</v>
      </c>
      <c r="B422" s="2" t="s">
        <v>415</v>
      </c>
      <c r="C422" s="3">
        <v>23.4</v>
      </c>
      <c r="D422" s="4">
        <v>282.67200000000003</v>
      </c>
      <c r="E422" s="4">
        <v>198.9</v>
      </c>
      <c r="F422" s="4">
        <f t="shared" si="30"/>
        <v>83.77200000000002</v>
      </c>
      <c r="G422" s="5">
        <f t="shared" si="31"/>
        <v>0.29635761589403981</v>
      </c>
      <c r="H422" s="2" t="s">
        <v>427</v>
      </c>
      <c r="I422" s="6" t="s">
        <v>39</v>
      </c>
      <c r="J422" s="2" t="s">
        <v>428</v>
      </c>
      <c r="K422" s="2" t="s">
        <v>429</v>
      </c>
      <c r="L422" s="2" t="s">
        <v>28</v>
      </c>
      <c r="M422" s="2" t="s">
        <v>5</v>
      </c>
      <c r="N422" s="4">
        <v>6511.54</v>
      </c>
    </row>
    <row r="423" spans="1:14" x14ac:dyDescent="0.25">
      <c r="A423" s="2" t="s">
        <v>416</v>
      </c>
      <c r="B423" s="2" t="s">
        <v>417</v>
      </c>
      <c r="C423" s="3">
        <v>28.954999999999998</v>
      </c>
      <c r="D423" s="4">
        <v>270.72924999999998</v>
      </c>
      <c r="E423" s="4">
        <v>217.16249999999999</v>
      </c>
      <c r="F423" s="4">
        <f t="shared" si="30"/>
        <v>53.566749999999985</v>
      </c>
      <c r="G423" s="5">
        <f t="shared" si="31"/>
        <v>0.19786096256684488</v>
      </c>
      <c r="H423" s="2" t="s">
        <v>433</v>
      </c>
      <c r="I423" s="6" t="s">
        <v>32</v>
      </c>
      <c r="J423" s="2" t="s">
        <v>434</v>
      </c>
      <c r="K423" s="2" t="s">
        <v>435</v>
      </c>
      <c r="L423" s="2" t="s">
        <v>28</v>
      </c>
      <c r="M423" s="2" t="s">
        <v>5</v>
      </c>
      <c r="N423" s="4">
        <v>6085.6</v>
      </c>
    </row>
    <row r="424" spans="1:14" x14ac:dyDescent="0.25">
      <c r="A424" s="2" t="s">
        <v>418</v>
      </c>
      <c r="B424" s="2" t="s">
        <v>419</v>
      </c>
      <c r="C424" s="3">
        <v>15.586</v>
      </c>
      <c r="D424" s="4">
        <v>145.72909999999999</v>
      </c>
      <c r="E424" s="4">
        <v>148.06700000000001</v>
      </c>
      <c r="F424" s="4">
        <f t="shared" si="30"/>
        <v>-2.337900000000019</v>
      </c>
      <c r="G424" s="5">
        <f t="shared" si="31"/>
        <v>-1.6042780748663232E-2</v>
      </c>
      <c r="H424" s="2" t="s">
        <v>433</v>
      </c>
      <c r="I424" s="6" t="s">
        <v>32</v>
      </c>
      <c r="J424" s="2" t="s">
        <v>434</v>
      </c>
      <c r="K424" s="2" t="s">
        <v>435</v>
      </c>
      <c r="L424" s="2" t="s">
        <v>28</v>
      </c>
      <c r="M424" s="2" t="s">
        <v>5</v>
      </c>
      <c r="N424" s="4">
        <v>6085.6</v>
      </c>
    </row>
    <row r="425" spans="1:14" x14ac:dyDescent="0.25">
      <c r="A425" s="2" t="s">
        <v>418</v>
      </c>
      <c r="B425" s="2" t="s">
        <v>419</v>
      </c>
      <c r="C425" s="3">
        <v>14.17</v>
      </c>
      <c r="D425" s="4">
        <v>132.48949999999999</v>
      </c>
      <c r="E425" s="4">
        <v>134.61500000000001</v>
      </c>
      <c r="F425" s="4">
        <f t="shared" si="30"/>
        <v>-2.1255000000000166</v>
      </c>
      <c r="G425" s="5">
        <f t="shared" si="31"/>
        <v>-1.6042780748663228E-2</v>
      </c>
      <c r="H425" s="2" t="s">
        <v>424</v>
      </c>
      <c r="I425" s="6" t="s">
        <v>74</v>
      </c>
      <c r="J425" s="2" t="s">
        <v>425</v>
      </c>
      <c r="K425" s="2" t="s">
        <v>426</v>
      </c>
      <c r="L425" s="2" t="s">
        <v>28</v>
      </c>
      <c r="M425" s="2" t="s">
        <v>5</v>
      </c>
      <c r="N425" s="4">
        <v>6228.09</v>
      </c>
    </row>
    <row r="426" spans="1:14" x14ac:dyDescent="0.25">
      <c r="A426" s="2" t="s">
        <v>418</v>
      </c>
      <c r="B426" s="2" t="s">
        <v>419</v>
      </c>
      <c r="C426" s="3">
        <v>14.125</v>
      </c>
      <c r="D426" s="4">
        <v>132.06874999999999</v>
      </c>
      <c r="E426" s="4">
        <v>134.1875</v>
      </c>
      <c r="F426" s="4">
        <f t="shared" si="30"/>
        <v>-2.1187500000000057</v>
      </c>
      <c r="G426" s="5">
        <f t="shared" si="31"/>
        <v>-1.6042780748663145E-2</v>
      </c>
      <c r="H426" s="2" t="s">
        <v>427</v>
      </c>
      <c r="I426" s="6" t="s">
        <v>39</v>
      </c>
      <c r="J426" s="2" t="s">
        <v>428</v>
      </c>
      <c r="K426" s="2" t="s">
        <v>429</v>
      </c>
      <c r="L426" s="2" t="s">
        <v>28</v>
      </c>
      <c r="M426" s="2" t="s">
        <v>5</v>
      </c>
      <c r="N426" s="4">
        <v>6511.54</v>
      </c>
    </row>
    <row r="428" spans="1:14" x14ac:dyDescent="0.25">
      <c r="A428" s="13" t="s">
        <v>59</v>
      </c>
      <c r="B428" s="21"/>
      <c r="C428" s="22">
        <f>SUM(C340:C427)</f>
        <v>2127.9460000000004</v>
      </c>
      <c r="D428" s="23">
        <f>SUM(D340:D427)</f>
        <v>24632.518239999983</v>
      </c>
      <c r="E428" s="23">
        <f>SUM(E340:E427)</f>
        <v>18618.400999999998</v>
      </c>
      <c r="F428" s="23">
        <f>D428-E428</f>
        <v>6014.117239999985</v>
      </c>
      <c r="G428" s="24">
        <f>IF(((D428)=0),0,(D428-E428)/ D428)</f>
        <v>0.24415356892880918</v>
      </c>
      <c r="H428" s="21"/>
      <c r="I428" s="21"/>
      <c r="J428" s="21"/>
      <c r="K428" s="21"/>
      <c r="L428" s="21"/>
      <c r="M428" s="21"/>
      <c r="N428" s="21"/>
    </row>
    <row r="430" spans="1:14" s="17" customFormat="1" ht="18.75" x14ac:dyDescent="0.3"/>
    <row r="431" spans="1:14" s="7" customFormat="1" x14ac:dyDescent="0.25">
      <c r="A431" s="13" t="s">
        <v>452</v>
      </c>
      <c r="B431" s="18" t="s">
        <v>453</v>
      </c>
      <c r="C431" s="19"/>
      <c r="D431" s="20" t="s">
        <v>5</v>
      </c>
      <c r="E431" s="19"/>
      <c r="F431" s="19"/>
      <c r="G431" s="19"/>
      <c r="H431" s="19"/>
      <c r="I431" s="19"/>
      <c r="J431" s="19"/>
      <c r="K431" s="19"/>
      <c r="L431" s="19"/>
      <c r="M431" s="19"/>
      <c r="N431" s="19"/>
    </row>
    <row r="433" spans="1:14" x14ac:dyDescent="0.25">
      <c r="A433" s="2" t="s">
        <v>355</v>
      </c>
      <c r="B433" s="2" t="s">
        <v>356</v>
      </c>
      <c r="C433" s="3">
        <v>265</v>
      </c>
      <c r="D433" s="4">
        <v>3786.85</v>
      </c>
      <c r="E433" s="4">
        <v>2650</v>
      </c>
      <c r="F433" s="4">
        <f t="shared" ref="F433:F464" si="32">D433-E433</f>
        <v>1136.8499999999999</v>
      </c>
      <c r="G433" s="5">
        <f t="shared" ref="G433:G464" si="33">IF(((D433)=0),0,(D433-E433)/ D433)</f>
        <v>0.30020993701889431</v>
      </c>
      <c r="H433" s="2" t="s">
        <v>454</v>
      </c>
      <c r="I433" s="6" t="s">
        <v>39</v>
      </c>
      <c r="J433" s="2" t="s">
        <v>455</v>
      </c>
      <c r="K433" s="2" t="s">
        <v>456</v>
      </c>
      <c r="L433" s="2" t="s">
        <v>28</v>
      </c>
      <c r="M433" s="2" t="s">
        <v>5</v>
      </c>
      <c r="N433" s="4">
        <v>40348.370000000003</v>
      </c>
    </row>
    <row r="434" spans="1:14" x14ac:dyDescent="0.25">
      <c r="A434" s="2" t="s">
        <v>355</v>
      </c>
      <c r="B434" s="2" t="s">
        <v>356</v>
      </c>
      <c r="C434" s="3">
        <v>150</v>
      </c>
      <c r="D434" s="4">
        <v>2143.5</v>
      </c>
      <c r="E434" s="4">
        <v>1500</v>
      </c>
      <c r="F434" s="4">
        <f t="shared" si="32"/>
        <v>643.5</v>
      </c>
      <c r="G434" s="5">
        <f t="shared" si="33"/>
        <v>0.30020993701889431</v>
      </c>
      <c r="H434" s="2" t="s">
        <v>457</v>
      </c>
      <c r="I434" s="6" t="s">
        <v>74</v>
      </c>
      <c r="J434" s="2" t="s">
        <v>458</v>
      </c>
      <c r="K434" s="2" t="s">
        <v>459</v>
      </c>
      <c r="L434" s="2" t="s">
        <v>28</v>
      </c>
      <c r="M434" s="2" t="s">
        <v>5</v>
      </c>
      <c r="N434" s="4">
        <v>24259.81</v>
      </c>
    </row>
    <row r="435" spans="1:14" x14ac:dyDescent="0.25">
      <c r="A435" s="2" t="s">
        <v>355</v>
      </c>
      <c r="B435" s="2" t="s">
        <v>356</v>
      </c>
      <c r="C435" s="3">
        <v>60</v>
      </c>
      <c r="D435" s="4">
        <v>857.4</v>
      </c>
      <c r="E435" s="4">
        <v>600</v>
      </c>
      <c r="F435" s="4">
        <f t="shared" si="32"/>
        <v>257.39999999999998</v>
      </c>
      <c r="G435" s="5">
        <f t="shared" si="33"/>
        <v>0.30020993701889431</v>
      </c>
      <c r="H435" s="2" t="s">
        <v>460</v>
      </c>
      <c r="I435" s="6" t="s">
        <v>39</v>
      </c>
      <c r="J435" s="2" t="s">
        <v>461</v>
      </c>
      <c r="K435" s="2" t="s">
        <v>462</v>
      </c>
      <c r="L435" s="2" t="s">
        <v>28</v>
      </c>
      <c r="M435" s="2" t="s">
        <v>5</v>
      </c>
      <c r="N435" s="4">
        <v>857.4</v>
      </c>
    </row>
    <row r="436" spans="1:14" x14ac:dyDescent="0.25">
      <c r="A436" s="2" t="s">
        <v>355</v>
      </c>
      <c r="B436" s="2" t="s">
        <v>356</v>
      </c>
      <c r="C436" s="3">
        <v>180</v>
      </c>
      <c r="D436" s="4">
        <v>2572.1999999999998</v>
      </c>
      <c r="E436" s="4">
        <v>1800</v>
      </c>
      <c r="F436" s="4">
        <f t="shared" si="32"/>
        <v>772.19999999999982</v>
      </c>
      <c r="G436" s="5">
        <f t="shared" si="33"/>
        <v>0.30020993701889426</v>
      </c>
      <c r="H436" s="2" t="s">
        <v>463</v>
      </c>
      <c r="I436" s="6" t="s">
        <v>32</v>
      </c>
      <c r="J436" s="2" t="s">
        <v>464</v>
      </c>
      <c r="K436" s="2" t="s">
        <v>465</v>
      </c>
      <c r="L436" s="2" t="s">
        <v>28</v>
      </c>
      <c r="M436" s="2" t="s">
        <v>5</v>
      </c>
      <c r="N436" s="4">
        <v>19051.64</v>
      </c>
    </row>
    <row r="437" spans="1:14" x14ac:dyDescent="0.25">
      <c r="A437" s="2" t="s">
        <v>360</v>
      </c>
      <c r="B437" s="2" t="s">
        <v>361</v>
      </c>
      <c r="C437" s="3">
        <v>83.795000000000002</v>
      </c>
      <c r="D437" s="4">
        <v>1381.77955</v>
      </c>
      <c r="E437" s="4">
        <v>988.78099999999995</v>
      </c>
      <c r="F437" s="4">
        <f t="shared" si="32"/>
        <v>392.99855000000002</v>
      </c>
      <c r="G437" s="5">
        <f t="shared" si="33"/>
        <v>0.28441479684657373</v>
      </c>
      <c r="H437" s="2" t="s">
        <v>454</v>
      </c>
      <c r="I437" s="6" t="s">
        <v>39</v>
      </c>
      <c r="J437" s="2" t="s">
        <v>455</v>
      </c>
      <c r="K437" s="2" t="s">
        <v>456</v>
      </c>
      <c r="L437" s="2" t="s">
        <v>28</v>
      </c>
      <c r="M437" s="2" t="s">
        <v>5</v>
      </c>
      <c r="N437" s="4">
        <v>40348.370000000003</v>
      </c>
    </row>
    <row r="438" spans="1:14" x14ac:dyDescent="0.25">
      <c r="A438" s="2" t="s">
        <v>360</v>
      </c>
      <c r="B438" s="2" t="s">
        <v>361</v>
      </c>
      <c r="C438" s="3">
        <v>111.63</v>
      </c>
      <c r="D438" s="4">
        <v>1840.7787000000001</v>
      </c>
      <c r="E438" s="4">
        <v>1317.2339999999999</v>
      </c>
      <c r="F438" s="4">
        <f t="shared" si="32"/>
        <v>523.54470000000015</v>
      </c>
      <c r="G438" s="5">
        <f t="shared" si="33"/>
        <v>0.28441479684657373</v>
      </c>
      <c r="H438" s="2" t="s">
        <v>463</v>
      </c>
      <c r="I438" s="6" t="s">
        <v>32</v>
      </c>
      <c r="J438" s="2" t="s">
        <v>464</v>
      </c>
      <c r="K438" s="2" t="s">
        <v>465</v>
      </c>
      <c r="L438" s="2" t="s">
        <v>28</v>
      </c>
      <c r="M438" s="2" t="s">
        <v>5</v>
      </c>
      <c r="N438" s="4">
        <v>19051.64</v>
      </c>
    </row>
    <row r="439" spans="1:14" x14ac:dyDescent="0.25">
      <c r="A439" s="2" t="s">
        <v>360</v>
      </c>
      <c r="B439" s="2" t="s">
        <v>361</v>
      </c>
      <c r="C439" s="3">
        <v>160.54</v>
      </c>
      <c r="D439" s="4">
        <v>2647.3045999999999</v>
      </c>
      <c r="E439" s="4">
        <v>1894.3720000000001</v>
      </c>
      <c r="F439" s="4">
        <f t="shared" si="32"/>
        <v>752.93259999999987</v>
      </c>
      <c r="G439" s="5">
        <f t="shared" si="33"/>
        <v>0.28441479684657361</v>
      </c>
      <c r="H439" s="2" t="s">
        <v>457</v>
      </c>
      <c r="I439" s="6" t="s">
        <v>74</v>
      </c>
      <c r="J439" s="2" t="s">
        <v>458</v>
      </c>
      <c r="K439" s="2" t="s">
        <v>459</v>
      </c>
      <c r="L439" s="2" t="s">
        <v>28</v>
      </c>
      <c r="M439" s="2" t="s">
        <v>5</v>
      </c>
      <c r="N439" s="4">
        <v>24259.81</v>
      </c>
    </row>
    <row r="440" spans="1:14" x14ac:dyDescent="0.25">
      <c r="A440" s="2" t="s">
        <v>466</v>
      </c>
      <c r="B440" s="2" t="s">
        <v>467</v>
      </c>
      <c r="C440" s="3">
        <v>32.26</v>
      </c>
      <c r="D440" s="4">
        <v>460.99540000000002</v>
      </c>
      <c r="E440" s="4">
        <v>354.86</v>
      </c>
      <c r="F440" s="4">
        <f t="shared" si="32"/>
        <v>106.1354</v>
      </c>
      <c r="G440" s="5">
        <f t="shared" si="33"/>
        <v>0.23023093072078377</v>
      </c>
      <c r="H440" s="2" t="s">
        <v>463</v>
      </c>
      <c r="I440" s="6" t="s">
        <v>32</v>
      </c>
      <c r="J440" s="2" t="s">
        <v>464</v>
      </c>
      <c r="K440" s="2" t="s">
        <v>465</v>
      </c>
      <c r="L440" s="2" t="s">
        <v>28</v>
      </c>
      <c r="M440" s="2" t="s">
        <v>5</v>
      </c>
      <c r="N440" s="4">
        <v>19051.64</v>
      </c>
    </row>
    <row r="441" spans="1:14" x14ac:dyDescent="0.25">
      <c r="A441" s="2" t="s">
        <v>466</v>
      </c>
      <c r="B441" s="2" t="s">
        <v>467</v>
      </c>
      <c r="C441" s="3">
        <v>29.88</v>
      </c>
      <c r="D441" s="4">
        <v>426.98520000000002</v>
      </c>
      <c r="E441" s="4">
        <v>328.68</v>
      </c>
      <c r="F441" s="4">
        <f t="shared" si="32"/>
        <v>98.305200000000013</v>
      </c>
      <c r="G441" s="5">
        <f t="shared" si="33"/>
        <v>0.23023093072078379</v>
      </c>
      <c r="H441" s="2" t="s">
        <v>457</v>
      </c>
      <c r="I441" s="6" t="s">
        <v>74</v>
      </c>
      <c r="J441" s="2" t="s">
        <v>458</v>
      </c>
      <c r="K441" s="2" t="s">
        <v>459</v>
      </c>
      <c r="L441" s="2" t="s">
        <v>28</v>
      </c>
      <c r="M441" s="2" t="s">
        <v>5</v>
      </c>
      <c r="N441" s="4">
        <v>24259.81</v>
      </c>
    </row>
    <row r="442" spans="1:14" x14ac:dyDescent="0.25">
      <c r="A442" s="2" t="s">
        <v>362</v>
      </c>
      <c r="B442" s="2" t="s">
        <v>363</v>
      </c>
      <c r="C442" s="3">
        <v>96.894999999999996</v>
      </c>
      <c r="D442" s="4">
        <v>1231.5354500000001</v>
      </c>
      <c r="E442" s="4">
        <v>1182.1189999999999</v>
      </c>
      <c r="F442" s="4">
        <f t="shared" si="32"/>
        <v>49.416450000000168</v>
      </c>
      <c r="G442" s="5">
        <f t="shared" si="33"/>
        <v>4.0125885129819176E-2</v>
      </c>
      <c r="H442" s="2" t="s">
        <v>457</v>
      </c>
      <c r="I442" s="6" t="s">
        <v>74</v>
      </c>
      <c r="J442" s="2" t="s">
        <v>458</v>
      </c>
      <c r="K442" s="2" t="s">
        <v>459</v>
      </c>
      <c r="L442" s="2" t="s">
        <v>28</v>
      </c>
      <c r="M442" s="2" t="s">
        <v>5</v>
      </c>
      <c r="N442" s="4">
        <v>24259.81</v>
      </c>
    </row>
    <row r="443" spans="1:14" x14ac:dyDescent="0.25">
      <c r="A443" s="2" t="s">
        <v>362</v>
      </c>
      <c r="B443" s="2" t="s">
        <v>363</v>
      </c>
      <c r="C443" s="3">
        <v>137.75</v>
      </c>
      <c r="D443" s="4">
        <v>1750.8025</v>
      </c>
      <c r="E443" s="4">
        <v>1377.5</v>
      </c>
      <c r="F443" s="4">
        <f t="shared" si="32"/>
        <v>373.30250000000001</v>
      </c>
      <c r="G443" s="5">
        <f t="shared" si="33"/>
        <v>0.21321793863099922</v>
      </c>
      <c r="H443" s="2" t="s">
        <v>463</v>
      </c>
      <c r="I443" s="6" t="s">
        <v>32</v>
      </c>
      <c r="J443" s="2" t="s">
        <v>464</v>
      </c>
      <c r="K443" s="2" t="s">
        <v>465</v>
      </c>
      <c r="L443" s="2" t="s">
        <v>28</v>
      </c>
      <c r="M443" s="2" t="s">
        <v>5</v>
      </c>
      <c r="N443" s="4">
        <v>19051.64</v>
      </c>
    </row>
    <row r="444" spans="1:14" x14ac:dyDescent="0.25">
      <c r="A444" s="2" t="s">
        <v>364</v>
      </c>
      <c r="B444" s="2" t="s">
        <v>365</v>
      </c>
      <c r="C444" s="3">
        <v>104.48</v>
      </c>
      <c r="D444" s="4">
        <v>1493.0192</v>
      </c>
      <c r="E444" s="4">
        <v>1180.624</v>
      </c>
      <c r="F444" s="4">
        <f t="shared" si="32"/>
        <v>312.39519999999993</v>
      </c>
      <c r="G444" s="5">
        <f t="shared" si="33"/>
        <v>0.20923722883135057</v>
      </c>
      <c r="H444" s="2" t="s">
        <v>463</v>
      </c>
      <c r="I444" s="6" t="s">
        <v>32</v>
      </c>
      <c r="J444" s="2" t="s">
        <v>464</v>
      </c>
      <c r="K444" s="2" t="s">
        <v>465</v>
      </c>
      <c r="L444" s="2" t="s">
        <v>28</v>
      </c>
      <c r="M444" s="2" t="s">
        <v>5</v>
      </c>
      <c r="N444" s="4">
        <v>19051.64</v>
      </c>
    </row>
    <row r="445" spans="1:14" x14ac:dyDescent="0.25">
      <c r="A445" s="2" t="s">
        <v>364</v>
      </c>
      <c r="B445" s="2" t="s">
        <v>365</v>
      </c>
      <c r="C445" s="3">
        <v>445.98</v>
      </c>
      <c r="D445" s="4">
        <v>6373.0541999999996</v>
      </c>
      <c r="E445" s="4">
        <v>5039.5739999999996</v>
      </c>
      <c r="F445" s="4">
        <f t="shared" si="32"/>
        <v>1333.4802</v>
      </c>
      <c r="G445" s="5">
        <f t="shared" si="33"/>
        <v>0.2092372288313506</v>
      </c>
      <c r="H445" s="2" t="s">
        <v>454</v>
      </c>
      <c r="I445" s="6" t="s">
        <v>39</v>
      </c>
      <c r="J445" s="2" t="s">
        <v>455</v>
      </c>
      <c r="K445" s="2" t="s">
        <v>456</v>
      </c>
      <c r="L445" s="2" t="s">
        <v>28</v>
      </c>
      <c r="M445" s="2" t="s">
        <v>5</v>
      </c>
      <c r="N445" s="4">
        <v>40348.370000000003</v>
      </c>
    </row>
    <row r="446" spans="1:14" x14ac:dyDescent="0.25">
      <c r="A446" s="2" t="s">
        <v>366</v>
      </c>
      <c r="B446" s="2" t="s">
        <v>367</v>
      </c>
      <c r="C446" s="3">
        <v>130.965</v>
      </c>
      <c r="D446" s="4">
        <v>1307.0307</v>
      </c>
      <c r="E446" s="4">
        <v>774.00315000000001</v>
      </c>
      <c r="F446" s="4">
        <f t="shared" si="32"/>
        <v>533.02755000000002</v>
      </c>
      <c r="G446" s="5">
        <f t="shared" si="33"/>
        <v>0.40781563126252507</v>
      </c>
      <c r="H446" s="2" t="s">
        <v>454</v>
      </c>
      <c r="I446" s="6" t="s">
        <v>39</v>
      </c>
      <c r="J446" s="2" t="s">
        <v>455</v>
      </c>
      <c r="K446" s="2" t="s">
        <v>456</v>
      </c>
      <c r="L446" s="2" t="s">
        <v>28</v>
      </c>
      <c r="M446" s="2" t="s">
        <v>5</v>
      </c>
      <c r="N446" s="4">
        <v>40348.370000000003</v>
      </c>
    </row>
    <row r="447" spans="1:14" x14ac:dyDescent="0.25">
      <c r="A447" s="2" t="s">
        <v>368</v>
      </c>
      <c r="B447" s="2" t="s">
        <v>369</v>
      </c>
      <c r="C447" s="3">
        <v>56.25</v>
      </c>
      <c r="D447" s="4">
        <v>927.5625</v>
      </c>
      <c r="E447" s="4">
        <v>703.125</v>
      </c>
      <c r="F447" s="4">
        <f t="shared" si="32"/>
        <v>224.4375</v>
      </c>
      <c r="G447" s="5">
        <f t="shared" si="33"/>
        <v>0.2419648271679806</v>
      </c>
      <c r="H447" s="2" t="s">
        <v>454</v>
      </c>
      <c r="I447" s="6" t="s">
        <v>39</v>
      </c>
      <c r="J447" s="2" t="s">
        <v>455</v>
      </c>
      <c r="K447" s="2" t="s">
        <v>456</v>
      </c>
      <c r="L447" s="2" t="s">
        <v>28</v>
      </c>
      <c r="M447" s="2" t="s">
        <v>5</v>
      </c>
      <c r="N447" s="4">
        <v>40348.370000000003</v>
      </c>
    </row>
    <row r="448" spans="1:14" x14ac:dyDescent="0.25">
      <c r="A448" s="2" t="s">
        <v>368</v>
      </c>
      <c r="B448" s="2" t="s">
        <v>369</v>
      </c>
      <c r="C448" s="3">
        <v>15.19</v>
      </c>
      <c r="D448" s="4">
        <v>250.48310000000001</v>
      </c>
      <c r="E448" s="4">
        <v>189.875</v>
      </c>
      <c r="F448" s="4">
        <f t="shared" si="32"/>
        <v>60.608100000000007</v>
      </c>
      <c r="G448" s="5">
        <f t="shared" si="33"/>
        <v>0.24196482716798062</v>
      </c>
      <c r="H448" s="2" t="s">
        <v>457</v>
      </c>
      <c r="I448" s="6" t="s">
        <v>74</v>
      </c>
      <c r="J448" s="2" t="s">
        <v>458</v>
      </c>
      <c r="K448" s="2" t="s">
        <v>459</v>
      </c>
      <c r="L448" s="2" t="s">
        <v>28</v>
      </c>
      <c r="M448" s="2" t="s">
        <v>5</v>
      </c>
      <c r="N448" s="4">
        <v>24259.81</v>
      </c>
    </row>
    <row r="449" spans="1:14" x14ac:dyDescent="0.25">
      <c r="A449" s="2" t="s">
        <v>468</v>
      </c>
      <c r="B449" s="2" t="s">
        <v>469</v>
      </c>
      <c r="C449" s="3">
        <v>78.400000000000006</v>
      </c>
      <c r="D449" s="4">
        <v>852.20799999999997</v>
      </c>
      <c r="E449" s="4">
        <v>540.96</v>
      </c>
      <c r="F449" s="4">
        <f t="shared" si="32"/>
        <v>311.24799999999993</v>
      </c>
      <c r="G449" s="5">
        <f t="shared" si="33"/>
        <v>0.36522539098436058</v>
      </c>
      <c r="H449" s="2" t="s">
        <v>454</v>
      </c>
      <c r="I449" s="6" t="s">
        <v>39</v>
      </c>
      <c r="J449" s="2" t="s">
        <v>455</v>
      </c>
      <c r="K449" s="2" t="s">
        <v>456</v>
      </c>
      <c r="L449" s="2" t="s">
        <v>28</v>
      </c>
      <c r="M449" s="2" t="s">
        <v>5</v>
      </c>
      <c r="N449" s="4">
        <v>40348.370000000003</v>
      </c>
    </row>
    <row r="450" spans="1:14" x14ac:dyDescent="0.25">
      <c r="A450" s="2" t="s">
        <v>470</v>
      </c>
      <c r="B450" s="2" t="s">
        <v>471</v>
      </c>
      <c r="C450" s="3">
        <v>59.534999999999997</v>
      </c>
      <c r="D450" s="4">
        <v>315.53550000000001</v>
      </c>
      <c r="E450" s="4">
        <v>220.27950000000001</v>
      </c>
      <c r="F450" s="4">
        <f t="shared" si="32"/>
        <v>95.256</v>
      </c>
      <c r="G450" s="5">
        <f t="shared" si="33"/>
        <v>0.30188679245283018</v>
      </c>
      <c r="H450" s="2" t="s">
        <v>454</v>
      </c>
      <c r="I450" s="6" t="s">
        <v>39</v>
      </c>
      <c r="J450" s="2" t="s">
        <v>455</v>
      </c>
      <c r="K450" s="2" t="s">
        <v>456</v>
      </c>
      <c r="L450" s="2" t="s">
        <v>28</v>
      </c>
      <c r="M450" s="2" t="s">
        <v>5</v>
      </c>
      <c r="N450" s="4">
        <v>40348.370000000003</v>
      </c>
    </row>
    <row r="451" spans="1:14" x14ac:dyDescent="0.25">
      <c r="A451" s="2" t="s">
        <v>370</v>
      </c>
      <c r="B451" s="2" t="s">
        <v>371</v>
      </c>
      <c r="C451" s="3">
        <v>91.325000000000003</v>
      </c>
      <c r="D451" s="4">
        <v>498.6345</v>
      </c>
      <c r="E451" s="4">
        <v>328.77</v>
      </c>
      <c r="F451" s="4">
        <f t="shared" si="32"/>
        <v>169.86450000000002</v>
      </c>
      <c r="G451" s="5">
        <f t="shared" si="33"/>
        <v>0.34065934065934073</v>
      </c>
      <c r="H451" s="2" t="s">
        <v>457</v>
      </c>
      <c r="I451" s="6" t="s">
        <v>74</v>
      </c>
      <c r="J451" s="2" t="s">
        <v>458</v>
      </c>
      <c r="K451" s="2" t="s">
        <v>459</v>
      </c>
      <c r="L451" s="2" t="s">
        <v>28</v>
      </c>
      <c r="M451" s="2" t="s">
        <v>5</v>
      </c>
      <c r="N451" s="4">
        <v>24259.81</v>
      </c>
    </row>
    <row r="452" spans="1:14" x14ac:dyDescent="0.25">
      <c r="A452" s="2" t="s">
        <v>370</v>
      </c>
      <c r="B452" s="2" t="s">
        <v>371</v>
      </c>
      <c r="C452" s="3">
        <v>86.01</v>
      </c>
      <c r="D452" s="4">
        <v>469.6146</v>
      </c>
      <c r="E452" s="4">
        <v>309.63600000000002</v>
      </c>
      <c r="F452" s="4">
        <f t="shared" si="32"/>
        <v>159.97859999999997</v>
      </c>
      <c r="G452" s="5">
        <f t="shared" si="33"/>
        <v>0.34065934065934061</v>
      </c>
      <c r="H452" s="2" t="s">
        <v>463</v>
      </c>
      <c r="I452" s="6" t="s">
        <v>32</v>
      </c>
      <c r="J452" s="2" t="s">
        <v>464</v>
      </c>
      <c r="K452" s="2" t="s">
        <v>465</v>
      </c>
      <c r="L452" s="2" t="s">
        <v>28</v>
      </c>
      <c r="M452" s="2" t="s">
        <v>5</v>
      </c>
      <c r="N452" s="4">
        <v>19051.64</v>
      </c>
    </row>
    <row r="453" spans="1:14" x14ac:dyDescent="0.25">
      <c r="A453" s="2" t="s">
        <v>370</v>
      </c>
      <c r="B453" s="2" t="s">
        <v>371</v>
      </c>
      <c r="C453" s="3">
        <v>154.76</v>
      </c>
      <c r="D453" s="4">
        <v>844.9896</v>
      </c>
      <c r="E453" s="4">
        <v>557.13599999999997</v>
      </c>
      <c r="F453" s="4">
        <f t="shared" si="32"/>
        <v>287.85360000000003</v>
      </c>
      <c r="G453" s="5">
        <f t="shared" si="33"/>
        <v>0.34065934065934067</v>
      </c>
      <c r="H453" s="2" t="s">
        <v>454</v>
      </c>
      <c r="I453" s="6" t="s">
        <v>39</v>
      </c>
      <c r="J453" s="2" t="s">
        <v>455</v>
      </c>
      <c r="K453" s="2" t="s">
        <v>456</v>
      </c>
      <c r="L453" s="2" t="s">
        <v>28</v>
      </c>
      <c r="M453" s="2" t="s">
        <v>5</v>
      </c>
      <c r="N453" s="4">
        <v>40348.370000000003</v>
      </c>
    </row>
    <row r="454" spans="1:14" x14ac:dyDescent="0.25">
      <c r="A454" s="2" t="s">
        <v>372</v>
      </c>
      <c r="B454" s="2" t="s">
        <v>373</v>
      </c>
      <c r="C454" s="3">
        <v>61.454999999999998</v>
      </c>
      <c r="D454" s="4">
        <v>813.66420000000005</v>
      </c>
      <c r="E454" s="4">
        <v>553.09500000000003</v>
      </c>
      <c r="F454" s="4">
        <f t="shared" si="32"/>
        <v>260.56920000000002</v>
      </c>
      <c r="G454" s="5">
        <f t="shared" si="33"/>
        <v>0.3202416918429003</v>
      </c>
      <c r="H454" s="2" t="s">
        <v>463</v>
      </c>
      <c r="I454" s="6" t="s">
        <v>32</v>
      </c>
      <c r="J454" s="2" t="s">
        <v>464</v>
      </c>
      <c r="K454" s="2" t="s">
        <v>465</v>
      </c>
      <c r="L454" s="2" t="s">
        <v>28</v>
      </c>
      <c r="M454" s="2" t="s">
        <v>5</v>
      </c>
      <c r="N454" s="4">
        <v>19051.64</v>
      </c>
    </row>
    <row r="455" spans="1:14" x14ac:dyDescent="0.25">
      <c r="A455" s="2" t="s">
        <v>372</v>
      </c>
      <c r="B455" s="2" t="s">
        <v>373</v>
      </c>
      <c r="C455" s="3">
        <v>73.784999999999997</v>
      </c>
      <c r="D455" s="4">
        <v>976.91340000000002</v>
      </c>
      <c r="E455" s="4">
        <v>664.06500000000005</v>
      </c>
      <c r="F455" s="4">
        <f t="shared" si="32"/>
        <v>312.84839999999997</v>
      </c>
      <c r="G455" s="5">
        <f t="shared" si="33"/>
        <v>0.32024169184290024</v>
      </c>
      <c r="H455" s="2" t="s">
        <v>454</v>
      </c>
      <c r="I455" s="6" t="s">
        <v>39</v>
      </c>
      <c r="J455" s="2" t="s">
        <v>455</v>
      </c>
      <c r="K455" s="2" t="s">
        <v>456</v>
      </c>
      <c r="L455" s="2" t="s">
        <v>28</v>
      </c>
      <c r="M455" s="2" t="s">
        <v>5</v>
      </c>
      <c r="N455" s="4">
        <v>40348.370000000003</v>
      </c>
    </row>
    <row r="456" spans="1:14" x14ac:dyDescent="0.25">
      <c r="A456" s="2" t="s">
        <v>372</v>
      </c>
      <c r="B456" s="2" t="s">
        <v>373</v>
      </c>
      <c r="C456" s="3">
        <v>47.24</v>
      </c>
      <c r="D456" s="4">
        <v>625.45759999999996</v>
      </c>
      <c r="E456" s="4">
        <v>425.16</v>
      </c>
      <c r="F456" s="4">
        <f t="shared" si="32"/>
        <v>200.29759999999993</v>
      </c>
      <c r="G456" s="5">
        <f t="shared" si="33"/>
        <v>0.32024169184290019</v>
      </c>
      <c r="H456" s="2" t="s">
        <v>457</v>
      </c>
      <c r="I456" s="6" t="s">
        <v>74</v>
      </c>
      <c r="J456" s="2" t="s">
        <v>458</v>
      </c>
      <c r="K456" s="2" t="s">
        <v>459</v>
      </c>
      <c r="L456" s="2" t="s">
        <v>28</v>
      </c>
      <c r="M456" s="2" t="s">
        <v>5</v>
      </c>
      <c r="N456" s="4">
        <v>24259.81</v>
      </c>
    </row>
    <row r="457" spans="1:14" x14ac:dyDescent="0.25">
      <c r="A457" s="2" t="s">
        <v>472</v>
      </c>
      <c r="B457" s="2" t="s">
        <v>473</v>
      </c>
      <c r="C457" s="3">
        <v>691.52</v>
      </c>
      <c r="D457" s="4">
        <v>5594.3968000000004</v>
      </c>
      <c r="E457" s="4">
        <v>3526.752</v>
      </c>
      <c r="F457" s="4">
        <f t="shared" si="32"/>
        <v>2067.6448000000005</v>
      </c>
      <c r="G457" s="5">
        <f t="shared" si="33"/>
        <v>0.36959208899876395</v>
      </c>
      <c r="H457" s="2" t="s">
        <v>454</v>
      </c>
      <c r="I457" s="6" t="s">
        <v>39</v>
      </c>
      <c r="J457" s="2" t="s">
        <v>455</v>
      </c>
      <c r="K457" s="2" t="s">
        <v>456</v>
      </c>
      <c r="L457" s="2" t="s">
        <v>28</v>
      </c>
      <c r="M457" s="2" t="s">
        <v>5</v>
      </c>
      <c r="N457" s="4">
        <v>40348.370000000003</v>
      </c>
    </row>
    <row r="458" spans="1:14" x14ac:dyDescent="0.25">
      <c r="A458" s="2" t="s">
        <v>472</v>
      </c>
      <c r="B458" s="2" t="s">
        <v>473</v>
      </c>
      <c r="C458" s="3">
        <v>421.84</v>
      </c>
      <c r="D458" s="4">
        <v>3412.6855999999998</v>
      </c>
      <c r="E458" s="4">
        <v>2151.384</v>
      </c>
      <c r="F458" s="4">
        <f t="shared" si="32"/>
        <v>1261.3015999999998</v>
      </c>
      <c r="G458" s="5">
        <f t="shared" si="33"/>
        <v>0.36959208899876389</v>
      </c>
      <c r="H458" s="2" t="s">
        <v>457</v>
      </c>
      <c r="I458" s="6" t="s">
        <v>74</v>
      </c>
      <c r="J458" s="2" t="s">
        <v>458</v>
      </c>
      <c r="K458" s="2" t="s">
        <v>459</v>
      </c>
      <c r="L458" s="2" t="s">
        <v>28</v>
      </c>
      <c r="M458" s="2" t="s">
        <v>5</v>
      </c>
      <c r="N458" s="4">
        <v>24259.81</v>
      </c>
    </row>
    <row r="459" spans="1:14" x14ac:dyDescent="0.25">
      <c r="A459" s="2" t="s">
        <v>472</v>
      </c>
      <c r="B459" s="2" t="s">
        <v>473</v>
      </c>
      <c r="C459" s="3">
        <v>244.42500000000001</v>
      </c>
      <c r="D459" s="4">
        <v>1977.39825</v>
      </c>
      <c r="E459" s="4">
        <v>1246.5675000000001</v>
      </c>
      <c r="F459" s="4">
        <f t="shared" si="32"/>
        <v>730.83074999999985</v>
      </c>
      <c r="G459" s="5">
        <f t="shared" si="33"/>
        <v>0.36959208899876383</v>
      </c>
      <c r="H459" s="2" t="s">
        <v>463</v>
      </c>
      <c r="I459" s="6" t="s">
        <v>32</v>
      </c>
      <c r="J459" s="2" t="s">
        <v>464</v>
      </c>
      <c r="K459" s="2" t="s">
        <v>465</v>
      </c>
      <c r="L459" s="2" t="s">
        <v>28</v>
      </c>
      <c r="M459" s="2" t="s">
        <v>5</v>
      </c>
      <c r="N459" s="4">
        <v>19051.64</v>
      </c>
    </row>
    <row r="460" spans="1:14" x14ac:dyDescent="0.25">
      <c r="A460" s="2" t="s">
        <v>440</v>
      </c>
      <c r="B460" s="2" t="s">
        <v>441</v>
      </c>
      <c r="C460" s="3">
        <v>29.42</v>
      </c>
      <c r="D460" s="4">
        <v>275.077</v>
      </c>
      <c r="E460" s="4">
        <v>294.2</v>
      </c>
      <c r="F460" s="4">
        <f t="shared" si="32"/>
        <v>-19.12299999999999</v>
      </c>
      <c r="G460" s="5">
        <f t="shared" si="33"/>
        <v>-6.9518716577540079E-2</v>
      </c>
      <c r="H460" s="2" t="s">
        <v>463</v>
      </c>
      <c r="I460" s="6" t="s">
        <v>32</v>
      </c>
      <c r="J460" s="2" t="s">
        <v>464</v>
      </c>
      <c r="K460" s="2" t="s">
        <v>465</v>
      </c>
      <c r="L460" s="2" t="s">
        <v>28</v>
      </c>
      <c r="M460" s="2" t="s">
        <v>5</v>
      </c>
      <c r="N460" s="4">
        <v>19051.64</v>
      </c>
    </row>
    <row r="461" spans="1:14" x14ac:dyDescent="0.25">
      <c r="A461" s="2" t="s">
        <v>440</v>
      </c>
      <c r="B461" s="2" t="s">
        <v>441</v>
      </c>
      <c r="C461" s="3">
        <v>15.15</v>
      </c>
      <c r="D461" s="4">
        <v>141.6525</v>
      </c>
      <c r="E461" s="4">
        <v>184.83</v>
      </c>
      <c r="F461" s="4">
        <f t="shared" si="32"/>
        <v>-43.177500000000009</v>
      </c>
      <c r="G461" s="5">
        <f t="shared" si="33"/>
        <v>-0.30481283422459898</v>
      </c>
      <c r="H461" s="2" t="s">
        <v>457</v>
      </c>
      <c r="I461" s="6" t="s">
        <v>74</v>
      </c>
      <c r="J461" s="2" t="s">
        <v>458</v>
      </c>
      <c r="K461" s="2" t="s">
        <v>459</v>
      </c>
      <c r="L461" s="2" t="s">
        <v>28</v>
      </c>
      <c r="M461" s="2" t="s">
        <v>5</v>
      </c>
      <c r="N461" s="4">
        <v>24259.81</v>
      </c>
    </row>
    <row r="462" spans="1:14" x14ac:dyDescent="0.25">
      <c r="A462" s="2" t="s">
        <v>474</v>
      </c>
      <c r="B462" s="2" t="s">
        <v>475</v>
      </c>
      <c r="C462" s="3">
        <v>10.664999999999999</v>
      </c>
      <c r="D462" s="4">
        <v>58.230899999999998</v>
      </c>
      <c r="E462" s="4">
        <v>38.393999999999998</v>
      </c>
      <c r="F462" s="4">
        <f t="shared" si="32"/>
        <v>19.8369</v>
      </c>
      <c r="G462" s="5">
        <f t="shared" si="33"/>
        <v>0.34065934065934067</v>
      </c>
      <c r="H462" s="2" t="s">
        <v>454</v>
      </c>
      <c r="I462" s="6" t="s">
        <v>39</v>
      </c>
      <c r="J462" s="2" t="s">
        <v>455</v>
      </c>
      <c r="K462" s="2" t="s">
        <v>456</v>
      </c>
      <c r="L462" s="2" t="s">
        <v>28</v>
      </c>
      <c r="M462" s="2" t="s">
        <v>5</v>
      </c>
      <c r="N462" s="4">
        <v>40348.370000000003</v>
      </c>
    </row>
    <row r="463" spans="1:14" x14ac:dyDescent="0.25">
      <c r="A463" s="2" t="s">
        <v>376</v>
      </c>
      <c r="B463" s="2" t="s">
        <v>377</v>
      </c>
      <c r="C463" s="3">
        <v>16.670000000000002</v>
      </c>
      <c r="D463" s="4">
        <v>201.37360000000001</v>
      </c>
      <c r="E463" s="4">
        <v>121.691</v>
      </c>
      <c r="F463" s="4">
        <f t="shared" si="32"/>
        <v>79.682600000000008</v>
      </c>
      <c r="G463" s="5">
        <f t="shared" si="33"/>
        <v>0.39569536423841062</v>
      </c>
      <c r="H463" s="2" t="s">
        <v>463</v>
      </c>
      <c r="I463" s="6" t="s">
        <v>32</v>
      </c>
      <c r="J463" s="2" t="s">
        <v>464</v>
      </c>
      <c r="K463" s="2" t="s">
        <v>465</v>
      </c>
      <c r="L463" s="2" t="s">
        <v>28</v>
      </c>
      <c r="M463" s="2" t="s">
        <v>5</v>
      </c>
      <c r="N463" s="4">
        <v>19051.64</v>
      </c>
    </row>
    <row r="464" spans="1:14" x14ac:dyDescent="0.25">
      <c r="A464" s="2" t="s">
        <v>376</v>
      </c>
      <c r="B464" s="2" t="s">
        <v>377</v>
      </c>
      <c r="C464" s="3">
        <v>14.95</v>
      </c>
      <c r="D464" s="4">
        <v>180.596</v>
      </c>
      <c r="E464" s="4">
        <v>109.13500000000001</v>
      </c>
      <c r="F464" s="4">
        <f t="shared" si="32"/>
        <v>71.460999999999999</v>
      </c>
      <c r="G464" s="5">
        <f t="shared" si="33"/>
        <v>0.39569536423841056</v>
      </c>
      <c r="H464" s="2" t="s">
        <v>457</v>
      </c>
      <c r="I464" s="6" t="s">
        <v>74</v>
      </c>
      <c r="J464" s="2" t="s">
        <v>458</v>
      </c>
      <c r="K464" s="2" t="s">
        <v>459</v>
      </c>
      <c r="L464" s="2" t="s">
        <v>28</v>
      </c>
      <c r="M464" s="2" t="s">
        <v>5</v>
      </c>
      <c r="N464" s="4">
        <v>24259.81</v>
      </c>
    </row>
    <row r="465" spans="1:14" x14ac:dyDescent="0.25">
      <c r="A465" s="2" t="s">
        <v>378</v>
      </c>
      <c r="B465" s="2" t="s">
        <v>379</v>
      </c>
      <c r="C465" s="3">
        <v>271.26499999999999</v>
      </c>
      <c r="D465" s="4">
        <v>3276.8811999999998</v>
      </c>
      <c r="E465" s="4">
        <v>1980.2345</v>
      </c>
      <c r="F465" s="4">
        <f t="shared" ref="F465:F496" si="34">D465-E465</f>
        <v>1296.6466999999998</v>
      </c>
      <c r="G465" s="5">
        <f t="shared" ref="G465:G500" si="35">IF(((D465)=0),0,(D465-E465)/ D465)</f>
        <v>0.39569536423841056</v>
      </c>
      <c r="H465" s="2" t="s">
        <v>463</v>
      </c>
      <c r="I465" s="6" t="s">
        <v>32</v>
      </c>
      <c r="J465" s="2" t="s">
        <v>464</v>
      </c>
      <c r="K465" s="2" t="s">
        <v>465</v>
      </c>
      <c r="L465" s="2" t="s">
        <v>28</v>
      </c>
      <c r="M465" s="2" t="s">
        <v>5</v>
      </c>
      <c r="N465" s="4">
        <v>19051.64</v>
      </c>
    </row>
    <row r="466" spans="1:14" x14ac:dyDescent="0.25">
      <c r="A466" s="2" t="s">
        <v>378</v>
      </c>
      <c r="B466" s="2" t="s">
        <v>379</v>
      </c>
      <c r="C466" s="3">
        <v>228.97</v>
      </c>
      <c r="D466" s="4">
        <v>2765.9576000000002</v>
      </c>
      <c r="E466" s="4">
        <v>1671.481</v>
      </c>
      <c r="F466" s="4">
        <f t="shared" si="34"/>
        <v>1094.4766000000002</v>
      </c>
      <c r="G466" s="5">
        <f t="shared" si="35"/>
        <v>0.39569536423841062</v>
      </c>
      <c r="H466" s="2" t="s">
        <v>457</v>
      </c>
      <c r="I466" s="6" t="s">
        <v>74</v>
      </c>
      <c r="J466" s="2" t="s">
        <v>458</v>
      </c>
      <c r="K466" s="2" t="s">
        <v>459</v>
      </c>
      <c r="L466" s="2" t="s">
        <v>28</v>
      </c>
      <c r="M466" s="2" t="s">
        <v>5</v>
      </c>
      <c r="N466" s="4">
        <v>24259.81</v>
      </c>
    </row>
    <row r="467" spans="1:14" x14ac:dyDescent="0.25">
      <c r="A467" s="2" t="s">
        <v>378</v>
      </c>
      <c r="B467" s="2" t="s">
        <v>379</v>
      </c>
      <c r="C467" s="3">
        <v>363.77499999999998</v>
      </c>
      <c r="D467" s="4">
        <v>4394.402</v>
      </c>
      <c r="E467" s="4">
        <v>2655.5574999999999</v>
      </c>
      <c r="F467" s="4">
        <f t="shared" si="34"/>
        <v>1738.8445000000002</v>
      </c>
      <c r="G467" s="5">
        <f t="shared" si="35"/>
        <v>0.39569536423841062</v>
      </c>
      <c r="H467" s="2" t="s">
        <v>454</v>
      </c>
      <c r="I467" s="6" t="s">
        <v>39</v>
      </c>
      <c r="J467" s="2" t="s">
        <v>455</v>
      </c>
      <c r="K467" s="2" t="s">
        <v>456</v>
      </c>
      <c r="L467" s="2" t="s">
        <v>28</v>
      </c>
      <c r="M467" s="2" t="s">
        <v>5</v>
      </c>
      <c r="N467" s="4">
        <v>40348.370000000003</v>
      </c>
    </row>
    <row r="468" spans="1:14" x14ac:dyDescent="0.25">
      <c r="A468" s="2" t="s">
        <v>476</v>
      </c>
      <c r="B468" s="2" t="s">
        <v>477</v>
      </c>
      <c r="C468" s="3">
        <v>40</v>
      </c>
      <c r="D468" s="4">
        <v>479.2</v>
      </c>
      <c r="E468" s="4">
        <v>300</v>
      </c>
      <c r="F468" s="4">
        <f t="shared" si="34"/>
        <v>179.2</v>
      </c>
      <c r="G468" s="5">
        <f t="shared" si="35"/>
        <v>0.37395659432387313</v>
      </c>
      <c r="H468" s="2" t="s">
        <v>457</v>
      </c>
      <c r="I468" s="6" t="s">
        <v>74</v>
      </c>
      <c r="J468" s="2" t="s">
        <v>458</v>
      </c>
      <c r="K468" s="2" t="s">
        <v>459</v>
      </c>
      <c r="L468" s="2" t="s">
        <v>28</v>
      </c>
      <c r="M468" s="2" t="s">
        <v>5</v>
      </c>
      <c r="N468" s="4">
        <v>24259.81</v>
      </c>
    </row>
    <row r="469" spans="1:14" x14ac:dyDescent="0.25">
      <c r="A469" s="2" t="s">
        <v>386</v>
      </c>
      <c r="B469" s="2" t="s">
        <v>387</v>
      </c>
      <c r="C469" s="3">
        <v>12</v>
      </c>
      <c r="D469" s="4">
        <v>111.6</v>
      </c>
      <c r="E469" s="4">
        <v>52.32</v>
      </c>
      <c r="F469" s="4">
        <f t="shared" si="34"/>
        <v>59.279999999999994</v>
      </c>
      <c r="G469" s="5">
        <f t="shared" si="35"/>
        <v>0.53118279569892468</v>
      </c>
      <c r="H469" s="2" t="s">
        <v>463</v>
      </c>
      <c r="I469" s="6" t="s">
        <v>32</v>
      </c>
      <c r="J469" s="2" t="s">
        <v>464</v>
      </c>
      <c r="K469" s="2" t="s">
        <v>465</v>
      </c>
      <c r="L469" s="2" t="s">
        <v>28</v>
      </c>
      <c r="M469" s="2" t="s">
        <v>5</v>
      </c>
      <c r="N469" s="4">
        <v>19051.64</v>
      </c>
    </row>
    <row r="470" spans="1:14" x14ac:dyDescent="0.25">
      <c r="A470" s="2" t="s">
        <v>390</v>
      </c>
      <c r="B470" s="2" t="s">
        <v>391</v>
      </c>
      <c r="C470" s="3">
        <v>59.4</v>
      </c>
      <c r="D470" s="4">
        <v>655.18200000000002</v>
      </c>
      <c r="E470" s="4">
        <v>445.5</v>
      </c>
      <c r="F470" s="4">
        <f t="shared" si="34"/>
        <v>209.68200000000002</v>
      </c>
      <c r="G470" s="5">
        <f t="shared" si="35"/>
        <v>0.32003626473254759</v>
      </c>
      <c r="H470" s="2" t="s">
        <v>463</v>
      </c>
      <c r="I470" s="6" t="s">
        <v>32</v>
      </c>
      <c r="J470" s="2" t="s">
        <v>464</v>
      </c>
      <c r="K470" s="2" t="s">
        <v>465</v>
      </c>
      <c r="L470" s="2" t="s">
        <v>28</v>
      </c>
      <c r="M470" s="2" t="s">
        <v>5</v>
      </c>
      <c r="N470" s="4">
        <v>19051.64</v>
      </c>
    </row>
    <row r="471" spans="1:14" x14ac:dyDescent="0.25">
      <c r="A471" s="2" t="s">
        <v>390</v>
      </c>
      <c r="B471" s="2" t="s">
        <v>391</v>
      </c>
      <c r="C471" s="3">
        <v>71.56</v>
      </c>
      <c r="D471" s="4">
        <v>789.30679999999995</v>
      </c>
      <c r="E471" s="4">
        <v>536.70000000000005</v>
      </c>
      <c r="F471" s="4">
        <f t="shared" si="34"/>
        <v>252.60679999999991</v>
      </c>
      <c r="G471" s="5">
        <f t="shared" si="35"/>
        <v>0.32003626473254748</v>
      </c>
      <c r="H471" s="2" t="s">
        <v>457</v>
      </c>
      <c r="I471" s="6" t="s">
        <v>74</v>
      </c>
      <c r="J471" s="2" t="s">
        <v>458</v>
      </c>
      <c r="K471" s="2" t="s">
        <v>459</v>
      </c>
      <c r="L471" s="2" t="s">
        <v>28</v>
      </c>
      <c r="M471" s="2" t="s">
        <v>5</v>
      </c>
      <c r="N471" s="4">
        <v>24259.81</v>
      </c>
    </row>
    <row r="472" spans="1:14" x14ac:dyDescent="0.25">
      <c r="A472" s="2" t="s">
        <v>390</v>
      </c>
      <c r="B472" s="2" t="s">
        <v>391</v>
      </c>
      <c r="C472" s="3">
        <v>82.63</v>
      </c>
      <c r="D472" s="4">
        <v>911.40890000000002</v>
      </c>
      <c r="E472" s="4">
        <v>619.72500000000002</v>
      </c>
      <c r="F472" s="4">
        <f t="shared" si="34"/>
        <v>291.68389999999999</v>
      </c>
      <c r="G472" s="5">
        <f t="shared" si="35"/>
        <v>0.32003626473254759</v>
      </c>
      <c r="H472" s="2" t="s">
        <v>454</v>
      </c>
      <c r="I472" s="6" t="s">
        <v>39</v>
      </c>
      <c r="J472" s="2" t="s">
        <v>455</v>
      </c>
      <c r="K472" s="2" t="s">
        <v>456</v>
      </c>
      <c r="L472" s="2" t="s">
        <v>28</v>
      </c>
      <c r="M472" s="2" t="s">
        <v>5</v>
      </c>
      <c r="N472" s="4">
        <v>40348.370000000003</v>
      </c>
    </row>
    <row r="473" spans="1:14" x14ac:dyDescent="0.25">
      <c r="A473" s="2" t="s">
        <v>442</v>
      </c>
      <c r="B473" s="2" t="s">
        <v>443</v>
      </c>
      <c r="C473" s="3">
        <v>80</v>
      </c>
      <c r="D473" s="4">
        <v>1420.8</v>
      </c>
      <c r="E473" s="4">
        <v>1300</v>
      </c>
      <c r="F473" s="4">
        <f t="shared" si="34"/>
        <v>120.79999999999995</v>
      </c>
      <c r="G473" s="5">
        <f t="shared" si="35"/>
        <v>8.5022522522522487E-2</v>
      </c>
      <c r="H473" s="2" t="s">
        <v>454</v>
      </c>
      <c r="I473" s="6" t="s">
        <v>39</v>
      </c>
      <c r="J473" s="2" t="s">
        <v>455</v>
      </c>
      <c r="K473" s="2" t="s">
        <v>456</v>
      </c>
      <c r="L473" s="2" t="s">
        <v>28</v>
      </c>
      <c r="M473" s="2" t="s">
        <v>5</v>
      </c>
      <c r="N473" s="4">
        <v>40348.370000000003</v>
      </c>
    </row>
    <row r="474" spans="1:14" x14ac:dyDescent="0.25">
      <c r="A474" s="2" t="s">
        <v>478</v>
      </c>
      <c r="B474" s="2" t="s">
        <v>479</v>
      </c>
      <c r="C474" s="3">
        <v>304.05</v>
      </c>
      <c r="D474" s="4">
        <v>4536.4260000000004</v>
      </c>
      <c r="E474" s="4">
        <v>2827.665</v>
      </c>
      <c r="F474" s="4">
        <f t="shared" si="34"/>
        <v>1708.7610000000004</v>
      </c>
      <c r="G474" s="5">
        <f t="shared" si="35"/>
        <v>0.37667560321715826</v>
      </c>
      <c r="H474" s="2" t="s">
        <v>454</v>
      </c>
      <c r="I474" s="6" t="s">
        <v>39</v>
      </c>
      <c r="J474" s="2" t="s">
        <v>455</v>
      </c>
      <c r="K474" s="2" t="s">
        <v>456</v>
      </c>
      <c r="L474" s="2" t="s">
        <v>28</v>
      </c>
      <c r="M474" s="2" t="s">
        <v>5</v>
      </c>
      <c r="N474" s="4">
        <v>40348.370000000003</v>
      </c>
    </row>
    <row r="475" spans="1:14" x14ac:dyDescent="0.25">
      <c r="A475" s="2" t="s">
        <v>394</v>
      </c>
      <c r="B475" s="2" t="s">
        <v>395</v>
      </c>
      <c r="C475" s="3">
        <v>356.37</v>
      </c>
      <c r="D475" s="4">
        <v>5801.7035999999998</v>
      </c>
      <c r="E475" s="4">
        <v>5880.1049999999996</v>
      </c>
      <c r="F475" s="4">
        <f t="shared" si="34"/>
        <v>-78.40139999999974</v>
      </c>
      <c r="G475" s="5">
        <f t="shared" si="35"/>
        <v>-1.3513513513513469E-2</v>
      </c>
      <c r="H475" s="2" t="s">
        <v>457</v>
      </c>
      <c r="I475" s="6" t="s">
        <v>74</v>
      </c>
      <c r="J475" s="2" t="s">
        <v>458</v>
      </c>
      <c r="K475" s="2" t="s">
        <v>459</v>
      </c>
      <c r="L475" s="2" t="s">
        <v>28</v>
      </c>
      <c r="M475" s="2" t="s">
        <v>5</v>
      </c>
      <c r="N475" s="4">
        <v>24259.81</v>
      </c>
    </row>
    <row r="476" spans="1:14" x14ac:dyDescent="0.25">
      <c r="A476" s="2" t="s">
        <v>480</v>
      </c>
      <c r="B476" s="2" t="s">
        <v>481</v>
      </c>
      <c r="C476" s="3">
        <v>9.64</v>
      </c>
      <c r="D476" s="4">
        <v>238.97559999999999</v>
      </c>
      <c r="E476" s="4">
        <v>177.858</v>
      </c>
      <c r="F476" s="4">
        <f t="shared" si="34"/>
        <v>61.117599999999982</v>
      </c>
      <c r="G476" s="5">
        <f t="shared" si="35"/>
        <v>0.25574828559903179</v>
      </c>
      <c r="H476" s="2" t="s">
        <v>457</v>
      </c>
      <c r="I476" s="6" t="s">
        <v>74</v>
      </c>
      <c r="J476" s="2" t="s">
        <v>458</v>
      </c>
      <c r="K476" s="2" t="s">
        <v>459</v>
      </c>
      <c r="L476" s="2" t="s">
        <v>28</v>
      </c>
      <c r="M476" s="2" t="s">
        <v>5</v>
      </c>
      <c r="N476" s="4">
        <v>24259.81</v>
      </c>
    </row>
    <row r="477" spans="1:14" x14ac:dyDescent="0.25">
      <c r="A477" s="2" t="s">
        <v>444</v>
      </c>
      <c r="B477" s="2" t="s">
        <v>445</v>
      </c>
      <c r="C477" s="3">
        <v>29.364999999999998</v>
      </c>
      <c r="D477" s="4">
        <v>236.09460000000001</v>
      </c>
      <c r="E477" s="4">
        <v>208.4915</v>
      </c>
      <c r="F477" s="4">
        <f t="shared" si="34"/>
        <v>27.603100000000012</v>
      </c>
      <c r="G477" s="5">
        <f t="shared" si="35"/>
        <v>0.11691542288557218</v>
      </c>
      <c r="H477" s="2" t="s">
        <v>463</v>
      </c>
      <c r="I477" s="6" t="s">
        <v>32</v>
      </c>
      <c r="J477" s="2" t="s">
        <v>464</v>
      </c>
      <c r="K477" s="2" t="s">
        <v>465</v>
      </c>
      <c r="L477" s="2" t="s">
        <v>28</v>
      </c>
      <c r="M477" s="2" t="s">
        <v>5</v>
      </c>
      <c r="N477" s="4">
        <v>19051.64</v>
      </c>
    </row>
    <row r="478" spans="1:14" x14ac:dyDescent="0.25">
      <c r="A478" s="2" t="s">
        <v>400</v>
      </c>
      <c r="B478" s="2" t="s">
        <v>401</v>
      </c>
      <c r="C478" s="3">
        <v>50.97</v>
      </c>
      <c r="D478" s="4">
        <v>610.62059999999997</v>
      </c>
      <c r="E478" s="4">
        <v>412.85700000000003</v>
      </c>
      <c r="F478" s="4">
        <f t="shared" si="34"/>
        <v>197.76359999999994</v>
      </c>
      <c r="G478" s="5">
        <f t="shared" si="35"/>
        <v>0.3238731218697829</v>
      </c>
      <c r="H478" s="2" t="s">
        <v>457</v>
      </c>
      <c r="I478" s="6" t="s">
        <v>74</v>
      </c>
      <c r="J478" s="2" t="s">
        <v>458</v>
      </c>
      <c r="K478" s="2" t="s">
        <v>459</v>
      </c>
      <c r="L478" s="2" t="s">
        <v>28</v>
      </c>
      <c r="M478" s="2" t="s">
        <v>5</v>
      </c>
      <c r="N478" s="4">
        <v>24259.81</v>
      </c>
    </row>
    <row r="479" spans="1:14" x14ac:dyDescent="0.25">
      <c r="A479" s="2" t="s">
        <v>402</v>
      </c>
      <c r="B479" s="2" t="s">
        <v>403</v>
      </c>
      <c r="C479" s="3">
        <v>32.06</v>
      </c>
      <c r="D479" s="4">
        <v>301.36399999999998</v>
      </c>
      <c r="E479" s="4">
        <v>234.03800000000001</v>
      </c>
      <c r="F479" s="4">
        <f t="shared" si="34"/>
        <v>67.325999999999965</v>
      </c>
      <c r="G479" s="5">
        <f t="shared" si="35"/>
        <v>0.22340425531914884</v>
      </c>
      <c r="H479" s="2" t="s">
        <v>454</v>
      </c>
      <c r="I479" s="6" t="s">
        <v>39</v>
      </c>
      <c r="J479" s="2" t="s">
        <v>455</v>
      </c>
      <c r="K479" s="2" t="s">
        <v>456</v>
      </c>
      <c r="L479" s="2" t="s">
        <v>28</v>
      </c>
      <c r="M479" s="2" t="s">
        <v>5</v>
      </c>
      <c r="N479" s="4">
        <v>40348.370000000003</v>
      </c>
    </row>
    <row r="480" spans="1:14" x14ac:dyDescent="0.25">
      <c r="A480" s="2" t="s">
        <v>402</v>
      </c>
      <c r="B480" s="2" t="s">
        <v>403</v>
      </c>
      <c r="C480" s="3">
        <v>41.21</v>
      </c>
      <c r="D480" s="4">
        <v>387.37400000000002</v>
      </c>
      <c r="E480" s="4">
        <v>300.83300000000003</v>
      </c>
      <c r="F480" s="4">
        <f t="shared" si="34"/>
        <v>86.540999999999997</v>
      </c>
      <c r="G480" s="5">
        <f t="shared" si="35"/>
        <v>0.22340425531914893</v>
      </c>
      <c r="H480" s="2" t="s">
        <v>463</v>
      </c>
      <c r="I480" s="6" t="s">
        <v>32</v>
      </c>
      <c r="J480" s="2" t="s">
        <v>464</v>
      </c>
      <c r="K480" s="2" t="s">
        <v>465</v>
      </c>
      <c r="L480" s="2" t="s">
        <v>28</v>
      </c>
      <c r="M480" s="2" t="s">
        <v>5</v>
      </c>
      <c r="N480" s="4">
        <v>19051.64</v>
      </c>
    </row>
    <row r="481" spans="1:14" x14ac:dyDescent="0.25">
      <c r="A481" s="2" t="s">
        <v>402</v>
      </c>
      <c r="B481" s="2" t="s">
        <v>403</v>
      </c>
      <c r="C481" s="3">
        <v>29.3</v>
      </c>
      <c r="D481" s="4">
        <v>275.42</v>
      </c>
      <c r="E481" s="4">
        <v>213.89</v>
      </c>
      <c r="F481" s="4">
        <f t="shared" si="34"/>
        <v>61.53000000000003</v>
      </c>
      <c r="G481" s="5">
        <f t="shared" si="35"/>
        <v>0.22340425531914904</v>
      </c>
      <c r="H481" s="2" t="s">
        <v>457</v>
      </c>
      <c r="I481" s="6" t="s">
        <v>74</v>
      </c>
      <c r="J481" s="2" t="s">
        <v>458</v>
      </c>
      <c r="K481" s="2" t="s">
        <v>459</v>
      </c>
      <c r="L481" s="2" t="s">
        <v>28</v>
      </c>
      <c r="M481" s="2" t="s">
        <v>5</v>
      </c>
      <c r="N481" s="4">
        <v>24259.81</v>
      </c>
    </row>
    <row r="482" spans="1:14" x14ac:dyDescent="0.25">
      <c r="A482" s="2" t="s">
        <v>448</v>
      </c>
      <c r="B482" s="2" t="s">
        <v>449</v>
      </c>
      <c r="C482" s="3">
        <v>31.18</v>
      </c>
      <c r="D482" s="4">
        <v>291.53300000000002</v>
      </c>
      <c r="E482" s="4">
        <v>227.614</v>
      </c>
      <c r="F482" s="4">
        <f t="shared" si="34"/>
        <v>63.919000000000011</v>
      </c>
      <c r="G482" s="5">
        <f t="shared" si="35"/>
        <v>0.21925133689839574</v>
      </c>
      <c r="H482" s="2" t="s">
        <v>463</v>
      </c>
      <c r="I482" s="6" t="s">
        <v>32</v>
      </c>
      <c r="J482" s="2" t="s">
        <v>464</v>
      </c>
      <c r="K482" s="2" t="s">
        <v>465</v>
      </c>
      <c r="L482" s="2" t="s">
        <v>28</v>
      </c>
      <c r="M482" s="2" t="s">
        <v>5</v>
      </c>
      <c r="N482" s="4">
        <v>19051.64</v>
      </c>
    </row>
    <row r="483" spans="1:14" x14ac:dyDescent="0.25">
      <c r="A483" s="2" t="s">
        <v>448</v>
      </c>
      <c r="B483" s="2" t="s">
        <v>449</v>
      </c>
      <c r="C483" s="3">
        <v>16.059999999999999</v>
      </c>
      <c r="D483" s="4">
        <v>150.161</v>
      </c>
      <c r="E483" s="4">
        <v>117.238</v>
      </c>
      <c r="F483" s="4">
        <f t="shared" si="34"/>
        <v>32.923000000000002</v>
      </c>
      <c r="G483" s="5">
        <f t="shared" si="35"/>
        <v>0.21925133689839574</v>
      </c>
      <c r="H483" s="2" t="s">
        <v>457</v>
      </c>
      <c r="I483" s="6" t="s">
        <v>74</v>
      </c>
      <c r="J483" s="2" t="s">
        <v>458</v>
      </c>
      <c r="K483" s="2" t="s">
        <v>459</v>
      </c>
      <c r="L483" s="2" t="s">
        <v>28</v>
      </c>
      <c r="M483" s="2" t="s">
        <v>5</v>
      </c>
      <c r="N483" s="4">
        <v>24259.81</v>
      </c>
    </row>
    <row r="484" spans="1:14" x14ac:dyDescent="0.25">
      <c r="A484" s="2" t="s">
        <v>450</v>
      </c>
      <c r="B484" s="2" t="s">
        <v>451</v>
      </c>
      <c r="C484" s="3">
        <v>305.22000000000003</v>
      </c>
      <c r="D484" s="4">
        <v>3030.8346000000001</v>
      </c>
      <c r="E484" s="4">
        <v>2472.2820000000002</v>
      </c>
      <c r="F484" s="4">
        <f t="shared" si="34"/>
        <v>558.55259999999998</v>
      </c>
      <c r="G484" s="5">
        <f t="shared" si="35"/>
        <v>0.18429003021148035</v>
      </c>
      <c r="H484" s="2" t="s">
        <v>454</v>
      </c>
      <c r="I484" s="6" t="s">
        <v>39</v>
      </c>
      <c r="J484" s="2" t="s">
        <v>455</v>
      </c>
      <c r="K484" s="2" t="s">
        <v>456</v>
      </c>
      <c r="L484" s="2" t="s">
        <v>28</v>
      </c>
      <c r="M484" s="2" t="s">
        <v>5</v>
      </c>
      <c r="N484" s="4">
        <v>40348.370000000003</v>
      </c>
    </row>
    <row r="485" spans="1:14" x14ac:dyDescent="0.25">
      <c r="A485" s="2" t="s">
        <v>482</v>
      </c>
      <c r="B485" s="2" t="s">
        <v>483</v>
      </c>
      <c r="C485" s="3">
        <v>10.595000000000001</v>
      </c>
      <c r="D485" s="4">
        <v>126.82214999999999</v>
      </c>
      <c r="E485" s="4">
        <v>92.706249999999997</v>
      </c>
      <c r="F485" s="4">
        <f t="shared" si="34"/>
        <v>34.115899999999996</v>
      </c>
      <c r="G485" s="5">
        <f t="shared" si="35"/>
        <v>0.26900584795321636</v>
      </c>
      <c r="H485" s="2" t="s">
        <v>463</v>
      </c>
      <c r="I485" s="6" t="s">
        <v>32</v>
      </c>
      <c r="J485" s="2" t="s">
        <v>464</v>
      </c>
      <c r="K485" s="2" t="s">
        <v>465</v>
      </c>
      <c r="L485" s="2" t="s">
        <v>28</v>
      </c>
      <c r="M485" s="2" t="s">
        <v>5</v>
      </c>
      <c r="N485" s="4">
        <v>19051.64</v>
      </c>
    </row>
    <row r="486" spans="1:14" x14ac:dyDescent="0.25">
      <c r="A486" s="2" t="s">
        <v>406</v>
      </c>
      <c r="B486" s="2" t="s">
        <v>407</v>
      </c>
      <c r="C486" s="3">
        <v>30.7</v>
      </c>
      <c r="D486" s="4">
        <v>337.08600000000001</v>
      </c>
      <c r="E486" s="4">
        <v>245.6</v>
      </c>
      <c r="F486" s="4">
        <f t="shared" si="34"/>
        <v>91.486000000000018</v>
      </c>
      <c r="G486" s="5">
        <f t="shared" si="35"/>
        <v>0.27140255009107472</v>
      </c>
      <c r="H486" s="2" t="s">
        <v>457</v>
      </c>
      <c r="I486" s="6" t="s">
        <v>74</v>
      </c>
      <c r="J486" s="2" t="s">
        <v>458</v>
      </c>
      <c r="K486" s="2" t="s">
        <v>459</v>
      </c>
      <c r="L486" s="2" t="s">
        <v>28</v>
      </c>
      <c r="M486" s="2" t="s">
        <v>5</v>
      </c>
      <c r="N486" s="4">
        <v>24259.81</v>
      </c>
    </row>
    <row r="487" spans="1:14" x14ac:dyDescent="0.25">
      <c r="A487" s="2" t="s">
        <v>408</v>
      </c>
      <c r="B487" s="2" t="s">
        <v>409</v>
      </c>
      <c r="C487" s="3">
        <v>31.26</v>
      </c>
      <c r="D487" s="4">
        <v>550.17600000000004</v>
      </c>
      <c r="E487" s="4">
        <v>429.82499999999999</v>
      </c>
      <c r="F487" s="4">
        <f t="shared" si="34"/>
        <v>120.35100000000006</v>
      </c>
      <c r="G487" s="5">
        <f t="shared" si="35"/>
        <v>0.21875000000000008</v>
      </c>
      <c r="H487" s="2" t="s">
        <v>457</v>
      </c>
      <c r="I487" s="6" t="s">
        <v>74</v>
      </c>
      <c r="J487" s="2" t="s">
        <v>458</v>
      </c>
      <c r="K487" s="2" t="s">
        <v>459</v>
      </c>
      <c r="L487" s="2" t="s">
        <v>28</v>
      </c>
      <c r="M487" s="2" t="s">
        <v>5</v>
      </c>
      <c r="N487" s="4">
        <v>24259.81</v>
      </c>
    </row>
    <row r="488" spans="1:14" x14ac:dyDescent="0.25">
      <c r="A488" s="2" t="s">
        <v>408</v>
      </c>
      <c r="B488" s="2" t="s">
        <v>409</v>
      </c>
      <c r="C488" s="3">
        <v>123.745</v>
      </c>
      <c r="D488" s="4">
        <v>2177.9119999999998</v>
      </c>
      <c r="E488" s="4">
        <v>1701.4937500000001</v>
      </c>
      <c r="F488" s="4">
        <f t="shared" si="34"/>
        <v>476.41824999999972</v>
      </c>
      <c r="G488" s="5">
        <f t="shared" si="35"/>
        <v>0.21874999999999989</v>
      </c>
      <c r="H488" s="2" t="s">
        <v>454</v>
      </c>
      <c r="I488" s="6" t="s">
        <v>39</v>
      </c>
      <c r="J488" s="2" t="s">
        <v>455</v>
      </c>
      <c r="K488" s="2" t="s">
        <v>456</v>
      </c>
      <c r="L488" s="2" t="s">
        <v>28</v>
      </c>
      <c r="M488" s="2" t="s">
        <v>5</v>
      </c>
      <c r="N488" s="4">
        <v>40348.370000000003</v>
      </c>
    </row>
    <row r="489" spans="1:14" x14ac:dyDescent="0.25">
      <c r="A489" s="2" t="s">
        <v>408</v>
      </c>
      <c r="B489" s="2" t="s">
        <v>409</v>
      </c>
      <c r="C489" s="3">
        <v>55.82</v>
      </c>
      <c r="D489" s="4">
        <v>982.43200000000002</v>
      </c>
      <c r="E489" s="4">
        <v>767.52499999999998</v>
      </c>
      <c r="F489" s="4">
        <f t="shared" si="34"/>
        <v>214.90700000000004</v>
      </c>
      <c r="G489" s="5">
        <f t="shared" si="35"/>
        <v>0.21875000000000003</v>
      </c>
      <c r="H489" s="2" t="s">
        <v>463</v>
      </c>
      <c r="I489" s="6" t="s">
        <v>32</v>
      </c>
      <c r="J489" s="2" t="s">
        <v>464</v>
      </c>
      <c r="K489" s="2" t="s">
        <v>465</v>
      </c>
      <c r="L489" s="2" t="s">
        <v>28</v>
      </c>
      <c r="M489" s="2" t="s">
        <v>5</v>
      </c>
      <c r="N489" s="4">
        <v>19051.64</v>
      </c>
    </row>
    <row r="490" spans="1:14" x14ac:dyDescent="0.25">
      <c r="A490" s="2" t="s">
        <v>410</v>
      </c>
      <c r="B490" s="2" t="s">
        <v>411</v>
      </c>
      <c r="C490" s="3">
        <v>8</v>
      </c>
      <c r="D490" s="4">
        <v>168.48</v>
      </c>
      <c r="E490" s="4">
        <v>131.84</v>
      </c>
      <c r="F490" s="4">
        <f t="shared" si="34"/>
        <v>36.639999999999986</v>
      </c>
      <c r="G490" s="5">
        <f t="shared" si="35"/>
        <v>0.21747388414055074</v>
      </c>
      <c r="H490" s="2" t="s">
        <v>457</v>
      </c>
      <c r="I490" s="6" t="s">
        <v>74</v>
      </c>
      <c r="J490" s="2" t="s">
        <v>458</v>
      </c>
      <c r="K490" s="2" t="s">
        <v>459</v>
      </c>
      <c r="L490" s="2" t="s">
        <v>28</v>
      </c>
      <c r="M490" s="2" t="s">
        <v>5</v>
      </c>
      <c r="N490" s="4">
        <v>24259.81</v>
      </c>
    </row>
    <row r="491" spans="1:14" x14ac:dyDescent="0.25">
      <c r="A491" s="2" t="s">
        <v>410</v>
      </c>
      <c r="B491" s="2" t="s">
        <v>411</v>
      </c>
      <c r="C491" s="3">
        <v>15</v>
      </c>
      <c r="D491" s="4">
        <v>315.89999999999998</v>
      </c>
      <c r="E491" s="4">
        <v>247.2</v>
      </c>
      <c r="F491" s="4">
        <f t="shared" si="34"/>
        <v>68.699999999999989</v>
      </c>
      <c r="G491" s="5">
        <f t="shared" si="35"/>
        <v>0.2174738841405508</v>
      </c>
      <c r="H491" s="2" t="s">
        <v>454</v>
      </c>
      <c r="I491" s="6" t="s">
        <v>39</v>
      </c>
      <c r="J491" s="2" t="s">
        <v>455</v>
      </c>
      <c r="K491" s="2" t="s">
        <v>456</v>
      </c>
      <c r="L491" s="2" t="s">
        <v>28</v>
      </c>
      <c r="M491" s="2" t="s">
        <v>5</v>
      </c>
      <c r="N491" s="4">
        <v>40348.370000000003</v>
      </c>
    </row>
    <row r="492" spans="1:14" x14ac:dyDescent="0.25">
      <c r="A492" s="2" t="s">
        <v>412</v>
      </c>
      <c r="B492" s="2" t="s">
        <v>413</v>
      </c>
      <c r="C492" s="3">
        <v>16</v>
      </c>
      <c r="D492" s="4">
        <v>338.72</v>
      </c>
      <c r="E492" s="4">
        <v>258.24</v>
      </c>
      <c r="F492" s="4">
        <f t="shared" si="34"/>
        <v>80.480000000000018</v>
      </c>
      <c r="G492" s="5">
        <f t="shared" si="35"/>
        <v>0.2376003778932452</v>
      </c>
      <c r="H492" s="2" t="s">
        <v>463</v>
      </c>
      <c r="I492" s="6" t="s">
        <v>32</v>
      </c>
      <c r="J492" s="2" t="s">
        <v>464</v>
      </c>
      <c r="K492" s="2" t="s">
        <v>465</v>
      </c>
      <c r="L492" s="2" t="s">
        <v>28</v>
      </c>
      <c r="M492" s="2" t="s">
        <v>5</v>
      </c>
      <c r="N492" s="4">
        <v>19051.64</v>
      </c>
    </row>
    <row r="493" spans="1:14" x14ac:dyDescent="0.25">
      <c r="A493" s="2" t="s">
        <v>412</v>
      </c>
      <c r="B493" s="2" t="s">
        <v>413</v>
      </c>
      <c r="C493" s="3">
        <v>8</v>
      </c>
      <c r="D493" s="4">
        <v>169.36</v>
      </c>
      <c r="E493" s="4">
        <v>129.12</v>
      </c>
      <c r="F493" s="4">
        <f t="shared" si="34"/>
        <v>40.240000000000009</v>
      </c>
      <c r="G493" s="5">
        <f t="shared" si="35"/>
        <v>0.2376003778932452</v>
      </c>
      <c r="H493" s="2" t="s">
        <v>454</v>
      </c>
      <c r="I493" s="6" t="s">
        <v>39</v>
      </c>
      <c r="J493" s="2" t="s">
        <v>455</v>
      </c>
      <c r="K493" s="2" t="s">
        <v>456</v>
      </c>
      <c r="L493" s="2" t="s">
        <v>28</v>
      </c>
      <c r="M493" s="2" t="s">
        <v>5</v>
      </c>
      <c r="N493" s="4">
        <v>40348.370000000003</v>
      </c>
    </row>
    <row r="494" spans="1:14" x14ac:dyDescent="0.25">
      <c r="A494" s="2" t="s">
        <v>414</v>
      </c>
      <c r="B494" s="2" t="s">
        <v>415</v>
      </c>
      <c r="C494" s="3">
        <v>44.7</v>
      </c>
      <c r="D494" s="4">
        <v>539.976</v>
      </c>
      <c r="E494" s="4">
        <v>379.95</v>
      </c>
      <c r="F494" s="4">
        <f t="shared" si="34"/>
        <v>160.02600000000001</v>
      </c>
      <c r="G494" s="5">
        <f t="shared" si="35"/>
        <v>0.29635761589403975</v>
      </c>
      <c r="H494" s="2" t="s">
        <v>463</v>
      </c>
      <c r="I494" s="6" t="s">
        <v>32</v>
      </c>
      <c r="J494" s="2" t="s">
        <v>464</v>
      </c>
      <c r="K494" s="2" t="s">
        <v>465</v>
      </c>
      <c r="L494" s="2" t="s">
        <v>28</v>
      </c>
      <c r="M494" s="2" t="s">
        <v>5</v>
      </c>
      <c r="N494" s="4">
        <v>19051.64</v>
      </c>
    </row>
    <row r="495" spans="1:14" x14ac:dyDescent="0.25">
      <c r="A495" s="2" t="s">
        <v>414</v>
      </c>
      <c r="B495" s="2" t="s">
        <v>415</v>
      </c>
      <c r="C495" s="3">
        <v>22</v>
      </c>
      <c r="D495" s="4">
        <v>265.76</v>
      </c>
      <c r="E495" s="4">
        <v>187</v>
      </c>
      <c r="F495" s="4">
        <f t="shared" si="34"/>
        <v>78.759999999999991</v>
      </c>
      <c r="G495" s="5">
        <f t="shared" si="35"/>
        <v>0.29635761589403969</v>
      </c>
      <c r="H495" s="2" t="s">
        <v>454</v>
      </c>
      <c r="I495" s="6" t="s">
        <v>39</v>
      </c>
      <c r="J495" s="2" t="s">
        <v>455</v>
      </c>
      <c r="K495" s="2" t="s">
        <v>456</v>
      </c>
      <c r="L495" s="2" t="s">
        <v>28</v>
      </c>
      <c r="M495" s="2" t="s">
        <v>5</v>
      </c>
      <c r="N495" s="4">
        <v>40348.370000000003</v>
      </c>
    </row>
    <row r="496" spans="1:14" x14ac:dyDescent="0.25">
      <c r="A496" s="2" t="s">
        <v>414</v>
      </c>
      <c r="B496" s="2" t="s">
        <v>415</v>
      </c>
      <c r="C496" s="3">
        <v>23.6</v>
      </c>
      <c r="D496" s="4">
        <v>285.08800000000002</v>
      </c>
      <c r="E496" s="4">
        <v>200.6</v>
      </c>
      <c r="F496" s="4">
        <f t="shared" si="34"/>
        <v>84.488000000000028</v>
      </c>
      <c r="G496" s="5">
        <f t="shared" si="35"/>
        <v>0.29635761589403981</v>
      </c>
      <c r="H496" s="2" t="s">
        <v>457</v>
      </c>
      <c r="I496" s="6" t="s">
        <v>74</v>
      </c>
      <c r="J496" s="2" t="s">
        <v>458</v>
      </c>
      <c r="K496" s="2" t="s">
        <v>459</v>
      </c>
      <c r="L496" s="2" t="s">
        <v>28</v>
      </c>
      <c r="M496" s="2" t="s">
        <v>5</v>
      </c>
      <c r="N496" s="4">
        <v>24259.81</v>
      </c>
    </row>
    <row r="497" spans="1:14" x14ac:dyDescent="0.25">
      <c r="A497" s="2" t="s">
        <v>416</v>
      </c>
      <c r="B497" s="2" t="s">
        <v>417</v>
      </c>
      <c r="C497" s="3">
        <v>43.384999999999998</v>
      </c>
      <c r="D497" s="4">
        <v>405.64974999999998</v>
      </c>
      <c r="E497" s="4">
        <v>347.08</v>
      </c>
      <c r="F497" s="4">
        <f t="shared" ref="F497:F528" si="36">D497-E497</f>
        <v>58.569749999999999</v>
      </c>
      <c r="G497" s="5">
        <f t="shared" si="35"/>
        <v>0.14438502673796791</v>
      </c>
      <c r="H497" s="2" t="s">
        <v>454</v>
      </c>
      <c r="I497" s="6" t="s">
        <v>39</v>
      </c>
      <c r="J497" s="2" t="s">
        <v>455</v>
      </c>
      <c r="K497" s="2" t="s">
        <v>456</v>
      </c>
      <c r="L497" s="2" t="s">
        <v>28</v>
      </c>
      <c r="M497" s="2" t="s">
        <v>5</v>
      </c>
      <c r="N497" s="4">
        <v>40348.370000000003</v>
      </c>
    </row>
    <row r="498" spans="1:14" x14ac:dyDescent="0.25">
      <c r="A498" s="2" t="s">
        <v>418</v>
      </c>
      <c r="B498" s="2" t="s">
        <v>419</v>
      </c>
      <c r="C498" s="3">
        <v>15.72</v>
      </c>
      <c r="D498" s="4">
        <v>146.982</v>
      </c>
      <c r="E498" s="4">
        <v>149.34</v>
      </c>
      <c r="F498" s="4">
        <f t="shared" si="36"/>
        <v>-2.3580000000000041</v>
      </c>
      <c r="G498" s="5">
        <f t="shared" si="35"/>
        <v>-1.6042780748663131E-2</v>
      </c>
      <c r="H498" s="2" t="s">
        <v>463</v>
      </c>
      <c r="I498" s="6" t="s">
        <v>32</v>
      </c>
      <c r="J498" s="2" t="s">
        <v>464</v>
      </c>
      <c r="K498" s="2" t="s">
        <v>465</v>
      </c>
      <c r="L498" s="2" t="s">
        <v>28</v>
      </c>
      <c r="M498" s="2" t="s">
        <v>5</v>
      </c>
      <c r="N498" s="4">
        <v>19051.64</v>
      </c>
    </row>
    <row r="499" spans="1:14" x14ac:dyDescent="0.25">
      <c r="A499" s="2" t="s">
        <v>418</v>
      </c>
      <c r="B499" s="2" t="s">
        <v>419</v>
      </c>
      <c r="C499" s="3">
        <v>26.61</v>
      </c>
      <c r="D499" s="4">
        <v>248.80350000000001</v>
      </c>
      <c r="E499" s="4">
        <v>252.79499999999999</v>
      </c>
      <c r="F499" s="4">
        <f t="shared" si="36"/>
        <v>-3.9914999999999736</v>
      </c>
      <c r="G499" s="5">
        <f t="shared" si="35"/>
        <v>-1.6042780748662996E-2</v>
      </c>
      <c r="H499" s="2" t="s">
        <v>457</v>
      </c>
      <c r="I499" s="6" t="s">
        <v>74</v>
      </c>
      <c r="J499" s="2" t="s">
        <v>458</v>
      </c>
      <c r="K499" s="2" t="s">
        <v>459</v>
      </c>
      <c r="L499" s="2" t="s">
        <v>28</v>
      </c>
      <c r="M499" s="2" t="s">
        <v>5</v>
      </c>
      <c r="N499" s="4">
        <v>24259.81</v>
      </c>
    </row>
    <row r="500" spans="1:14" x14ac:dyDescent="0.25">
      <c r="A500" s="2" t="s">
        <v>420</v>
      </c>
      <c r="B500" s="2" t="s">
        <v>421</v>
      </c>
      <c r="C500" s="3">
        <v>8</v>
      </c>
      <c r="D500" s="4">
        <v>103.12</v>
      </c>
      <c r="E500" s="4">
        <v>71.44</v>
      </c>
      <c r="F500" s="4">
        <f t="shared" si="36"/>
        <v>31.680000000000007</v>
      </c>
      <c r="G500" s="5">
        <f t="shared" si="35"/>
        <v>0.30721489526764939</v>
      </c>
      <c r="H500" s="2" t="s">
        <v>463</v>
      </c>
      <c r="I500" s="6" t="s">
        <v>32</v>
      </c>
      <c r="J500" s="2" t="s">
        <v>464</v>
      </c>
      <c r="K500" s="2" t="s">
        <v>465</v>
      </c>
      <c r="L500" s="2" t="s">
        <v>28</v>
      </c>
      <c r="M500" s="2" t="s">
        <v>5</v>
      </c>
      <c r="N500" s="4">
        <v>19051.64</v>
      </c>
    </row>
    <row r="502" spans="1:14" x14ac:dyDescent="0.25">
      <c r="A502" s="13" t="s">
        <v>59</v>
      </c>
      <c r="B502" s="21"/>
      <c r="C502" s="22">
        <f>SUM(C430:C501)</f>
        <v>7055.9250000000011</v>
      </c>
      <c r="D502" s="23">
        <f>SUM(D430:D501)</f>
        <v>84517.222049999968</v>
      </c>
      <c r="E502" s="23">
        <f>SUM(E430:E501)</f>
        <v>61378.946649999991</v>
      </c>
      <c r="F502" s="23">
        <f>D502-E502</f>
        <v>23138.275399999977</v>
      </c>
      <c r="G502" s="24">
        <f>IF(((D502)=0),0,(D502-E502)/ D502)</f>
        <v>0.27376994698561541</v>
      </c>
      <c r="H502" s="21"/>
      <c r="I502" s="21"/>
      <c r="J502" s="21"/>
      <c r="K502" s="21"/>
      <c r="L502" s="21"/>
      <c r="M502" s="21"/>
      <c r="N502" s="21"/>
    </row>
    <row r="504" spans="1:14" s="17" customFormat="1" ht="18.75" x14ac:dyDescent="0.3"/>
    <row r="505" spans="1:14" s="7" customFormat="1" x14ac:dyDescent="0.25">
      <c r="A505" s="13" t="s">
        <v>484</v>
      </c>
      <c r="B505" s="18" t="s">
        <v>485</v>
      </c>
      <c r="C505" s="19"/>
      <c r="D505" s="20" t="s">
        <v>5</v>
      </c>
      <c r="E505" s="19"/>
      <c r="F505" s="19"/>
      <c r="G505" s="19"/>
      <c r="H505" s="19"/>
      <c r="I505" s="19"/>
      <c r="J505" s="19"/>
      <c r="K505" s="19"/>
      <c r="L505" s="19"/>
      <c r="M505" s="19"/>
      <c r="N505" s="19"/>
    </row>
    <row r="507" spans="1:14" x14ac:dyDescent="0.25">
      <c r="A507" s="2" t="s">
        <v>350</v>
      </c>
      <c r="B507" s="2" t="s">
        <v>351</v>
      </c>
      <c r="C507" s="3">
        <v>12</v>
      </c>
      <c r="D507" s="4">
        <v>133.68</v>
      </c>
      <c r="E507" s="4">
        <v>86.4</v>
      </c>
      <c r="F507" s="4">
        <f t="shared" ref="F507:F538" si="37">D507-E507</f>
        <v>47.28</v>
      </c>
      <c r="G507" s="5">
        <f t="shared" ref="G507:G538" si="38">IF(((D507)=0),0,(D507-E507)/ D507)</f>
        <v>0.35368043087971274</v>
      </c>
      <c r="H507" s="2" t="s">
        <v>486</v>
      </c>
      <c r="I507" s="6" t="s">
        <v>39</v>
      </c>
      <c r="J507" s="2" t="s">
        <v>487</v>
      </c>
      <c r="K507" s="2" t="s">
        <v>488</v>
      </c>
      <c r="L507" s="2" t="s">
        <v>28</v>
      </c>
      <c r="M507" s="2" t="s">
        <v>5</v>
      </c>
      <c r="N507" s="4">
        <v>17612.490000000002</v>
      </c>
    </row>
    <row r="508" spans="1:14" x14ac:dyDescent="0.25">
      <c r="A508" s="2" t="s">
        <v>350</v>
      </c>
      <c r="B508" s="2" t="s">
        <v>351</v>
      </c>
      <c r="C508" s="3">
        <v>12</v>
      </c>
      <c r="D508" s="4">
        <v>133.68</v>
      </c>
      <c r="E508" s="4">
        <v>86.4</v>
      </c>
      <c r="F508" s="4">
        <f t="shared" si="37"/>
        <v>47.28</v>
      </c>
      <c r="G508" s="5">
        <f t="shared" si="38"/>
        <v>0.35368043087971274</v>
      </c>
      <c r="H508" s="2" t="s">
        <v>489</v>
      </c>
      <c r="I508" s="6" t="s">
        <v>32</v>
      </c>
      <c r="J508" s="2" t="s">
        <v>490</v>
      </c>
      <c r="K508" s="2" t="s">
        <v>491</v>
      </c>
      <c r="L508" s="2" t="s">
        <v>28</v>
      </c>
      <c r="M508" s="2" t="s">
        <v>5</v>
      </c>
      <c r="N508" s="4">
        <v>11573.38</v>
      </c>
    </row>
    <row r="509" spans="1:14" x14ac:dyDescent="0.25">
      <c r="A509" s="2" t="s">
        <v>355</v>
      </c>
      <c r="B509" s="2" t="s">
        <v>356</v>
      </c>
      <c r="C509" s="3">
        <v>100</v>
      </c>
      <c r="D509" s="4">
        <v>1429</v>
      </c>
      <c r="E509" s="4">
        <v>1000</v>
      </c>
      <c r="F509" s="4">
        <f t="shared" si="37"/>
        <v>429</v>
      </c>
      <c r="G509" s="5">
        <f t="shared" si="38"/>
        <v>0.30020993701889431</v>
      </c>
      <c r="H509" s="2" t="s">
        <v>492</v>
      </c>
      <c r="I509" s="6" t="s">
        <v>74</v>
      </c>
      <c r="J509" s="2" t="s">
        <v>493</v>
      </c>
      <c r="K509" s="2" t="s">
        <v>494</v>
      </c>
      <c r="L509" s="2" t="s">
        <v>28</v>
      </c>
      <c r="M509" s="2" t="s">
        <v>5</v>
      </c>
      <c r="N509" s="4">
        <v>14754.51</v>
      </c>
    </row>
    <row r="510" spans="1:14" x14ac:dyDescent="0.25">
      <c r="A510" s="2" t="s">
        <v>355</v>
      </c>
      <c r="B510" s="2" t="s">
        <v>356</v>
      </c>
      <c r="C510" s="3">
        <v>100</v>
      </c>
      <c r="D510" s="4">
        <v>1429</v>
      </c>
      <c r="E510" s="4">
        <v>1000</v>
      </c>
      <c r="F510" s="4">
        <f t="shared" si="37"/>
        <v>429</v>
      </c>
      <c r="G510" s="5">
        <f t="shared" si="38"/>
        <v>0.30020993701889431</v>
      </c>
      <c r="H510" s="2" t="s">
        <v>489</v>
      </c>
      <c r="I510" s="6" t="s">
        <v>32</v>
      </c>
      <c r="J510" s="2" t="s">
        <v>490</v>
      </c>
      <c r="K510" s="2" t="s">
        <v>491</v>
      </c>
      <c r="L510" s="2" t="s">
        <v>28</v>
      </c>
      <c r="M510" s="2" t="s">
        <v>5</v>
      </c>
      <c r="N510" s="4">
        <v>11573.38</v>
      </c>
    </row>
    <row r="511" spans="1:14" x14ac:dyDescent="0.25">
      <c r="A511" s="2" t="s">
        <v>355</v>
      </c>
      <c r="B511" s="2" t="s">
        <v>356</v>
      </c>
      <c r="C511" s="3">
        <v>60</v>
      </c>
      <c r="D511" s="4">
        <v>857.4</v>
      </c>
      <c r="E511" s="4">
        <v>600</v>
      </c>
      <c r="F511" s="4">
        <f t="shared" si="37"/>
        <v>257.39999999999998</v>
      </c>
      <c r="G511" s="5">
        <f t="shared" si="38"/>
        <v>0.30020993701889431</v>
      </c>
      <c r="H511" s="2" t="s">
        <v>486</v>
      </c>
      <c r="I511" s="6" t="s">
        <v>39</v>
      </c>
      <c r="J511" s="2" t="s">
        <v>487</v>
      </c>
      <c r="K511" s="2" t="s">
        <v>488</v>
      </c>
      <c r="L511" s="2" t="s">
        <v>28</v>
      </c>
      <c r="M511" s="2" t="s">
        <v>5</v>
      </c>
      <c r="N511" s="4">
        <v>17612.490000000002</v>
      </c>
    </row>
    <row r="512" spans="1:14" x14ac:dyDescent="0.25">
      <c r="A512" s="2" t="s">
        <v>360</v>
      </c>
      <c r="B512" s="2" t="s">
        <v>361</v>
      </c>
      <c r="C512" s="3">
        <v>45.8</v>
      </c>
      <c r="D512" s="4">
        <v>755.24199999999996</v>
      </c>
      <c r="E512" s="4">
        <v>540.44000000000005</v>
      </c>
      <c r="F512" s="4">
        <f t="shared" si="37"/>
        <v>214.80199999999991</v>
      </c>
      <c r="G512" s="5">
        <f t="shared" si="38"/>
        <v>0.28441479684657356</v>
      </c>
      <c r="H512" s="2" t="s">
        <v>489</v>
      </c>
      <c r="I512" s="6" t="s">
        <v>32</v>
      </c>
      <c r="J512" s="2" t="s">
        <v>490</v>
      </c>
      <c r="K512" s="2" t="s">
        <v>491</v>
      </c>
      <c r="L512" s="2" t="s">
        <v>28</v>
      </c>
      <c r="M512" s="2" t="s">
        <v>5</v>
      </c>
      <c r="N512" s="4">
        <v>11573.38</v>
      </c>
    </row>
    <row r="513" spans="1:14" x14ac:dyDescent="0.25">
      <c r="A513" s="2" t="s">
        <v>360</v>
      </c>
      <c r="B513" s="2" t="s">
        <v>361</v>
      </c>
      <c r="C513" s="3">
        <v>40.68</v>
      </c>
      <c r="D513" s="4">
        <v>670.81320000000005</v>
      </c>
      <c r="E513" s="4">
        <v>480.024</v>
      </c>
      <c r="F513" s="4">
        <f t="shared" si="37"/>
        <v>190.78920000000005</v>
      </c>
      <c r="G513" s="5">
        <f t="shared" si="38"/>
        <v>0.28441479684657373</v>
      </c>
      <c r="H513" s="2" t="s">
        <v>492</v>
      </c>
      <c r="I513" s="6" t="s">
        <v>74</v>
      </c>
      <c r="J513" s="2" t="s">
        <v>493</v>
      </c>
      <c r="K513" s="2" t="s">
        <v>494</v>
      </c>
      <c r="L513" s="2" t="s">
        <v>28</v>
      </c>
      <c r="M513" s="2" t="s">
        <v>5</v>
      </c>
      <c r="N513" s="4">
        <v>14754.51</v>
      </c>
    </row>
    <row r="514" spans="1:14" x14ac:dyDescent="0.25">
      <c r="A514" s="2" t="s">
        <v>360</v>
      </c>
      <c r="B514" s="2" t="s">
        <v>361</v>
      </c>
      <c r="C514" s="3">
        <v>55.274999999999999</v>
      </c>
      <c r="D514" s="4">
        <v>911.48474999999996</v>
      </c>
      <c r="E514" s="4">
        <v>652.245</v>
      </c>
      <c r="F514" s="4">
        <f t="shared" si="37"/>
        <v>259.23974999999996</v>
      </c>
      <c r="G514" s="5">
        <f t="shared" si="38"/>
        <v>0.28441479684657367</v>
      </c>
      <c r="H514" s="2" t="s">
        <v>486</v>
      </c>
      <c r="I514" s="6" t="s">
        <v>39</v>
      </c>
      <c r="J514" s="2" t="s">
        <v>487</v>
      </c>
      <c r="K514" s="2" t="s">
        <v>488</v>
      </c>
      <c r="L514" s="2" t="s">
        <v>28</v>
      </c>
      <c r="M514" s="2" t="s">
        <v>5</v>
      </c>
      <c r="N514" s="4">
        <v>17612.490000000002</v>
      </c>
    </row>
    <row r="515" spans="1:14" x14ac:dyDescent="0.25">
      <c r="A515" s="2" t="s">
        <v>362</v>
      </c>
      <c r="B515" s="2" t="s">
        <v>363</v>
      </c>
      <c r="C515" s="3">
        <v>60.87</v>
      </c>
      <c r="D515" s="4">
        <v>773.65769999999998</v>
      </c>
      <c r="E515" s="4">
        <v>608.70000000000005</v>
      </c>
      <c r="F515" s="4">
        <f t="shared" si="37"/>
        <v>164.95769999999993</v>
      </c>
      <c r="G515" s="5">
        <f t="shared" si="38"/>
        <v>0.21321793863099914</v>
      </c>
      <c r="H515" s="2" t="s">
        <v>489</v>
      </c>
      <c r="I515" s="6" t="s">
        <v>32</v>
      </c>
      <c r="J515" s="2" t="s">
        <v>490</v>
      </c>
      <c r="K515" s="2" t="s">
        <v>491</v>
      </c>
      <c r="L515" s="2" t="s">
        <v>28</v>
      </c>
      <c r="M515" s="2" t="s">
        <v>5</v>
      </c>
      <c r="N515" s="4">
        <v>11573.38</v>
      </c>
    </row>
    <row r="516" spans="1:14" x14ac:dyDescent="0.25">
      <c r="A516" s="2" t="s">
        <v>362</v>
      </c>
      <c r="B516" s="2" t="s">
        <v>363</v>
      </c>
      <c r="C516" s="3">
        <v>40.549999999999997</v>
      </c>
      <c r="D516" s="4">
        <v>515.39049999999997</v>
      </c>
      <c r="E516" s="4">
        <v>494.71</v>
      </c>
      <c r="F516" s="4">
        <f t="shared" si="37"/>
        <v>20.680499999999995</v>
      </c>
      <c r="G516" s="5">
        <f t="shared" si="38"/>
        <v>4.0125885129819031E-2</v>
      </c>
      <c r="H516" s="2" t="s">
        <v>486</v>
      </c>
      <c r="I516" s="6" t="s">
        <v>39</v>
      </c>
      <c r="J516" s="2" t="s">
        <v>487</v>
      </c>
      <c r="K516" s="2" t="s">
        <v>488</v>
      </c>
      <c r="L516" s="2" t="s">
        <v>28</v>
      </c>
      <c r="M516" s="2" t="s">
        <v>5</v>
      </c>
      <c r="N516" s="4">
        <v>17612.490000000002</v>
      </c>
    </row>
    <row r="517" spans="1:14" x14ac:dyDescent="0.25">
      <c r="A517" s="2" t="s">
        <v>362</v>
      </c>
      <c r="B517" s="2" t="s">
        <v>363</v>
      </c>
      <c r="C517" s="3">
        <v>38.215000000000003</v>
      </c>
      <c r="D517" s="4">
        <v>485.71265</v>
      </c>
      <c r="E517" s="4">
        <v>466.22300000000001</v>
      </c>
      <c r="F517" s="4">
        <f t="shared" si="37"/>
        <v>19.489649999999983</v>
      </c>
      <c r="G517" s="5">
        <f t="shared" si="38"/>
        <v>4.0125885129819003E-2</v>
      </c>
      <c r="H517" s="2" t="s">
        <v>492</v>
      </c>
      <c r="I517" s="6" t="s">
        <v>74</v>
      </c>
      <c r="J517" s="2" t="s">
        <v>493</v>
      </c>
      <c r="K517" s="2" t="s">
        <v>494</v>
      </c>
      <c r="L517" s="2" t="s">
        <v>28</v>
      </c>
      <c r="M517" s="2" t="s">
        <v>5</v>
      </c>
      <c r="N517" s="4">
        <v>14754.51</v>
      </c>
    </row>
    <row r="518" spans="1:14" x14ac:dyDescent="0.25">
      <c r="A518" s="2" t="s">
        <v>364</v>
      </c>
      <c r="B518" s="2" t="s">
        <v>365</v>
      </c>
      <c r="C518" s="3">
        <v>44.4</v>
      </c>
      <c r="D518" s="4">
        <v>634.476</v>
      </c>
      <c r="E518" s="4">
        <v>501.72</v>
      </c>
      <c r="F518" s="4">
        <f t="shared" si="37"/>
        <v>132.75599999999997</v>
      </c>
      <c r="G518" s="5">
        <f t="shared" si="38"/>
        <v>0.20923722883135054</v>
      </c>
      <c r="H518" s="2" t="s">
        <v>492</v>
      </c>
      <c r="I518" s="6" t="s">
        <v>74</v>
      </c>
      <c r="J518" s="2" t="s">
        <v>493</v>
      </c>
      <c r="K518" s="2" t="s">
        <v>494</v>
      </c>
      <c r="L518" s="2" t="s">
        <v>28</v>
      </c>
      <c r="M518" s="2" t="s">
        <v>5</v>
      </c>
      <c r="N518" s="4">
        <v>14754.51</v>
      </c>
    </row>
    <row r="519" spans="1:14" x14ac:dyDescent="0.25">
      <c r="A519" s="2" t="s">
        <v>364</v>
      </c>
      <c r="B519" s="2" t="s">
        <v>365</v>
      </c>
      <c r="C519" s="3">
        <v>43.4</v>
      </c>
      <c r="D519" s="4">
        <v>620.18600000000004</v>
      </c>
      <c r="E519" s="4">
        <v>490.42</v>
      </c>
      <c r="F519" s="4">
        <f t="shared" si="37"/>
        <v>129.76600000000002</v>
      </c>
      <c r="G519" s="5">
        <f t="shared" si="38"/>
        <v>0.20923722883135062</v>
      </c>
      <c r="H519" s="2" t="s">
        <v>489</v>
      </c>
      <c r="I519" s="6" t="s">
        <v>32</v>
      </c>
      <c r="J519" s="2" t="s">
        <v>490</v>
      </c>
      <c r="K519" s="2" t="s">
        <v>491</v>
      </c>
      <c r="L519" s="2" t="s">
        <v>28</v>
      </c>
      <c r="M519" s="2" t="s">
        <v>5</v>
      </c>
      <c r="N519" s="4">
        <v>11573.38</v>
      </c>
    </row>
    <row r="520" spans="1:14" x14ac:dyDescent="0.25">
      <c r="A520" s="2" t="s">
        <v>364</v>
      </c>
      <c r="B520" s="2" t="s">
        <v>365</v>
      </c>
      <c r="C520" s="3">
        <v>282.05</v>
      </c>
      <c r="D520" s="4">
        <v>4030.4944999999998</v>
      </c>
      <c r="E520" s="4">
        <v>3187.165</v>
      </c>
      <c r="F520" s="4">
        <f t="shared" si="37"/>
        <v>843.32949999999983</v>
      </c>
      <c r="G520" s="5">
        <f t="shared" si="38"/>
        <v>0.20923722883135057</v>
      </c>
      <c r="H520" s="2" t="s">
        <v>486</v>
      </c>
      <c r="I520" s="6" t="s">
        <v>39</v>
      </c>
      <c r="J520" s="2" t="s">
        <v>487</v>
      </c>
      <c r="K520" s="2" t="s">
        <v>488</v>
      </c>
      <c r="L520" s="2" t="s">
        <v>28</v>
      </c>
      <c r="M520" s="2" t="s">
        <v>5</v>
      </c>
      <c r="N520" s="4">
        <v>17612.490000000002</v>
      </c>
    </row>
    <row r="521" spans="1:14" x14ac:dyDescent="0.25">
      <c r="A521" s="2" t="s">
        <v>366</v>
      </c>
      <c r="B521" s="2" t="s">
        <v>367</v>
      </c>
      <c r="C521" s="3">
        <v>84.79</v>
      </c>
      <c r="D521" s="4">
        <v>846.20420000000001</v>
      </c>
      <c r="E521" s="4">
        <v>501.10890000000001</v>
      </c>
      <c r="F521" s="4">
        <f t="shared" si="37"/>
        <v>345.09530000000001</v>
      </c>
      <c r="G521" s="5">
        <f t="shared" si="38"/>
        <v>0.40781563126252507</v>
      </c>
      <c r="H521" s="2" t="s">
        <v>486</v>
      </c>
      <c r="I521" s="6" t="s">
        <v>39</v>
      </c>
      <c r="J521" s="2" t="s">
        <v>487</v>
      </c>
      <c r="K521" s="2" t="s">
        <v>488</v>
      </c>
      <c r="L521" s="2" t="s">
        <v>28</v>
      </c>
      <c r="M521" s="2" t="s">
        <v>5</v>
      </c>
      <c r="N521" s="4">
        <v>17612.490000000002</v>
      </c>
    </row>
    <row r="522" spans="1:14" x14ac:dyDescent="0.25">
      <c r="A522" s="2" t="s">
        <v>370</v>
      </c>
      <c r="B522" s="2" t="s">
        <v>371</v>
      </c>
      <c r="C522" s="3">
        <v>62.57</v>
      </c>
      <c r="D522" s="4">
        <v>341.63220000000001</v>
      </c>
      <c r="E522" s="4">
        <v>225.25200000000001</v>
      </c>
      <c r="F522" s="4">
        <f t="shared" si="37"/>
        <v>116.3802</v>
      </c>
      <c r="G522" s="5">
        <f t="shared" si="38"/>
        <v>0.34065934065934067</v>
      </c>
      <c r="H522" s="2" t="s">
        <v>492</v>
      </c>
      <c r="I522" s="6" t="s">
        <v>74</v>
      </c>
      <c r="J522" s="2" t="s">
        <v>493</v>
      </c>
      <c r="K522" s="2" t="s">
        <v>494</v>
      </c>
      <c r="L522" s="2" t="s">
        <v>28</v>
      </c>
      <c r="M522" s="2" t="s">
        <v>5</v>
      </c>
      <c r="N522" s="4">
        <v>14754.51</v>
      </c>
    </row>
    <row r="523" spans="1:14" x14ac:dyDescent="0.25">
      <c r="A523" s="2" t="s">
        <v>370</v>
      </c>
      <c r="B523" s="2" t="s">
        <v>371</v>
      </c>
      <c r="C523" s="3">
        <v>45.77</v>
      </c>
      <c r="D523" s="4">
        <v>249.9042</v>
      </c>
      <c r="E523" s="4">
        <v>164.77199999999999</v>
      </c>
      <c r="F523" s="4">
        <f t="shared" si="37"/>
        <v>85.132200000000012</v>
      </c>
      <c r="G523" s="5">
        <f t="shared" si="38"/>
        <v>0.34065934065934073</v>
      </c>
      <c r="H523" s="2" t="s">
        <v>489</v>
      </c>
      <c r="I523" s="6" t="s">
        <v>32</v>
      </c>
      <c r="J523" s="2" t="s">
        <v>490</v>
      </c>
      <c r="K523" s="2" t="s">
        <v>491</v>
      </c>
      <c r="L523" s="2" t="s">
        <v>28</v>
      </c>
      <c r="M523" s="2" t="s">
        <v>5</v>
      </c>
      <c r="N523" s="4">
        <v>11573.38</v>
      </c>
    </row>
    <row r="524" spans="1:14" x14ac:dyDescent="0.25">
      <c r="A524" s="2" t="s">
        <v>370</v>
      </c>
      <c r="B524" s="2" t="s">
        <v>371</v>
      </c>
      <c r="C524" s="3">
        <v>60.115000000000002</v>
      </c>
      <c r="D524" s="4">
        <v>328.22789999999998</v>
      </c>
      <c r="E524" s="4">
        <v>216.41399999999999</v>
      </c>
      <c r="F524" s="4">
        <f t="shared" si="37"/>
        <v>111.81389999999999</v>
      </c>
      <c r="G524" s="5">
        <f t="shared" si="38"/>
        <v>0.34065934065934067</v>
      </c>
      <c r="H524" s="2" t="s">
        <v>486</v>
      </c>
      <c r="I524" s="6" t="s">
        <v>39</v>
      </c>
      <c r="J524" s="2" t="s">
        <v>487</v>
      </c>
      <c r="K524" s="2" t="s">
        <v>488</v>
      </c>
      <c r="L524" s="2" t="s">
        <v>28</v>
      </c>
      <c r="M524" s="2" t="s">
        <v>5</v>
      </c>
      <c r="N524" s="4">
        <v>17612.490000000002</v>
      </c>
    </row>
    <row r="525" spans="1:14" x14ac:dyDescent="0.25">
      <c r="A525" s="2" t="s">
        <v>372</v>
      </c>
      <c r="B525" s="2" t="s">
        <v>373</v>
      </c>
      <c r="C525" s="3">
        <v>15.46</v>
      </c>
      <c r="D525" s="4">
        <v>204.69040000000001</v>
      </c>
      <c r="E525" s="4">
        <v>139.13999999999999</v>
      </c>
      <c r="F525" s="4">
        <f t="shared" si="37"/>
        <v>65.550400000000025</v>
      </c>
      <c r="G525" s="5">
        <f t="shared" si="38"/>
        <v>0.32024169184290041</v>
      </c>
      <c r="H525" s="2" t="s">
        <v>492</v>
      </c>
      <c r="I525" s="6" t="s">
        <v>74</v>
      </c>
      <c r="J525" s="2" t="s">
        <v>493</v>
      </c>
      <c r="K525" s="2" t="s">
        <v>494</v>
      </c>
      <c r="L525" s="2" t="s">
        <v>28</v>
      </c>
      <c r="M525" s="2" t="s">
        <v>5</v>
      </c>
      <c r="N525" s="4">
        <v>14754.51</v>
      </c>
    </row>
    <row r="526" spans="1:14" x14ac:dyDescent="0.25">
      <c r="A526" s="2" t="s">
        <v>372</v>
      </c>
      <c r="B526" s="2" t="s">
        <v>373</v>
      </c>
      <c r="C526" s="3">
        <v>17.170000000000002</v>
      </c>
      <c r="D526" s="4">
        <v>227.33080000000001</v>
      </c>
      <c r="E526" s="4">
        <v>154.53</v>
      </c>
      <c r="F526" s="4">
        <f t="shared" si="37"/>
        <v>72.80080000000001</v>
      </c>
      <c r="G526" s="5">
        <f t="shared" si="38"/>
        <v>0.32024169184290036</v>
      </c>
      <c r="H526" s="2" t="s">
        <v>486</v>
      </c>
      <c r="I526" s="6" t="s">
        <v>39</v>
      </c>
      <c r="J526" s="2" t="s">
        <v>487</v>
      </c>
      <c r="K526" s="2" t="s">
        <v>488</v>
      </c>
      <c r="L526" s="2" t="s">
        <v>28</v>
      </c>
      <c r="M526" s="2" t="s">
        <v>5</v>
      </c>
      <c r="N526" s="4">
        <v>17612.490000000002</v>
      </c>
    </row>
    <row r="527" spans="1:14" x14ac:dyDescent="0.25">
      <c r="A527" s="2" t="s">
        <v>372</v>
      </c>
      <c r="B527" s="2" t="s">
        <v>373</v>
      </c>
      <c r="C527" s="3">
        <v>15.01</v>
      </c>
      <c r="D527" s="4">
        <v>198.73240000000001</v>
      </c>
      <c r="E527" s="4">
        <v>135.09</v>
      </c>
      <c r="F527" s="4">
        <f t="shared" si="37"/>
        <v>63.642400000000009</v>
      </c>
      <c r="G527" s="5">
        <f t="shared" si="38"/>
        <v>0.32024169184290036</v>
      </c>
      <c r="H527" s="2" t="s">
        <v>489</v>
      </c>
      <c r="I527" s="6" t="s">
        <v>32</v>
      </c>
      <c r="J527" s="2" t="s">
        <v>490</v>
      </c>
      <c r="K527" s="2" t="s">
        <v>491</v>
      </c>
      <c r="L527" s="2" t="s">
        <v>28</v>
      </c>
      <c r="M527" s="2" t="s">
        <v>5</v>
      </c>
      <c r="N527" s="4">
        <v>11573.38</v>
      </c>
    </row>
    <row r="528" spans="1:14" x14ac:dyDescent="0.25">
      <c r="A528" s="2" t="s">
        <v>440</v>
      </c>
      <c r="B528" s="2" t="s">
        <v>441</v>
      </c>
      <c r="C528" s="3">
        <v>15.22</v>
      </c>
      <c r="D528" s="4">
        <v>142.30699999999999</v>
      </c>
      <c r="E528" s="4">
        <v>185.684</v>
      </c>
      <c r="F528" s="4">
        <f t="shared" si="37"/>
        <v>-43.37700000000001</v>
      </c>
      <c r="G528" s="5">
        <f t="shared" si="38"/>
        <v>-0.30481283422459904</v>
      </c>
      <c r="H528" s="2" t="s">
        <v>492</v>
      </c>
      <c r="I528" s="6" t="s">
        <v>74</v>
      </c>
      <c r="J528" s="2" t="s">
        <v>493</v>
      </c>
      <c r="K528" s="2" t="s">
        <v>494</v>
      </c>
      <c r="L528" s="2" t="s">
        <v>28</v>
      </c>
      <c r="M528" s="2" t="s">
        <v>5</v>
      </c>
      <c r="N528" s="4">
        <v>14754.51</v>
      </c>
    </row>
    <row r="529" spans="1:14" x14ac:dyDescent="0.25">
      <c r="A529" s="2" t="s">
        <v>440</v>
      </c>
      <c r="B529" s="2" t="s">
        <v>441</v>
      </c>
      <c r="C529" s="3">
        <v>10.595000000000001</v>
      </c>
      <c r="D529" s="4">
        <v>99.063249999999996</v>
      </c>
      <c r="E529" s="4">
        <v>105.95</v>
      </c>
      <c r="F529" s="4">
        <f t="shared" si="37"/>
        <v>-6.8867500000000064</v>
      </c>
      <c r="G529" s="5">
        <f t="shared" si="38"/>
        <v>-6.9518716577540177E-2</v>
      </c>
      <c r="H529" s="2" t="s">
        <v>489</v>
      </c>
      <c r="I529" s="6" t="s">
        <v>32</v>
      </c>
      <c r="J529" s="2" t="s">
        <v>490</v>
      </c>
      <c r="K529" s="2" t="s">
        <v>491</v>
      </c>
      <c r="L529" s="2" t="s">
        <v>28</v>
      </c>
      <c r="M529" s="2" t="s">
        <v>5</v>
      </c>
      <c r="N529" s="4">
        <v>11573.38</v>
      </c>
    </row>
    <row r="530" spans="1:14" x14ac:dyDescent="0.25">
      <c r="A530" s="2" t="s">
        <v>376</v>
      </c>
      <c r="B530" s="2" t="s">
        <v>377</v>
      </c>
      <c r="C530" s="3">
        <v>28.79</v>
      </c>
      <c r="D530" s="4">
        <v>347.78320000000002</v>
      </c>
      <c r="E530" s="4">
        <v>210.167</v>
      </c>
      <c r="F530" s="4">
        <f t="shared" si="37"/>
        <v>137.61620000000002</v>
      </c>
      <c r="G530" s="5">
        <f t="shared" si="38"/>
        <v>0.39569536423841062</v>
      </c>
      <c r="H530" s="2" t="s">
        <v>492</v>
      </c>
      <c r="I530" s="6" t="s">
        <v>74</v>
      </c>
      <c r="J530" s="2" t="s">
        <v>493</v>
      </c>
      <c r="K530" s="2" t="s">
        <v>494</v>
      </c>
      <c r="L530" s="2" t="s">
        <v>28</v>
      </c>
      <c r="M530" s="2" t="s">
        <v>5</v>
      </c>
      <c r="N530" s="4">
        <v>14754.51</v>
      </c>
    </row>
    <row r="531" spans="1:14" x14ac:dyDescent="0.25">
      <c r="A531" s="2" t="s">
        <v>376</v>
      </c>
      <c r="B531" s="2" t="s">
        <v>377</v>
      </c>
      <c r="C531" s="3">
        <v>38.524999999999999</v>
      </c>
      <c r="D531" s="4">
        <v>465.38200000000001</v>
      </c>
      <c r="E531" s="4">
        <v>281.23250000000002</v>
      </c>
      <c r="F531" s="4">
        <f t="shared" si="37"/>
        <v>184.14949999999999</v>
      </c>
      <c r="G531" s="5">
        <f t="shared" si="38"/>
        <v>0.39569536423841056</v>
      </c>
      <c r="H531" s="2" t="s">
        <v>486</v>
      </c>
      <c r="I531" s="6" t="s">
        <v>39</v>
      </c>
      <c r="J531" s="2" t="s">
        <v>487</v>
      </c>
      <c r="K531" s="2" t="s">
        <v>488</v>
      </c>
      <c r="L531" s="2" t="s">
        <v>28</v>
      </c>
      <c r="M531" s="2" t="s">
        <v>5</v>
      </c>
      <c r="N531" s="4">
        <v>17612.490000000002</v>
      </c>
    </row>
    <row r="532" spans="1:14" x14ac:dyDescent="0.25">
      <c r="A532" s="2" t="s">
        <v>376</v>
      </c>
      <c r="B532" s="2" t="s">
        <v>377</v>
      </c>
      <c r="C532" s="3">
        <v>49.365000000000002</v>
      </c>
      <c r="D532" s="4">
        <v>596.32920000000001</v>
      </c>
      <c r="E532" s="4">
        <v>360.36450000000002</v>
      </c>
      <c r="F532" s="4">
        <f t="shared" si="37"/>
        <v>235.96469999999999</v>
      </c>
      <c r="G532" s="5">
        <f t="shared" si="38"/>
        <v>0.39569536423841056</v>
      </c>
      <c r="H532" s="2" t="s">
        <v>489</v>
      </c>
      <c r="I532" s="6" t="s">
        <v>32</v>
      </c>
      <c r="J532" s="2" t="s">
        <v>490</v>
      </c>
      <c r="K532" s="2" t="s">
        <v>491</v>
      </c>
      <c r="L532" s="2" t="s">
        <v>28</v>
      </c>
      <c r="M532" s="2" t="s">
        <v>5</v>
      </c>
      <c r="N532" s="4">
        <v>11573.38</v>
      </c>
    </row>
    <row r="533" spans="1:14" x14ac:dyDescent="0.25">
      <c r="A533" s="2" t="s">
        <v>378</v>
      </c>
      <c r="B533" s="2" t="s">
        <v>379</v>
      </c>
      <c r="C533" s="3">
        <v>78.819999999999993</v>
      </c>
      <c r="D533" s="4">
        <v>952.14559999999994</v>
      </c>
      <c r="E533" s="4">
        <v>575.38599999999997</v>
      </c>
      <c r="F533" s="4">
        <f t="shared" si="37"/>
        <v>376.75959999999998</v>
      </c>
      <c r="G533" s="5">
        <f t="shared" si="38"/>
        <v>0.39569536423841062</v>
      </c>
      <c r="H533" s="2" t="s">
        <v>486</v>
      </c>
      <c r="I533" s="6" t="s">
        <v>39</v>
      </c>
      <c r="J533" s="2" t="s">
        <v>487</v>
      </c>
      <c r="K533" s="2" t="s">
        <v>488</v>
      </c>
      <c r="L533" s="2" t="s">
        <v>28</v>
      </c>
      <c r="M533" s="2" t="s">
        <v>5</v>
      </c>
      <c r="N533" s="4">
        <v>17612.490000000002</v>
      </c>
    </row>
    <row r="534" spans="1:14" x14ac:dyDescent="0.25">
      <c r="A534" s="2" t="s">
        <v>378</v>
      </c>
      <c r="B534" s="2" t="s">
        <v>379</v>
      </c>
      <c r="C534" s="3">
        <v>81.010000000000005</v>
      </c>
      <c r="D534" s="4">
        <v>978.60080000000005</v>
      </c>
      <c r="E534" s="4">
        <v>591.37300000000005</v>
      </c>
      <c r="F534" s="4">
        <f t="shared" si="37"/>
        <v>387.2278</v>
      </c>
      <c r="G534" s="5">
        <f t="shared" si="38"/>
        <v>0.39569536423841056</v>
      </c>
      <c r="H534" s="2" t="s">
        <v>492</v>
      </c>
      <c r="I534" s="6" t="s">
        <v>74</v>
      </c>
      <c r="J534" s="2" t="s">
        <v>493</v>
      </c>
      <c r="K534" s="2" t="s">
        <v>494</v>
      </c>
      <c r="L534" s="2" t="s">
        <v>28</v>
      </c>
      <c r="M534" s="2" t="s">
        <v>5</v>
      </c>
      <c r="N534" s="4">
        <v>14754.51</v>
      </c>
    </row>
    <row r="535" spans="1:14" x14ac:dyDescent="0.25">
      <c r="A535" s="2" t="s">
        <v>378</v>
      </c>
      <c r="B535" s="2" t="s">
        <v>379</v>
      </c>
      <c r="C535" s="3">
        <v>87.515000000000001</v>
      </c>
      <c r="D535" s="4">
        <v>1057.1812</v>
      </c>
      <c r="E535" s="4">
        <v>638.85950000000003</v>
      </c>
      <c r="F535" s="4">
        <f t="shared" si="37"/>
        <v>418.32169999999996</v>
      </c>
      <c r="G535" s="5">
        <f t="shared" si="38"/>
        <v>0.39569536423841056</v>
      </c>
      <c r="H535" s="2" t="s">
        <v>489</v>
      </c>
      <c r="I535" s="6" t="s">
        <v>32</v>
      </c>
      <c r="J535" s="2" t="s">
        <v>490</v>
      </c>
      <c r="K535" s="2" t="s">
        <v>491</v>
      </c>
      <c r="L535" s="2" t="s">
        <v>28</v>
      </c>
      <c r="M535" s="2" t="s">
        <v>5</v>
      </c>
      <c r="N535" s="4">
        <v>11573.38</v>
      </c>
    </row>
    <row r="536" spans="1:14" x14ac:dyDescent="0.25">
      <c r="A536" s="2" t="s">
        <v>476</v>
      </c>
      <c r="B536" s="2" t="s">
        <v>477</v>
      </c>
      <c r="C536" s="3">
        <v>20</v>
      </c>
      <c r="D536" s="4">
        <v>239.6</v>
      </c>
      <c r="E536" s="4">
        <v>150</v>
      </c>
      <c r="F536" s="4">
        <f t="shared" si="37"/>
        <v>89.6</v>
      </c>
      <c r="G536" s="5">
        <f t="shared" si="38"/>
        <v>0.37395659432387313</v>
      </c>
      <c r="H536" s="2" t="s">
        <v>492</v>
      </c>
      <c r="I536" s="6" t="s">
        <v>74</v>
      </c>
      <c r="J536" s="2" t="s">
        <v>493</v>
      </c>
      <c r="K536" s="2" t="s">
        <v>494</v>
      </c>
      <c r="L536" s="2" t="s">
        <v>28</v>
      </c>
      <c r="M536" s="2" t="s">
        <v>5</v>
      </c>
      <c r="N536" s="4">
        <v>14754.51</v>
      </c>
    </row>
    <row r="537" spans="1:14" x14ac:dyDescent="0.25">
      <c r="A537" s="2" t="s">
        <v>476</v>
      </c>
      <c r="B537" s="2" t="s">
        <v>477</v>
      </c>
      <c r="C537" s="3">
        <v>10</v>
      </c>
      <c r="D537" s="4">
        <v>119.8</v>
      </c>
      <c r="E537" s="4">
        <v>75</v>
      </c>
      <c r="F537" s="4">
        <f t="shared" si="37"/>
        <v>44.8</v>
      </c>
      <c r="G537" s="5">
        <f t="shared" si="38"/>
        <v>0.37395659432387313</v>
      </c>
      <c r="H537" s="2" t="s">
        <v>489</v>
      </c>
      <c r="I537" s="6" t="s">
        <v>32</v>
      </c>
      <c r="J537" s="2" t="s">
        <v>490</v>
      </c>
      <c r="K537" s="2" t="s">
        <v>491</v>
      </c>
      <c r="L537" s="2" t="s">
        <v>28</v>
      </c>
      <c r="M537" s="2" t="s">
        <v>5</v>
      </c>
      <c r="N537" s="4">
        <v>11573.38</v>
      </c>
    </row>
    <row r="538" spans="1:14" x14ac:dyDescent="0.25">
      <c r="A538" s="2" t="s">
        <v>382</v>
      </c>
      <c r="B538" s="2" t="s">
        <v>383</v>
      </c>
      <c r="C538" s="3">
        <v>299.89</v>
      </c>
      <c r="D538" s="4">
        <v>1622.4049</v>
      </c>
      <c r="E538" s="4">
        <v>1079.604</v>
      </c>
      <c r="F538" s="4">
        <f t="shared" si="37"/>
        <v>542.80089999999996</v>
      </c>
      <c r="G538" s="5">
        <f t="shared" si="38"/>
        <v>0.33456561922365985</v>
      </c>
      <c r="H538" s="2" t="s">
        <v>486</v>
      </c>
      <c r="I538" s="6" t="s">
        <v>39</v>
      </c>
      <c r="J538" s="2" t="s">
        <v>487</v>
      </c>
      <c r="K538" s="2" t="s">
        <v>488</v>
      </c>
      <c r="L538" s="2" t="s">
        <v>28</v>
      </c>
      <c r="M538" s="2" t="s">
        <v>5</v>
      </c>
      <c r="N538" s="4">
        <v>17612.490000000002</v>
      </c>
    </row>
    <row r="539" spans="1:14" x14ac:dyDescent="0.25">
      <c r="A539" s="2" t="s">
        <v>382</v>
      </c>
      <c r="B539" s="2" t="s">
        <v>383</v>
      </c>
      <c r="C539" s="3">
        <v>87.55</v>
      </c>
      <c r="D539" s="4">
        <v>473.64550000000003</v>
      </c>
      <c r="E539" s="4">
        <v>315.18</v>
      </c>
      <c r="F539" s="4">
        <f t="shared" ref="F539:F570" si="39">D539-E539</f>
        <v>158.46550000000002</v>
      </c>
      <c r="G539" s="5">
        <f t="shared" ref="G539:G572" si="40">IF(((D539)=0),0,(D539-E539)/ D539)</f>
        <v>0.3345656192236599</v>
      </c>
      <c r="H539" s="2" t="s">
        <v>489</v>
      </c>
      <c r="I539" s="6" t="s">
        <v>32</v>
      </c>
      <c r="J539" s="2" t="s">
        <v>490</v>
      </c>
      <c r="K539" s="2" t="s">
        <v>491</v>
      </c>
      <c r="L539" s="2" t="s">
        <v>28</v>
      </c>
      <c r="M539" s="2" t="s">
        <v>5</v>
      </c>
      <c r="N539" s="4">
        <v>11573.38</v>
      </c>
    </row>
    <row r="540" spans="1:14" x14ac:dyDescent="0.25">
      <c r="A540" s="2" t="s">
        <v>382</v>
      </c>
      <c r="B540" s="2" t="s">
        <v>383</v>
      </c>
      <c r="C540" s="3">
        <v>199.6</v>
      </c>
      <c r="D540" s="4">
        <v>1079.836</v>
      </c>
      <c r="E540" s="4">
        <v>718.56</v>
      </c>
      <c r="F540" s="4">
        <f t="shared" si="39"/>
        <v>361.27600000000007</v>
      </c>
      <c r="G540" s="5">
        <f t="shared" si="40"/>
        <v>0.33456561922365996</v>
      </c>
      <c r="H540" s="2" t="s">
        <v>492</v>
      </c>
      <c r="I540" s="6" t="s">
        <v>74</v>
      </c>
      <c r="J540" s="2" t="s">
        <v>493</v>
      </c>
      <c r="K540" s="2" t="s">
        <v>494</v>
      </c>
      <c r="L540" s="2" t="s">
        <v>28</v>
      </c>
      <c r="M540" s="2" t="s">
        <v>5</v>
      </c>
      <c r="N540" s="4">
        <v>14754.51</v>
      </c>
    </row>
    <row r="541" spans="1:14" x14ac:dyDescent="0.25">
      <c r="A541" s="2" t="s">
        <v>384</v>
      </c>
      <c r="B541" s="2" t="s">
        <v>385</v>
      </c>
      <c r="C541" s="3">
        <v>43.64</v>
      </c>
      <c r="D541" s="4">
        <v>190.2704</v>
      </c>
      <c r="E541" s="4">
        <v>109.1</v>
      </c>
      <c r="F541" s="4">
        <f t="shared" si="39"/>
        <v>81.170400000000001</v>
      </c>
      <c r="G541" s="5">
        <f t="shared" si="40"/>
        <v>0.42660550458715596</v>
      </c>
      <c r="H541" s="2" t="s">
        <v>486</v>
      </c>
      <c r="I541" s="6" t="s">
        <v>39</v>
      </c>
      <c r="J541" s="2" t="s">
        <v>487</v>
      </c>
      <c r="K541" s="2" t="s">
        <v>488</v>
      </c>
      <c r="L541" s="2" t="s">
        <v>28</v>
      </c>
      <c r="M541" s="2" t="s">
        <v>5</v>
      </c>
      <c r="N541" s="4">
        <v>17612.490000000002</v>
      </c>
    </row>
    <row r="542" spans="1:14" x14ac:dyDescent="0.25">
      <c r="A542" s="2" t="s">
        <v>384</v>
      </c>
      <c r="B542" s="2" t="s">
        <v>385</v>
      </c>
      <c r="C542" s="3">
        <v>44.475000000000001</v>
      </c>
      <c r="D542" s="4">
        <v>193.911</v>
      </c>
      <c r="E542" s="4">
        <v>111.1875</v>
      </c>
      <c r="F542" s="4">
        <f t="shared" si="39"/>
        <v>82.723500000000001</v>
      </c>
      <c r="G542" s="5">
        <f t="shared" si="40"/>
        <v>0.42660550458715596</v>
      </c>
      <c r="H542" s="2" t="s">
        <v>489</v>
      </c>
      <c r="I542" s="6" t="s">
        <v>32</v>
      </c>
      <c r="J542" s="2" t="s">
        <v>490</v>
      </c>
      <c r="K542" s="2" t="s">
        <v>491</v>
      </c>
      <c r="L542" s="2" t="s">
        <v>28</v>
      </c>
      <c r="M542" s="2" t="s">
        <v>5</v>
      </c>
      <c r="N542" s="4">
        <v>11573.38</v>
      </c>
    </row>
    <row r="543" spans="1:14" x14ac:dyDescent="0.25">
      <c r="A543" s="2" t="s">
        <v>386</v>
      </c>
      <c r="B543" s="2" t="s">
        <v>387</v>
      </c>
      <c r="C543" s="3">
        <v>6</v>
      </c>
      <c r="D543" s="4">
        <v>55.8</v>
      </c>
      <c r="E543" s="4">
        <v>26.16</v>
      </c>
      <c r="F543" s="4">
        <f t="shared" si="39"/>
        <v>29.639999999999997</v>
      </c>
      <c r="G543" s="5">
        <f t="shared" si="40"/>
        <v>0.53118279569892468</v>
      </c>
      <c r="H543" s="2" t="s">
        <v>489</v>
      </c>
      <c r="I543" s="6" t="s">
        <v>32</v>
      </c>
      <c r="J543" s="2" t="s">
        <v>490</v>
      </c>
      <c r="K543" s="2" t="s">
        <v>491</v>
      </c>
      <c r="L543" s="2" t="s">
        <v>28</v>
      </c>
      <c r="M543" s="2" t="s">
        <v>5</v>
      </c>
      <c r="N543" s="4">
        <v>11573.38</v>
      </c>
    </row>
    <row r="544" spans="1:14" x14ac:dyDescent="0.25">
      <c r="A544" s="2" t="s">
        <v>388</v>
      </c>
      <c r="B544" s="2" t="s">
        <v>389</v>
      </c>
      <c r="C544" s="3">
        <v>40.96</v>
      </c>
      <c r="D544" s="4">
        <v>391.57760000000002</v>
      </c>
      <c r="E544" s="4">
        <v>222.00319999999999</v>
      </c>
      <c r="F544" s="4">
        <f t="shared" si="39"/>
        <v>169.57440000000003</v>
      </c>
      <c r="G544" s="5">
        <f t="shared" si="40"/>
        <v>0.43305439330543938</v>
      </c>
      <c r="H544" s="2" t="s">
        <v>486</v>
      </c>
      <c r="I544" s="6" t="s">
        <v>39</v>
      </c>
      <c r="J544" s="2" t="s">
        <v>487</v>
      </c>
      <c r="K544" s="2" t="s">
        <v>488</v>
      </c>
      <c r="L544" s="2" t="s">
        <v>28</v>
      </c>
      <c r="M544" s="2" t="s">
        <v>5</v>
      </c>
      <c r="N544" s="4">
        <v>17612.490000000002</v>
      </c>
    </row>
    <row r="545" spans="1:14" x14ac:dyDescent="0.25">
      <c r="A545" s="2" t="s">
        <v>390</v>
      </c>
      <c r="B545" s="2" t="s">
        <v>391</v>
      </c>
      <c r="C545" s="3">
        <v>50.62</v>
      </c>
      <c r="D545" s="4">
        <v>558.33860000000004</v>
      </c>
      <c r="E545" s="4">
        <v>379.65</v>
      </c>
      <c r="F545" s="4">
        <f t="shared" si="39"/>
        <v>178.68860000000006</v>
      </c>
      <c r="G545" s="5">
        <f t="shared" si="40"/>
        <v>0.3200362647325477</v>
      </c>
      <c r="H545" s="2" t="s">
        <v>489</v>
      </c>
      <c r="I545" s="6" t="s">
        <v>32</v>
      </c>
      <c r="J545" s="2" t="s">
        <v>490</v>
      </c>
      <c r="K545" s="2" t="s">
        <v>491</v>
      </c>
      <c r="L545" s="2" t="s">
        <v>28</v>
      </c>
      <c r="M545" s="2" t="s">
        <v>5</v>
      </c>
      <c r="N545" s="4">
        <v>11573.38</v>
      </c>
    </row>
    <row r="546" spans="1:14" x14ac:dyDescent="0.25">
      <c r="A546" s="2" t="s">
        <v>390</v>
      </c>
      <c r="B546" s="2" t="s">
        <v>391</v>
      </c>
      <c r="C546" s="3">
        <v>46.997999999999998</v>
      </c>
      <c r="D546" s="4">
        <v>518.38793999999996</v>
      </c>
      <c r="E546" s="4">
        <v>352.48500000000001</v>
      </c>
      <c r="F546" s="4">
        <f t="shared" si="39"/>
        <v>165.90293999999994</v>
      </c>
      <c r="G546" s="5">
        <f t="shared" si="40"/>
        <v>0.32003626473254754</v>
      </c>
      <c r="H546" s="2" t="s">
        <v>486</v>
      </c>
      <c r="I546" s="6" t="s">
        <v>39</v>
      </c>
      <c r="J546" s="2" t="s">
        <v>487</v>
      </c>
      <c r="K546" s="2" t="s">
        <v>488</v>
      </c>
      <c r="L546" s="2" t="s">
        <v>28</v>
      </c>
      <c r="M546" s="2" t="s">
        <v>5</v>
      </c>
      <c r="N546" s="4">
        <v>17612.490000000002</v>
      </c>
    </row>
    <row r="547" spans="1:14" x14ac:dyDescent="0.25">
      <c r="A547" s="2" t="s">
        <v>390</v>
      </c>
      <c r="B547" s="2" t="s">
        <v>391</v>
      </c>
      <c r="C547" s="3">
        <v>39.46</v>
      </c>
      <c r="D547" s="4">
        <v>435.24380000000002</v>
      </c>
      <c r="E547" s="4">
        <v>295.95</v>
      </c>
      <c r="F547" s="4">
        <f t="shared" si="39"/>
        <v>139.29380000000003</v>
      </c>
      <c r="G547" s="5">
        <f t="shared" si="40"/>
        <v>0.32003626473254765</v>
      </c>
      <c r="H547" s="2" t="s">
        <v>492</v>
      </c>
      <c r="I547" s="6" t="s">
        <v>74</v>
      </c>
      <c r="J547" s="2" t="s">
        <v>493</v>
      </c>
      <c r="K547" s="2" t="s">
        <v>494</v>
      </c>
      <c r="L547" s="2" t="s">
        <v>28</v>
      </c>
      <c r="M547" s="2" t="s">
        <v>5</v>
      </c>
      <c r="N547" s="4">
        <v>14754.51</v>
      </c>
    </row>
    <row r="548" spans="1:14" x14ac:dyDescent="0.25">
      <c r="A548" s="2" t="s">
        <v>392</v>
      </c>
      <c r="B548" s="2" t="s">
        <v>393</v>
      </c>
      <c r="C548" s="3">
        <v>31.2</v>
      </c>
      <c r="D548" s="4">
        <v>453.96</v>
      </c>
      <c r="E548" s="4">
        <v>327.60000000000002</v>
      </c>
      <c r="F548" s="4">
        <f t="shared" si="39"/>
        <v>126.35999999999996</v>
      </c>
      <c r="G548" s="5">
        <f t="shared" si="40"/>
        <v>0.27835051546391743</v>
      </c>
      <c r="H548" s="2" t="s">
        <v>486</v>
      </c>
      <c r="I548" s="6" t="s">
        <v>39</v>
      </c>
      <c r="J548" s="2" t="s">
        <v>487</v>
      </c>
      <c r="K548" s="2" t="s">
        <v>488</v>
      </c>
      <c r="L548" s="2" t="s">
        <v>28</v>
      </c>
      <c r="M548" s="2" t="s">
        <v>5</v>
      </c>
      <c r="N548" s="4">
        <v>17612.490000000002</v>
      </c>
    </row>
    <row r="549" spans="1:14" x14ac:dyDescent="0.25">
      <c r="A549" s="2" t="s">
        <v>394</v>
      </c>
      <c r="B549" s="2" t="s">
        <v>395</v>
      </c>
      <c r="C549" s="3">
        <v>44.58</v>
      </c>
      <c r="D549" s="4">
        <v>725.76239999999996</v>
      </c>
      <c r="E549" s="4">
        <v>735.57</v>
      </c>
      <c r="F549" s="4">
        <f t="shared" si="39"/>
        <v>-9.8076000000000931</v>
      </c>
      <c r="G549" s="5">
        <f t="shared" si="40"/>
        <v>-1.3513513513513643E-2</v>
      </c>
      <c r="H549" s="2" t="s">
        <v>486</v>
      </c>
      <c r="I549" s="6" t="s">
        <v>39</v>
      </c>
      <c r="J549" s="2" t="s">
        <v>487</v>
      </c>
      <c r="K549" s="2" t="s">
        <v>488</v>
      </c>
      <c r="L549" s="2" t="s">
        <v>28</v>
      </c>
      <c r="M549" s="2" t="s">
        <v>5</v>
      </c>
      <c r="N549" s="4">
        <v>17612.490000000002</v>
      </c>
    </row>
    <row r="550" spans="1:14" x14ac:dyDescent="0.25">
      <c r="A550" s="2" t="s">
        <v>394</v>
      </c>
      <c r="B550" s="2" t="s">
        <v>395</v>
      </c>
      <c r="C550" s="3">
        <v>200.64</v>
      </c>
      <c r="D550" s="4">
        <v>3266.4191999999998</v>
      </c>
      <c r="E550" s="4">
        <v>3310.56</v>
      </c>
      <c r="F550" s="4">
        <f t="shared" si="39"/>
        <v>-44.140800000000127</v>
      </c>
      <c r="G550" s="5">
        <f t="shared" si="40"/>
        <v>-1.3513513513513552E-2</v>
      </c>
      <c r="H550" s="2" t="s">
        <v>492</v>
      </c>
      <c r="I550" s="6" t="s">
        <v>74</v>
      </c>
      <c r="J550" s="2" t="s">
        <v>493</v>
      </c>
      <c r="K550" s="2" t="s">
        <v>494</v>
      </c>
      <c r="L550" s="2" t="s">
        <v>28</v>
      </c>
      <c r="M550" s="2" t="s">
        <v>5</v>
      </c>
      <c r="N550" s="4">
        <v>14754.51</v>
      </c>
    </row>
    <row r="551" spans="1:14" x14ac:dyDescent="0.25">
      <c r="A551" s="2" t="s">
        <v>396</v>
      </c>
      <c r="B551" s="2" t="s">
        <v>397</v>
      </c>
      <c r="C551" s="3">
        <v>10.51</v>
      </c>
      <c r="D551" s="4">
        <v>125.9098</v>
      </c>
      <c r="E551" s="4">
        <v>88.914599999999993</v>
      </c>
      <c r="F551" s="4">
        <f t="shared" si="39"/>
        <v>36.995200000000011</v>
      </c>
      <c r="G551" s="5">
        <f t="shared" si="40"/>
        <v>0.29382303839732898</v>
      </c>
      <c r="H551" s="2" t="s">
        <v>489</v>
      </c>
      <c r="I551" s="6" t="s">
        <v>32</v>
      </c>
      <c r="J551" s="2" t="s">
        <v>490</v>
      </c>
      <c r="K551" s="2" t="s">
        <v>491</v>
      </c>
      <c r="L551" s="2" t="s">
        <v>28</v>
      </c>
      <c r="M551" s="2" t="s">
        <v>5</v>
      </c>
      <c r="N551" s="4">
        <v>11573.38</v>
      </c>
    </row>
    <row r="552" spans="1:14" x14ac:dyDescent="0.25">
      <c r="A552" s="2" t="s">
        <v>480</v>
      </c>
      <c r="B552" s="2" t="s">
        <v>481</v>
      </c>
      <c r="C552" s="3">
        <v>10.39</v>
      </c>
      <c r="D552" s="4">
        <v>257.56810000000002</v>
      </c>
      <c r="E552" s="4">
        <v>191.69550000000001</v>
      </c>
      <c r="F552" s="4">
        <f t="shared" si="39"/>
        <v>65.872600000000006</v>
      </c>
      <c r="G552" s="5">
        <f t="shared" si="40"/>
        <v>0.2557482855990319</v>
      </c>
      <c r="H552" s="2" t="s">
        <v>492</v>
      </c>
      <c r="I552" s="6" t="s">
        <v>74</v>
      </c>
      <c r="J552" s="2" t="s">
        <v>493</v>
      </c>
      <c r="K552" s="2" t="s">
        <v>494</v>
      </c>
      <c r="L552" s="2" t="s">
        <v>28</v>
      </c>
      <c r="M552" s="2" t="s">
        <v>5</v>
      </c>
      <c r="N552" s="4">
        <v>14754.51</v>
      </c>
    </row>
    <row r="553" spans="1:14" x14ac:dyDescent="0.25">
      <c r="A553" s="2" t="s">
        <v>480</v>
      </c>
      <c r="B553" s="2" t="s">
        <v>481</v>
      </c>
      <c r="C553" s="3">
        <v>10.19</v>
      </c>
      <c r="D553" s="4">
        <v>252.61009999999999</v>
      </c>
      <c r="E553" s="4">
        <v>188.00550000000001</v>
      </c>
      <c r="F553" s="4">
        <f t="shared" si="39"/>
        <v>64.604599999999976</v>
      </c>
      <c r="G553" s="5">
        <f t="shared" si="40"/>
        <v>0.25574828559903179</v>
      </c>
      <c r="H553" s="2" t="s">
        <v>486</v>
      </c>
      <c r="I553" s="6" t="s">
        <v>39</v>
      </c>
      <c r="J553" s="2" t="s">
        <v>487</v>
      </c>
      <c r="K553" s="2" t="s">
        <v>488</v>
      </c>
      <c r="L553" s="2" t="s">
        <v>28</v>
      </c>
      <c r="M553" s="2" t="s">
        <v>5</v>
      </c>
      <c r="N553" s="4">
        <v>17612.490000000002</v>
      </c>
    </row>
    <row r="554" spans="1:14" x14ac:dyDescent="0.25">
      <c r="A554" s="2" t="s">
        <v>444</v>
      </c>
      <c r="B554" s="2" t="s">
        <v>445</v>
      </c>
      <c r="C554" s="3">
        <v>11.785</v>
      </c>
      <c r="D554" s="4">
        <v>94.751400000000004</v>
      </c>
      <c r="E554" s="4">
        <v>83.673500000000004</v>
      </c>
      <c r="F554" s="4">
        <f t="shared" si="39"/>
        <v>11.0779</v>
      </c>
      <c r="G554" s="5">
        <f t="shared" si="40"/>
        <v>0.11691542288557213</v>
      </c>
      <c r="H554" s="2" t="s">
        <v>486</v>
      </c>
      <c r="I554" s="6" t="s">
        <v>39</v>
      </c>
      <c r="J554" s="2" t="s">
        <v>487</v>
      </c>
      <c r="K554" s="2" t="s">
        <v>488</v>
      </c>
      <c r="L554" s="2" t="s">
        <v>28</v>
      </c>
      <c r="M554" s="2" t="s">
        <v>5</v>
      </c>
      <c r="N554" s="4">
        <v>17612.490000000002</v>
      </c>
    </row>
    <row r="555" spans="1:14" x14ac:dyDescent="0.25">
      <c r="A555" s="2" t="s">
        <v>400</v>
      </c>
      <c r="B555" s="2" t="s">
        <v>401</v>
      </c>
      <c r="C555" s="3">
        <v>15.4</v>
      </c>
      <c r="D555" s="4">
        <v>184.49199999999999</v>
      </c>
      <c r="E555" s="4">
        <v>124.74</v>
      </c>
      <c r="F555" s="4">
        <f t="shared" si="39"/>
        <v>59.751999999999995</v>
      </c>
      <c r="G555" s="5">
        <f t="shared" si="40"/>
        <v>0.32387312186978295</v>
      </c>
      <c r="H555" s="2" t="s">
        <v>489</v>
      </c>
      <c r="I555" s="6" t="s">
        <v>32</v>
      </c>
      <c r="J555" s="2" t="s">
        <v>490</v>
      </c>
      <c r="K555" s="2" t="s">
        <v>491</v>
      </c>
      <c r="L555" s="2" t="s">
        <v>28</v>
      </c>
      <c r="M555" s="2" t="s">
        <v>5</v>
      </c>
      <c r="N555" s="4">
        <v>11573.38</v>
      </c>
    </row>
    <row r="556" spans="1:14" x14ac:dyDescent="0.25">
      <c r="A556" s="2" t="s">
        <v>400</v>
      </c>
      <c r="B556" s="2" t="s">
        <v>401</v>
      </c>
      <c r="C556" s="3">
        <v>40.875</v>
      </c>
      <c r="D556" s="4">
        <v>489.6825</v>
      </c>
      <c r="E556" s="4">
        <v>331.08749999999998</v>
      </c>
      <c r="F556" s="4">
        <f t="shared" si="39"/>
        <v>158.59500000000003</v>
      </c>
      <c r="G556" s="5">
        <f t="shared" si="40"/>
        <v>0.32387312186978301</v>
      </c>
      <c r="H556" s="2" t="s">
        <v>492</v>
      </c>
      <c r="I556" s="6" t="s">
        <v>74</v>
      </c>
      <c r="J556" s="2" t="s">
        <v>493</v>
      </c>
      <c r="K556" s="2" t="s">
        <v>494</v>
      </c>
      <c r="L556" s="2" t="s">
        <v>28</v>
      </c>
      <c r="M556" s="2" t="s">
        <v>5</v>
      </c>
      <c r="N556" s="4">
        <v>14754.51</v>
      </c>
    </row>
    <row r="557" spans="1:14" x14ac:dyDescent="0.25">
      <c r="A557" s="2" t="s">
        <v>402</v>
      </c>
      <c r="B557" s="2" t="s">
        <v>403</v>
      </c>
      <c r="C557" s="3">
        <v>48.87</v>
      </c>
      <c r="D557" s="4">
        <v>459.37799999999999</v>
      </c>
      <c r="E557" s="4">
        <v>356.75099999999998</v>
      </c>
      <c r="F557" s="4">
        <f t="shared" si="39"/>
        <v>102.62700000000001</v>
      </c>
      <c r="G557" s="5">
        <f t="shared" si="40"/>
        <v>0.22340425531914895</v>
      </c>
      <c r="H557" s="2" t="s">
        <v>489</v>
      </c>
      <c r="I557" s="6" t="s">
        <v>32</v>
      </c>
      <c r="J557" s="2" t="s">
        <v>490</v>
      </c>
      <c r="K557" s="2" t="s">
        <v>491</v>
      </c>
      <c r="L557" s="2" t="s">
        <v>28</v>
      </c>
      <c r="M557" s="2" t="s">
        <v>5</v>
      </c>
      <c r="N557" s="4">
        <v>11573.38</v>
      </c>
    </row>
    <row r="558" spans="1:14" x14ac:dyDescent="0.25">
      <c r="A558" s="2" t="s">
        <v>402</v>
      </c>
      <c r="B558" s="2" t="s">
        <v>403</v>
      </c>
      <c r="C558" s="3">
        <v>227.86</v>
      </c>
      <c r="D558" s="4">
        <v>2141.884</v>
      </c>
      <c r="E558" s="4">
        <v>1663.3779999999999</v>
      </c>
      <c r="F558" s="4">
        <f t="shared" si="39"/>
        <v>478.50600000000009</v>
      </c>
      <c r="G558" s="5">
        <f t="shared" si="40"/>
        <v>0.22340425531914898</v>
      </c>
      <c r="H558" s="2" t="s">
        <v>486</v>
      </c>
      <c r="I558" s="6" t="s">
        <v>39</v>
      </c>
      <c r="J558" s="2" t="s">
        <v>487</v>
      </c>
      <c r="K558" s="2" t="s">
        <v>488</v>
      </c>
      <c r="L558" s="2" t="s">
        <v>28</v>
      </c>
      <c r="M558" s="2" t="s">
        <v>5</v>
      </c>
      <c r="N558" s="4">
        <v>17612.490000000002</v>
      </c>
    </row>
    <row r="559" spans="1:14" x14ac:dyDescent="0.25">
      <c r="A559" s="2" t="s">
        <v>448</v>
      </c>
      <c r="B559" s="2" t="s">
        <v>449</v>
      </c>
      <c r="C559" s="3">
        <v>43.18</v>
      </c>
      <c r="D559" s="4">
        <v>403.733</v>
      </c>
      <c r="E559" s="4">
        <v>315.214</v>
      </c>
      <c r="F559" s="4">
        <f t="shared" si="39"/>
        <v>88.519000000000005</v>
      </c>
      <c r="G559" s="5">
        <f t="shared" si="40"/>
        <v>0.21925133689839574</v>
      </c>
      <c r="H559" s="2" t="s">
        <v>492</v>
      </c>
      <c r="I559" s="6" t="s">
        <v>74</v>
      </c>
      <c r="J559" s="2" t="s">
        <v>493</v>
      </c>
      <c r="K559" s="2" t="s">
        <v>494</v>
      </c>
      <c r="L559" s="2" t="s">
        <v>28</v>
      </c>
      <c r="M559" s="2" t="s">
        <v>5</v>
      </c>
      <c r="N559" s="4">
        <v>14754.51</v>
      </c>
    </row>
    <row r="560" spans="1:14" x14ac:dyDescent="0.25">
      <c r="A560" s="2" t="s">
        <v>448</v>
      </c>
      <c r="B560" s="2" t="s">
        <v>449</v>
      </c>
      <c r="C560" s="3">
        <v>44.38</v>
      </c>
      <c r="D560" s="4">
        <v>414.95299999999997</v>
      </c>
      <c r="E560" s="4">
        <v>323.97399999999999</v>
      </c>
      <c r="F560" s="4">
        <f t="shared" si="39"/>
        <v>90.978999999999985</v>
      </c>
      <c r="G560" s="5">
        <f t="shared" si="40"/>
        <v>0.21925133689839571</v>
      </c>
      <c r="H560" s="2" t="s">
        <v>486</v>
      </c>
      <c r="I560" s="6" t="s">
        <v>39</v>
      </c>
      <c r="J560" s="2" t="s">
        <v>487</v>
      </c>
      <c r="K560" s="2" t="s">
        <v>488</v>
      </c>
      <c r="L560" s="2" t="s">
        <v>28</v>
      </c>
      <c r="M560" s="2" t="s">
        <v>5</v>
      </c>
      <c r="N560" s="4">
        <v>17612.490000000002</v>
      </c>
    </row>
    <row r="561" spans="1:14" x14ac:dyDescent="0.25">
      <c r="A561" s="2" t="s">
        <v>404</v>
      </c>
      <c r="B561" s="2" t="s">
        <v>405</v>
      </c>
      <c r="C561" s="3">
        <v>14.53</v>
      </c>
      <c r="D561" s="4">
        <v>116.8212</v>
      </c>
      <c r="E561" s="4">
        <v>103.163</v>
      </c>
      <c r="F561" s="4">
        <f t="shared" si="39"/>
        <v>13.658200000000008</v>
      </c>
      <c r="G561" s="5">
        <f t="shared" si="40"/>
        <v>0.1169154228855722</v>
      </c>
      <c r="H561" s="2" t="s">
        <v>489</v>
      </c>
      <c r="I561" s="6" t="s">
        <v>32</v>
      </c>
      <c r="J561" s="2" t="s">
        <v>490</v>
      </c>
      <c r="K561" s="2" t="s">
        <v>491</v>
      </c>
      <c r="L561" s="2" t="s">
        <v>28</v>
      </c>
      <c r="M561" s="2" t="s">
        <v>5</v>
      </c>
      <c r="N561" s="4">
        <v>11573.38</v>
      </c>
    </row>
    <row r="562" spans="1:14" x14ac:dyDescent="0.25">
      <c r="A562" s="2" t="s">
        <v>408</v>
      </c>
      <c r="B562" s="2" t="s">
        <v>409</v>
      </c>
      <c r="C562" s="3">
        <v>174.42</v>
      </c>
      <c r="D562" s="4">
        <v>3069.7919999999999</v>
      </c>
      <c r="E562" s="4">
        <v>2398.2750000000001</v>
      </c>
      <c r="F562" s="4">
        <f t="shared" si="39"/>
        <v>671.51699999999983</v>
      </c>
      <c r="G562" s="5">
        <f t="shared" si="40"/>
        <v>0.21874999999999994</v>
      </c>
      <c r="H562" s="2" t="s">
        <v>489</v>
      </c>
      <c r="I562" s="6" t="s">
        <v>32</v>
      </c>
      <c r="J562" s="2" t="s">
        <v>490</v>
      </c>
      <c r="K562" s="2" t="s">
        <v>491</v>
      </c>
      <c r="L562" s="2" t="s">
        <v>28</v>
      </c>
      <c r="M562" s="2" t="s">
        <v>5</v>
      </c>
      <c r="N562" s="4">
        <v>11573.38</v>
      </c>
    </row>
    <row r="563" spans="1:14" x14ac:dyDescent="0.25">
      <c r="A563" s="2" t="s">
        <v>408</v>
      </c>
      <c r="B563" s="2" t="s">
        <v>409</v>
      </c>
      <c r="C563" s="3">
        <v>70.174999999999997</v>
      </c>
      <c r="D563" s="4">
        <v>1235.08</v>
      </c>
      <c r="E563" s="4">
        <v>964.90625</v>
      </c>
      <c r="F563" s="4">
        <f t="shared" si="39"/>
        <v>270.17374999999993</v>
      </c>
      <c r="G563" s="5">
        <f t="shared" si="40"/>
        <v>0.21874999999999994</v>
      </c>
      <c r="H563" s="2" t="s">
        <v>486</v>
      </c>
      <c r="I563" s="6" t="s">
        <v>39</v>
      </c>
      <c r="J563" s="2" t="s">
        <v>487</v>
      </c>
      <c r="K563" s="2" t="s">
        <v>488</v>
      </c>
      <c r="L563" s="2" t="s">
        <v>28</v>
      </c>
      <c r="M563" s="2" t="s">
        <v>5</v>
      </c>
      <c r="N563" s="4">
        <v>17612.490000000002</v>
      </c>
    </row>
    <row r="564" spans="1:14" x14ac:dyDescent="0.25">
      <c r="A564" s="2" t="s">
        <v>408</v>
      </c>
      <c r="B564" s="2" t="s">
        <v>409</v>
      </c>
      <c r="C564" s="3">
        <v>174.58500000000001</v>
      </c>
      <c r="D564" s="4">
        <v>3072.6959999999999</v>
      </c>
      <c r="E564" s="4">
        <v>2400.5437499999998</v>
      </c>
      <c r="F564" s="4">
        <f t="shared" si="39"/>
        <v>672.15225000000009</v>
      </c>
      <c r="G564" s="5">
        <f t="shared" si="40"/>
        <v>0.21875000000000003</v>
      </c>
      <c r="H564" s="2" t="s">
        <v>492</v>
      </c>
      <c r="I564" s="6" t="s">
        <v>74</v>
      </c>
      <c r="J564" s="2" t="s">
        <v>493</v>
      </c>
      <c r="K564" s="2" t="s">
        <v>494</v>
      </c>
      <c r="L564" s="2" t="s">
        <v>28</v>
      </c>
      <c r="M564" s="2" t="s">
        <v>5</v>
      </c>
      <c r="N564" s="4">
        <v>14754.51</v>
      </c>
    </row>
    <row r="565" spans="1:14" x14ac:dyDescent="0.25">
      <c r="A565" s="2" t="s">
        <v>410</v>
      </c>
      <c r="B565" s="2" t="s">
        <v>411</v>
      </c>
      <c r="C565" s="3">
        <v>8</v>
      </c>
      <c r="D565" s="4">
        <v>168.48</v>
      </c>
      <c r="E565" s="4">
        <v>131.84</v>
      </c>
      <c r="F565" s="4">
        <f t="shared" si="39"/>
        <v>36.639999999999986</v>
      </c>
      <c r="G565" s="5">
        <f t="shared" si="40"/>
        <v>0.21747388414055074</v>
      </c>
      <c r="H565" s="2" t="s">
        <v>489</v>
      </c>
      <c r="I565" s="6" t="s">
        <v>32</v>
      </c>
      <c r="J565" s="2" t="s">
        <v>490</v>
      </c>
      <c r="K565" s="2" t="s">
        <v>491</v>
      </c>
      <c r="L565" s="2" t="s">
        <v>28</v>
      </c>
      <c r="M565" s="2" t="s">
        <v>5</v>
      </c>
      <c r="N565" s="4">
        <v>11573.38</v>
      </c>
    </row>
    <row r="566" spans="1:14" x14ac:dyDescent="0.25">
      <c r="A566" s="2" t="s">
        <v>412</v>
      </c>
      <c r="B566" s="2" t="s">
        <v>413</v>
      </c>
      <c r="C566" s="3">
        <v>8</v>
      </c>
      <c r="D566" s="4">
        <v>169.36</v>
      </c>
      <c r="E566" s="4">
        <v>129.12</v>
      </c>
      <c r="F566" s="4">
        <f t="shared" si="39"/>
        <v>40.240000000000009</v>
      </c>
      <c r="G566" s="5">
        <f t="shared" si="40"/>
        <v>0.2376003778932452</v>
      </c>
      <c r="H566" s="2" t="s">
        <v>486</v>
      </c>
      <c r="I566" s="6" t="s">
        <v>39</v>
      </c>
      <c r="J566" s="2" t="s">
        <v>487</v>
      </c>
      <c r="K566" s="2" t="s">
        <v>488</v>
      </c>
      <c r="L566" s="2" t="s">
        <v>28</v>
      </c>
      <c r="M566" s="2" t="s">
        <v>5</v>
      </c>
      <c r="N566" s="4">
        <v>17612.490000000002</v>
      </c>
    </row>
    <row r="567" spans="1:14" x14ac:dyDescent="0.25">
      <c r="A567" s="2" t="s">
        <v>412</v>
      </c>
      <c r="B567" s="2" t="s">
        <v>413</v>
      </c>
      <c r="C567" s="3">
        <v>4</v>
      </c>
      <c r="D567" s="4">
        <v>84.68</v>
      </c>
      <c r="E567" s="4">
        <v>64.56</v>
      </c>
      <c r="F567" s="4">
        <f t="shared" si="39"/>
        <v>20.120000000000005</v>
      </c>
      <c r="G567" s="5">
        <f t="shared" si="40"/>
        <v>0.2376003778932452</v>
      </c>
      <c r="H567" s="2" t="s">
        <v>492</v>
      </c>
      <c r="I567" s="6" t="s">
        <v>74</v>
      </c>
      <c r="J567" s="2" t="s">
        <v>493</v>
      </c>
      <c r="K567" s="2" t="s">
        <v>494</v>
      </c>
      <c r="L567" s="2" t="s">
        <v>28</v>
      </c>
      <c r="M567" s="2" t="s">
        <v>5</v>
      </c>
      <c r="N567" s="4">
        <v>14754.51</v>
      </c>
    </row>
    <row r="568" spans="1:14" x14ac:dyDescent="0.25">
      <c r="A568" s="2" t="s">
        <v>416</v>
      </c>
      <c r="B568" s="2" t="s">
        <v>417</v>
      </c>
      <c r="C568" s="3">
        <v>20.324999999999999</v>
      </c>
      <c r="D568" s="4">
        <v>190.03874999999999</v>
      </c>
      <c r="E568" s="4">
        <v>162.6</v>
      </c>
      <c r="F568" s="4">
        <f t="shared" si="39"/>
        <v>27.438749999999999</v>
      </c>
      <c r="G568" s="5">
        <f t="shared" si="40"/>
        <v>0.14438502673796791</v>
      </c>
      <c r="H568" s="2" t="s">
        <v>492</v>
      </c>
      <c r="I568" s="6" t="s">
        <v>74</v>
      </c>
      <c r="J568" s="2" t="s">
        <v>493</v>
      </c>
      <c r="K568" s="2" t="s">
        <v>494</v>
      </c>
      <c r="L568" s="2" t="s">
        <v>28</v>
      </c>
      <c r="M568" s="2" t="s">
        <v>5</v>
      </c>
      <c r="N568" s="4">
        <v>14754.51</v>
      </c>
    </row>
    <row r="569" spans="1:14" x14ac:dyDescent="0.25">
      <c r="A569" s="2" t="s">
        <v>418</v>
      </c>
      <c r="B569" s="2" t="s">
        <v>419</v>
      </c>
      <c r="C569" s="3">
        <v>14.335000000000001</v>
      </c>
      <c r="D569" s="4">
        <v>134.03225</v>
      </c>
      <c r="E569" s="4">
        <v>136.1825</v>
      </c>
      <c r="F569" s="4">
        <f t="shared" si="39"/>
        <v>-2.1502499999999998</v>
      </c>
      <c r="G569" s="5">
        <f t="shared" si="40"/>
        <v>-1.60427807486631E-2</v>
      </c>
      <c r="H569" s="2" t="s">
        <v>489</v>
      </c>
      <c r="I569" s="6" t="s">
        <v>32</v>
      </c>
      <c r="J569" s="2" t="s">
        <v>490</v>
      </c>
      <c r="K569" s="2" t="s">
        <v>491</v>
      </c>
      <c r="L569" s="2" t="s">
        <v>28</v>
      </c>
      <c r="M569" s="2" t="s">
        <v>5</v>
      </c>
      <c r="N569" s="4">
        <v>11573.38</v>
      </c>
    </row>
    <row r="570" spans="1:14" x14ac:dyDescent="0.25">
      <c r="A570" s="2" t="s">
        <v>418</v>
      </c>
      <c r="B570" s="2" t="s">
        <v>419</v>
      </c>
      <c r="C570" s="3">
        <v>14.305</v>
      </c>
      <c r="D570" s="4">
        <v>133.75174999999999</v>
      </c>
      <c r="E570" s="4">
        <v>135.89750000000001</v>
      </c>
      <c r="F570" s="4">
        <f t="shared" si="39"/>
        <v>-2.1457500000000209</v>
      </c>
      <c r="G570" s="5">
        <f t="shared" si="40"/>
        <v>-1.6042780748663259E-2</v>
      </c>
      <c r="H570" s="2" t="s">
        <v>486</v>
      </c>
      <c r="I570" s="6" t="s">
        <v>39</v>
      </c>
      <c r="J570" s="2" t="s">
        <v>487</v>
      </c>
      <c r="K570" s="2" t="s">
        <v>488</v>
      </c>
      <c r="L570" s="2" t="s">
        <v>28</v>
      </c>
      <c r="M570" s="2" t="s">
        <v>5</v>
      </c>
      <c r="N570" s="4">
        <v>17612.490000000002</v>
      </c>
    </row>
    <row r="571" spans="1:14" x14ac:dyDescent="0.25">
      <c r="A571" s="2" t="s">
        <v>495</v>
      </c>
      <c r="B571" s="2" t="s">
        <v>496</v>
      </c>
      <c r="C571" s="3">
        <v>13.23</v>
      </c>
      <c r="D571" s="4">
        <v>291.06</v>
      </c>
      <c r="E571" s="4">
        <v>262.74779999999998</v>
      </c>
      <c r="F571" s="4">
        <f t="shared" ref="F571:F602" si="41">D571-E571</f>
        <v>28.312200000000018</v>
      </c>
      <c r="G571" s="5">
        <f t="shared" si="40"/>
        <v>9.727272727272733E-2</v>
      </c>
      <c r="H571" s="2" t="s">
        <v>497</v>
      </c>
      <c r="I571" s="6" t="s">
        <v>32</v>
      </c>
      <c r="J571" s="2" t="s">
        <v>498</v>
      </c>
      <c r="K571" s="2" t="s">
        <v>499</v>
      </c>
      <c r="L571" s="2" t="s">
        <v>28</v>
      </c>
      <c r="M571" s="2" t="s">
        <v>5</v>
      </c>
      <c r="N571" s="4">
        <v>543.05999999999995</v>
      </c>
    </row>
    <row r="572" spans="1:14" x14ac:dyDescent="0.25">
      <c r="A572" s="2" t="s">
        <v>500</v>
      </c>
      <c r="B572" s="2" t="s">
        <v>501</v>
      </c>
      <c r="C572" s="3">
        <v>12</v>
      </c>
      <c r="D572" s="4">
        <v>252</v>
      </c>
      <c r="E572" s="4">
        <v>226.8</v>
      </c>
      <c r="F572" s="4">
        <f t="shared" si="41"/>
        <v>25.199999999999989</v>
      </c>
      <c r="G572" s="5">
        <f t="shared" si="40"/>
        <v>9.999999999999995E-2</v>
      </c>
      <c r="H572" s="2" t="s">
        <v>497</v>
      </c>
      <c r="I572" s="6" t="s">
        <v>32</v>
      </c>
      <c r="J572" s="2" t="s">
        <v>498</v>
      </c>
      <c r="K572" s="2" t="s">
        <v>499</v>
      </c>
      <c r="L572" s="2" t="s">
        <v>28</v>
      </c>
      <c r="M572" s="2" t="s">
        <v>5</v>
      </c>
      <c r="N572" s="4">
        <v>543.05999999999995</v>
      </c>
    </row>
    <row r="574" spans="1:14" x14ac:dyDescent="0.25">
      <c r="A574" s="13" t="s">
        <v>59</v>
      </c>
      <c r="B574" s="21"/>
      <c r="C574" s="22">
        <f>SUM(C504:C573)</f>
        <v>3782.9229999999998</v>
      </c>
      <c r="D574" s="23">
        <f>SUM(D504:D573)</f>
        <v>44483.442840000011</v>
      </c>
      <c r="E574" s="23">
        <f>SUM(E504:E573)</f>
        <v>33672.44950000001</v>
      </c>
      <c r="F574" s="23">
        <f>D574-E574</f>
        <v>10810.993340000001</v>
      </c>
      <c r="G574" s="24">
        <f>IF(((D574)=0),0,(D574-E574)/ D574)</f>
        <v>0.24303409650384872</v>
      </c>
      <c r="H574" s="21"/>
      <c r="I574" s="21"/>
      <c r="J574" s="21"/>
      <c r="K574" s="21"/>
      <c r="L574" s="21"/>
      <c r="M574" s="21"/>
      <c r="N574" s="21"/>
    </row>
    <row r="576" spans="1:14" s="17" customFormat="1" ht="18.75" x14ac:dyDescent="0.3"/>
    <row r="577" spans="1:14" s="7" customFormat="1" x14ac:dyDescent="0.25">
      <c r="A577" s="13" t="s">
        <v>502</v>
      </c>
      <c r="B577" s="18" t="s">
        <v>503</v>
      </c>
      <c r="C577" s="19"/>
      <c r="D577" s="20" t="s">
        <v>5</v>
      </c>
      <c r="E577" s="19"/>
      <c r="F577" s="19"/>
      <c r="G577" s="19"/>
      <c r="H577" s="19"/>
      <c r="I577" s="19"/>
      <c r="J577" s="19"/>
      <c r="K577" s="19"/>
      <c r="L577" s="19"/>
      <c r="M577" s="19"/>
      <c r="N577" s="19"/>
    </row>
    <row r="579" spans="1:14" x14ac:dyDescent="0.25">
      <c r="A579" s="2" t="s">
        <v>355</v>
      </c>
      <c r="B579" s="2" t="s">
        <v>356</v>
      </c>
      <c r="C579" s="3">
        <v>60</v>
      </c>
      <c r="D579" s="4">
        <v>857.4</v>
      </c>
      <c r="E579" s="4">
        <v>600</v>
      </c>
      <c r="F579" s="4">
        <f t="shared" ref="F579:F610" si="42">D579-E579</f>
        <v>257.39999999999998</v>
      </c>
      <c r="G579" s="5">
        <f t="shared" ref="G579:G610" si="43">IF(((D579)=0),0,(D579-E579)/ D579)</f>
        <v>0.30020993701889431</v>
      </c>
      <c r="H579" s="2" t="s">
        <v>504</v>
      </c>
      <c r="I579" s="6" t="s">
        <v>69</v>
      </c>
      <c r="J579" s="2" t="s">
        <v>505</v>
      </c>
      <c r="K579" s="2" t="s">
        <v>506</v>
      </c>
      <c r="L579" s="2" t="s">
        <v>28</v>
      </c>
      <c r="M579" s="2" t="s">
        <v>5</v>
      </c>
      <c r="N579" s="4">
        <v>4801.54</v>
      </c>
    </row>
    <row r="580" spans="1:14" x14ac:dyDescent="0.25">
      <c r="A580" s="2" t="s">
        <v>355</v>
      </c>
      <c r="B580" s="2" t="s">
        <v>356</v>
      </c>
      <c r="C580" s="3">
        <v>60</v>
      </c>
      <c r="D580" s="4">
        <v>857.4</v>
      </c>
      <c r="E580" s="4">
        <v>600</v>
      </c>
      <c r="F580" s="4">
        <f t="shared" si="42"/>
        <v>257.39999999999998</v>
      </c>
      <c r="G580" s="5">
        <f t="shared" si="43"/>
        <v>0.30020993701889431</v>
      </c>
      <c r="H580" s="2" t="s">
        <v>507</v>
      </c>
      <c r="I580" s="6" t="s">
        <v>32</v>
      </c>
      <c r="J580" s="2" t="s">
        <v>508</v>
      </c>
      <c r="K580" s="2" t="s">
        <v>509</v>
      </c>
      <c r="L580" s="2" t="s">
        <v>28</v>
      </c>
      <c r="M580" s="2" t="s">
        <v>5</v>
      </c>
      <c r="N580" s="4">
        <v>6508.97</v>
      </c>
    </row>
    <row r="581" spans="1:14" x14ac:dyDescent="0.25">
      <c r="A581" s="2" t="s">
        <v>355</v>
      </c>
      <c r="B581" s="2" t="s">
        <v>356</v>
      </c>
      <c r="C581" s="3">
        <v>120</v>
      </c>
      <c r="D581" s="4">
        <v>1714.8</v>
      </c>
      <c r="E581" s="4">
        <v>1200</v>
      </c>
      <c r="F581" s="4">
        <f t="shared" si="42"/>
        <v>514.79999999999995</v>
      </c>
      <c r="G581" s="5">
        <f t="shared" si="43"/>
        <v>0.30020993701889431</v>
      </c>
      <c r="H581" s="2" t="s">
        <v>510</v>
      </c>
      <c r="I581" s="6" t="s">
        <v>32</v>
      </c>
      <c r="J581" s="2" t="s">
        <v>511</v>
      </c>
      <c r="K581" s="2" t="s">
        <v>512</v>
      </c>
      <c r="L581" s="2" t="s">
        <v>28</v>
      </c>
      <c r="M581" s="2" t="s">
        <v>5</v>
      </c>
      <c r="N581" s="4">
        <v>8912.23</v>
      </c>
    </row>
    <row r="582" spans="1:14" x14ac:dyDescent="0.25">
      <c r="A582" s="2" t="s">
        <v>355</v>
      </c>
      <c r="B582" s="2" t="s">
        <v>356</v>
      </c>
      <c r="C582" s="3">
        <v>120</v>
      </c>
      <c r="D582" s="4">
        <v>1714.8</v>
      </c>
      <c r="E582" s="4">
        <v>1200</v>
      </c>
      <c r="F582" s="4">
        <f t="shared" si="42"/>
        <v>514.79999999999995</v>
      </c>
      <c r="G582" s="5">
        <f t="shared" si="43"/>
        <v>0.30020993701889431</v>
      </c>
      <c r="H582" s="2" t="s">
        <v>513</v>
      </c>
      <c r="I582" s="6" t="s">
        <v>69</v>
      </c>
      <c r="J582" s="2" t="s">
        <v>514</v>
      </c>
      <c r="K582" s="2" t="s">
        <v>515</v>
      </c>
      <c r="L582" s="2" t="s">
        <v>28</v>
      </c>
      <c r="M582" s="2" t="s">
        <v>5</v>
      </c>
      <c r="N582" s="4">
        <v>13218.91</v>
      </c>
    </row>
    <row r="583" spans="1:14" x14ac:dyDescent="0.25">
      <c r="A583" s="2" t="s">
        <v>360</v>
      </c>
      <c r="B583" s="2" t="s">
        <v>361</v>
      </c>
      <c r="C583" s="3">
        <v>15.37</v>
      </c>
      <c r="D583" s="4">
        <v>253.4513</v>
      </c>
      <c r="E583" s="4">
        <v>181.36600000000001</v>
      </c>
      <c r="F583" s="4">
        <f t="shared" si="42"/>
        <v>72.085299999999989</v>
      </c>
      <c r="G583" s="5">
        <f t="shared" si="43"/>
        <v>0.28441479684657361</v>
      </c>
      <c r="H583" s="2" t="s">
        <v>510</v>
      </c>
      <c r="I583" s="6" t="s">
        <v>32</v>
      </c>
      <c r="J583" s="2" t="s">
        <v>511</v>
      </c>
      <c r="K583" s="2" t="s">
        <v>512</v>
      </c>
      <c r="L583" s="2" t="s">
        <v>28</v>
      </c>
      <c r="M583" s="2" t="s">
        <v>5</v>
      </c>
      <c r="N583" s="4">
        <v>8912.23</v>
      </c>
    </row>
    <row r="584" spans="1:14" x14ac:dyDescent="0.25">
      <c r="A584" s="2" t="s">
        <v>360</v>
      </c>
      <c r="B584" s="2" t="s">
        <v>361</v>
      </c>
      <c r="C584" s="3">
        <v>30.4</v>
      </c>
      <c r="D584" s="4">
        <v>501.29599999999999</v>
      </c>
      <c r="E584" s="4">
        <v>358.72</v>
      </c>
      <c r="F584" s="4">
        <f t="shared" si="42"/>
        <v>142.57599999999996</v>
      </c>
      <c r="G584" s="5">
        <f t="shared" si="43"/>
        <v>0.28441479684657361</v>
      </c>
      <c r="H584" s="2" t="s">
        <v>513</v>
      </c>
      <c r="I584" s="6" t="s">
        <v>69</v>
      </c>
      <c r="J584" s="2" t="s">
        <v>514</v>
      </c>
      <c r="K584" s="2" t="s">
        <v>515</v>
      </c>
      <c r="L584" s="2" t="s">
        <v>28</v>
      </c>
      <c r="M584" s="2" t="s">
        <v>5</v>
      </c>
      <c r="N584" s="4">
        <v>13218.91</v>
      </c>
    </row>
    <row r="585" spans="1:14" x14ac:dyDescent="0.25">
      <c r="A585" s="2" t="s">
        <v>360</v>
      </c>
      <c r="B585" s="2" t="s">
        <v>361</v>
      </c>
      <c r="C585" s="3">
        <v>15.3</v>
      </c>
      <c r="D585" s="4">
        <v>252.297</v>
      </c>
      <c r="E585" s="4">
        <v>180.54</v>
      </c>
      <c r="F585" s="4">
        <f t="shared" si="42"/>
        <v>71.757000000000005</v>
      </c>
      <c r="G585" s="5">
        <f t="shared" si="43"/>
        <v>0.28441479684657373</v>
      </c>
      <c r="H585" s="2" t="s">
        <v>504</v>
      </c>
      <c r="I585" s="6" t="s">
        <v>69</v>
      </c>
      <c r="J585" s="2" t="s">
        <v>505</v>
      </c>
      <c r="K585" s="2" t="s">
        <v>506</v>
      </c>
      <c r="L585" s="2" t="s">
        <v>28</v>
      </c>
      <c r="M585" s="2" t="s">
        <v>5</v>
      </c>
      <c r="N585" s="4">
        <v>4801.54</v>
      </c>
    </row>
    <row r="586" spans="1:14" x14ac:dyDescent="0.25">
      <c r="A586" s="2" t="s">
        <v>362</v>
      </c>
      <c r="B586" s="2" t="s">
        <v>363</v>
      </c>
      <c r="C586" s="3">
        <v>15.25</v>
      </c>
      <c r="D586" s="4">
        <v>193.82749999999999</v>
      </c>
      <c r="E586" s="4">
        <v>186.05</v>
      </c>
      <c r="F586" s="4">
        <f t="shared" si="42"/>
        <v>7.777499999999975</v>
      </c>
      <c r="G586" s="5">
        <f t="shared" si="43"/>
        <v>4.0125885129818913E-2</v>
      </c>
      <c r="H586" s="2" t="s">
        <v>513</v>
      </c>
      <c r="I586" s="6" t="s">
        <v>69</v>
      </c>
      <c r="J586" s="2" t="s">
        <v>514</v>
      </c>
      <c r="K586" s="2" t="s">
        <v>515</v>
      </c>
      <c r="L586" s="2" t="s">
        <v>28</v>
      </c>
      <c r="M586" s="2" t="s">
        <v>5</v>
      </c>
      <c r="N586" s="4">
        <v>13218.91</v>
      </c>
    </row>
    <row r="587" spans="1:14" x14ac:dyDescent="0.25">
      <c r="A587" s="2" t="s">
        <v>364</v>
      </c>
      <c r="B587" s="2" t="s">
        <v>365</v>
      </c>
      <c r="C587" s="3">
        <v>116.5</v>
      </c>
      <c r="D587" s="4">
        <v>1664.7850000000001</v>
      </c>
      <c r="E587" s="4">
        <v>1316.45</v>
      </c>
      <c r="F587" s="4">
        <f t="shared" si="42"/>
        <v>348.33500000000004</v>
      </c>
      <c r="G587" s="5">
        <f t="shared" si="43"/>
        <v>0.2092372288313506</v>
      </c>
      <c r="H587" s="2" t="s">
        <v>513</v>
      </c>
      <c r="I587" s="6" t="s">
        <v>69</v>
      </c>
      <c r="J587" s="2" t="s">
        <v>514</v>
      </c>
      <c r="K587" s="2" t="s">
        <v>515</v>
      </c>
      <c r="L587" s="2" t="s">
        <v>28</v>
      </c>
      <c r="M587" s="2" t="s">
        <v>5</v>
      </c>
      <c r="N587" s="4">
        <v>13218.91</v>
      </c>
    </row>
    <row r="588" spans="1:14" x14ac:dyDescent="0.25">
      <c r="A588" s="2" t="s">
        <v>364</v>
      </c>
      <c r="B588" s="2" t="s">
        <v>365</v>
      </c>
      <c r="C588" s="3">
        <v>68.89</v>
      </c>
      <c r="D588" s="4">
        <v>984.43809999999996</v>
      </c>
      <c r="E588" s="4">
        <v>778.45699999999999</v>
      </c>
      <c r="F588" s="4">
        <f t="shared" si="42"/>
        <v>205.98109999999997</v>
      </c>
      <c r="G588" s="5">
        <f t="shared" si="43"/>
        <v>0.20923722883135057</v>
      </c>
      <c r="H588" s="2" t="s">
        <v>507</v>
      </c>
      <c r="I588" s="6" t="s">
        <v>32</v>
      </c>
      <c r="J588" s="2" t="s">
        <v>508</v>
      </c>
      <c r="K588" s="2" t="s">
        <v>509</v>
      </c>
      <c r="L588" s="2" t="s">
        <v>28</v>
      </c>
      <c r="M588" s="2" t="s">
        <v>5</v>
      </c>
      <c r="N588" s="4">
        <v>6508.97</v>
      </c>
    </row>
    <row r="589" spans="1:14" x14ac:dyDescent="0.25">
      <c r="A589" s="2" t="s">
        <v>366</v>
      </c>
      <c r="B589" s="2" t="s">
        <v>367</v>
      </c>
      <c r="C589" s="3">
        <v>59.774999999999999</v>
      </c>
      <c r="D589" s="4">
        <v>596.55449999999996</v>
      </c>
      <c r="E589" s="4">
        <v>353.27024999999998</v>
      </c>
      <c r="F589" s="4">
        <f t="shared" si="42"/>
        <v>243.28424999999999</v>
      </c>
      <c r="G589" s="5">
        <f t="shared" si="43"/>
        <v>0.40781563126252507</v>
      </c>
      <c r="H589" s="2" t="s">
        <v>513</v>
      </c>
      <c r="I589" s="6" t="s">
        <v>69</v>
      </c>
      <c r="J589" s="2" t="s">
        <v>514</v>
      </c>
      <c r="K589" s="2" t="s">
        <v>515</v>
      </c>
      <c r="L589" s="2" t="s">
        <v>28</v>
      </c>
      <c r="M589" s="2" t="s">
        <v>5</v>
      </c>
      <c r="N589" s="4">
        <v>13218.91</v>
      </c>
    </row>
    <row r="590" spans="1:14" x14ac:dyDescent="0.25">
      <c r="A590" s="2" t="s">
        <v>436</v>
      </c>
      <c r="B590" s="2" t="s">
        <v>437</v>
      </c>
      <c r="C590" s="3">
        <v>15.37</v>
      </c>
      <c r="D590" s="4">
        <v>144.47800000000001</v>
      </c>
      <c r="E590" s="4">
        <v>115.27500000000001</v>
      </c>
      <c r="F590" s="4">
        <f t="shared" si="42"/>
        <v>29.203000000000003</v>
      </c>
      <c r="G590" s="5">
        <f t="shared" si="43"/>
        <v>0.2021276595744681</v>
      </c>
      <c r="H590" s="2" t="s">
        <v>510</v>
      </c>
      <c r="I590" s="6" t="s">
        <v>32</v>
      </c>
      <c r="J590" s="2" t="s">
        <v>511</v>
      </c>
      <c r="K590" s="2" t="s">
        <v>512</v>
      </c>
      <c r="L590" s="2" t="s">
        <v>28</v>
      </c>
      <c r="M590" s="2" t="s">
        <v>5</v>
      </c>
      <c r="N590" s="4">
        <v>8912.23</v>
      </c>
    </row>
    <row r="591" spans="1:14" x14ac:dyDescent="0.25">
      <c r="A591" s="2" t="s">
        <v>368</v>
      </c>
      <c r="B591" s="2" t="s">
        <v>369</v>
      </c>
      <c r="C591" s="3">
        <v>15.24</v>
      </c>
      <c r="D591" s="4">
        <v>251.30760000000001</v>
      </c>
      <c r="E591" s="4">
        <v>190.5</v>
      </c>
      <c r="F591" s="4">
        <f t="shared" si="42"/>
        <v>60.807600000000008</v>
      </c>
      <c r="G591" s="5">
        <f t="shared" si="43"/>
        <v>0.24196482716798062</v>
      </c>
      <c r="H591" s="2" t="s">
        <v>510</v>
      </c>
      <c r="I591" s="6" t="s">
        <v>32</v>
      </c>
      <c r="J591" s="2" t="s">
        <v>511</v>
      </c>
      <c r="K591" s="2" t="s">
        <v>512</v>
      </c>
      <c r="L591" s="2" t="s">
        <v>28</v>
      </c>
      <c r="M591" s="2" t="s">
        <v>5</v>
      </c>
      <c r="N591" s="4">
        <v>8912.23</v>
      </c>
    </row>
    <row r="592" spans="1:14" x14ac:dyDescent="0.25">
      <c r="A592" s="2" t="s">
        <v>370</v>
      </c>
      <c r="B592" s="2" t="s">
        <v>371</v>
      </c>
      <c r="C592" s="3">
        <v>63.17</v>
      </c>
      <c r="D592" s="4">
        <v>344.90820000000002</v>
      </c>
      <c r="E592" s="4">
        <v>227.41200000000001</v>
      </c>
      <c r="F592" s="4">
        <f t="shared" si="42"/>
        <v>117.49620000000002</v>
      </c>
      <c r="G592" s="5">
        <f t="shared" si="43"/>
        <v>0.34065934065934067</v>
      </c>
      <c r="H592" s="2" t="s">
        <v>507</v>
      </c>
      <c r="I592" s="6" t="s">
        <v>32</v>
      </c>
      <c r="J592" s="2" t="s">
        <v>508</v>
      </c>
      <c r="K592" s="2" t="s">
        <v>509</v>
      </c>
      <c r="L592" s="2" t="s">
        <v>28</v>
      </c>
      <c r="M592" s="2" t="s">
        <v>5</v>
      </c>
      <c r="N592" s="4">
        <v>6508.97</v>
      </c>
    </row>
    <row r="593" spans="1:14" x14ac:dyDescent="0.25">
      <c r="A593" s="2" t="s">
        <v>370</v>
      </c>
      <c r="B593" s="2" t="s">
        <v>371</v>
      </c>
      <c r="C593" s="3">
        <v>76.885000000000005</v>
      </c>
      <c r="D593" s="4">
        <v>419.7921</v>
      </c>
      <c r="E593" s="4">
        <v>276.786</v>
      </c>
      <c r="F593" s="4">
        <f t="shared" si="42"/>
        <v>143.0061</v>
      </c>
      <c r="G593" s="5">
        <f t="shared" si="43"/>
        <v>0.34065934065934067</v>
      </c>
      <c r="H593" s="2" t="s">
        <v>510</v>
      </c>
      <c r="I593" s="6" t="s">
        <v>32</v>
      </c>
      <c r="J593" s="2" t="s">
        <v>511</v>
      </c>
      <c r="K593" s="2" t="s">
        <v>512</v>
      </c>
      <c r="L593" s="2" t="s">
        <v>28</v>
      </c>
      <c r="M593" s="2" t="s">
        <v>5</v>
      </c>
      <c r="N593" s="4">
        <v>8912.23</v>
      </c>
    </row>
    <row r="594" spans="1:14" x14ac:dyDescent="0.25">
      <c r="A594" s="2" t="s">
        <v>370</v>
      </c>
      <c r="B594" s="2" t="s">
        <v>371</v>
      </c>
      <c r="C594" s="3">
        <v>61.83</v>
      </c>
      <c r="D594" s="4">
        <v>337.59179999999998</v>
      </c>
      <c r="E594" s="4">
        <v>222.58799999999999</v>
      </c>
      <c r="F594" s="4">
        <f t="shared" si="42"/>
        <v>115.00379999999998</v>
      </c>
      <c r="G594" s="5">
        <f t="shared" si="43"/>
        <v>0.34065934065934061</v>
      </c>
      <c r="H594" s="2" t="s">
        <v>513</v>
      </c>
      <c r="I594" s="6" t="s">
        <v>69</v>
      </c>
      <c r="J594" s="2" t="s">
        <v>514</v>
      </c>
      <c r="K594" s="2" t="s">
        <v>515</v>
      </c>
      <c r="L594" s="2" t="s">
        <v>28</v>
      </c>
      <c r="M594" s="2" t="s">
        <v>5</v>
      </c>
      <c r="N594" s="4">
        <v>13218.91</v>
      </c>
    </row>
    <row r="595" spans="1:14" x14ac:dyDescent="0.25">
      <c r="A595" s="2" t="s">
        <v>370</v>
      </c>
      <c r="B595" s="2" t="s">
        <v>371</v>
      </c>
      <c r="C595" s="3">
        <v>47.52</v>
      </c>
      <c r="D595" s="4">
        <v>259.45920000000001</v>
      </c>
      <c r="E595" s="4">
        <v>171.072</v>
      </c>
      <c r="F595" s="4">
        <f t="shared" si="42"/>
        <v>88.387200000000007</v>
      </c>
      <c r="G595" s="5">
        <f t="shared" si="43"/>
        <v>0.34065934065934067</v>
      </c>
      <c r="H595" s="2" t="s">
        <v>504</v>
      </c>
      <c r="I595" s="6" t="s">
        <v>69</v>
      </c>
      <c r="J595" s="2" t="s">
        <v>505</v>
      </c>
      <c r="K595" s="2" t="s">
        <v>506</v>
      </c>
      <c r="L595" s="2" t="s">
        <v>28</v>
      </c>
      <c r="M595" s="2" t="s">
        <v>5</v>
      </c>
      <c r="N595" s="4">
        <v>4801.54</v>
      </c>
    </row>
    <row r="596" spans="1:14" x14ac:dyDescent="0.25">
      <c r="A596" s="2" t="s">
        <v>372</v>
      </c>
      <c r="B596" s="2" t="s">
        <v>373</v>
      </c>
      <c r="C596" s="3">
        <v>15.77</v>
      </c>
      <c r="D596" s="4">
        <v>208.79480000000001</v>
      </c>
      <c r="E596" s="4">
        <v>141.93</v>
      </c>
      <c r="F596" s="4">
        <f t="shared" si="42"/>
        <v>66.864800000000002</v>
      </c>
      <c r="G596" s="5">
        <f t="shared" si="43"/>
        <v>0.3202416918429003</v>
      </c>
      <c r="H596" s="2" t="s">
        <v>513</v>
      </c>
      <c r="I596" s="6" t="s">
        <v>69</v>
      </c>
      <c r="J596" s="2" t="s">
        <v>514</v>
      </c>
      <c r="K596" s="2" t="s">
        <v>515</v>
      </c>
      <c r="L596" s="2" t="s">
        <v>28</v>
      </c>
      <c r="M596" s="2" t="s">
        <v>5</v>
      </c>
      <c r="N596" s="4">
        <v>13218.91</v>
      </c>
    </row>
    <row r="597" spans="1:14" x14ac:dyDescent="0.25">
      <c r="A597" s="2" t="s">
        <v>372</v>
      </c>
      <c r="B597" s="2" t="s">
        <v>373</v>
      </c>
      <c r="C597" s="3">
        <v>15.66</v>
      </c>
      <c r="D597" s="4">
        <v>207.33840000000001</v>
      </c>
      <c r="E597" s="4">
        <v>140.94</v>
      </c>
      <c r="F597" s="4">
        <f t="shared" si="42"/>
        <v>66.398400000000009</v>
      </c>
      <c r="G597" s="5">
        <f t="shared" si="43"/>
        <v>0.32024169184290036</v>
      </c>
      <c r="H597" s="2" t="s">
        <v>507</v>
      </c>
      <c r="I597" s="6" t="s">
        <v>32</v>
      </c>
      <c r="J597" s="2" t="s">
        <v>508</v>
      </c>
      <c r="K597" s="2" t="s">
        <v>509</v>
      </c>
      <c r="L597" s="2" t="s">
        <v>28</v>
      </c>
      <c r="M597" s="2" t="s">
        <v>5</v>
      </c>
      <c r="N597" s="4">
        <v>6508.97</v>
      </c>
    </row>
    <row r="598" spans="1:14" x14ac:dyDescent="0.25">
      <c r="A598" s="2" t="s">
        <v>372</v>
      </c>
      <c r="B598" s="2" t="s">
        <v>373</v>
      </c>
      <c r="C598" s="3">
        <v>30.945</v>
      </c>
      <c r="D598" s="4">
        <v>409.71179999999998</v>
      </c>
      <c r="E598" s="4">
        <v>278.505</v>
      </c>
      <c r="F598" s="4">
        <f t="shared" si="42"/>
        <v>131.20679999999999</v>
      </c>
      <c r="G598" s="5">
        <f t="shared" si="43"/>
        <v>0.3202416918429003</v>
      </c>
      <c r="H598" s="2" t="s">
        <v>510</v>
      </c>
      <c r="I598" s="6" t="s">
        <v>32</v>
      </c>
      <c r="J598" s="2" t="s">
        <v>511</v>
      </c>
      <c r="K598" s="2" t="s">
        <v>512</v>
      </c>
      <c r="L598" s="2" t="s">
        <v>28</v>
      </c>
      <c r="M598" s="2" t="s">
        <v>5</v>
      </c>
      <c r="N598" s="4">
        <v>8912.23</v>
      </c>
    </row>
    <row r="599" spans="1:14" x14ac:dyDescent="0.25">
      <c r="A599" s="2" t="s">
        <v>440</v>
      </c>
      <c r="B599" s="2" t="s">
        <v>441</v>
      </c>
      <c r="C599" s="3">
        <v>14.49</v>
      </c>
      <c r="D599" s="4">
        <v>135.48150000000001</v>
      </c>
      <c r="E599" s="4">
        <v>144.9</v>
      </c>
      <c r="F599" s="4">
        <f t="shared" si="42"/>
        <v>-9.4184999999999945</v>
      </c>
      <c r="G599" s="5">
        <f t="shared" si="43"/>
        <v>-6.9518716577540066E-2</v>
      </c>
      <c r="H599" s="2" t="s">
        <v>510</v>
      </c>
      <c r="I599" s="6" t="s">
        <v>32</v>
      </c>
      <c r="J599" s="2" t="s">
        <v>511</v>
      </c>
      <c r="K599" s="2" t="s">
        <v>512</v>
      </c>
      <c r="L599" s="2" t="s">
        <v>28</v>
      </c>
      <c r="M599" s="2" t="s">
        <v>5</v>
      </c>
      <c r="N599" s="4">
        <v>8912.23</v>
      </c>
    </row>
    <row r="600" spans="1:14" x14ac:dyDescent="0.25">
      <c r="A600" s="2" t="s">
        <v>440</v>
      </c>
      <c r="B600" s="2" t="s">
        <v>441</v>
      </c>
      <c r="C600" s="3">
        <v>15.44</v>
      </c>
      <c r="D600" s="4">
        <v>144.364</v>
      </c>
      <c r="E600" s="4">
        <v>188.36799999999999</v>
      </c>
      <c r="F600" s="4">
        <f t="shared" si="42"/>
        <v>-44.003999999999991</v>
      </c>
      <c r="G600" s="5">
        <f t="shared" si="43"/>
        <v>-0.30481283422459887</v>
      </c>
      <c r="H600" s="2" t="s">
        <v>513</v>
      </c>
      <c r="I600" s="6" t="s">
        <v>69</v>
      </c>
      <c r="J600" s="2" t="s">
        <v>514</v>
      </c>
      <c r="K600" s="2" t="s">
        <v>515</v>
      </c>
      <c r="L600" s="2" t="s">
        <v>28</v>
      </c>
      <c r="M600" s="2" t="s">
        <v>5</v>
      </c>
      <c r="N600" s="4">
        <v>13218.91</v>
      </c>
    </row>
    <row r="601" spans="1:14" x14ac:dyDescent="0.25">
      <c r="A601" s="2" t="s">
        <v>374</v>
      </c>
      <c r="B601" s="2" t="s">
        <v>375</v>
      </c>
      <c r="C601" s="3">
        <v>4.99</v>
      </c>
      <c r="D601" s="4">
        <v>90.967699999999994</v>
      </c>
      <c r="E601" s="4">
        <v>69.660399999999996</v>
      </c>
      <c r="F601" s="4">
        <f t="shared" si="42"/>
        <v>21.307299999999998</v>
      </c>
      <c r="G601" s="5">
        <f t="shared" si="43"/>
        <v>0.23422929237520571</v>
      </c>
      <c r="H601" s="2" t="s">
        <v>510</v>
      </c>
      <c r="I601" s="6" t="s">
        <v>32</v>
      </c>
      <c r="J601" s="2" t="s">
        <v>511</v>
      </c>
      <c r="K601" s="2" t="s">
        <v>512</v>
      </c>
      <c r="L601" s="2" t="s">
        <v>28</v>
      </c>
      <c r="M601" s="2" t="s">
        <v>5</v>
      </c>
      <c r="N601" s="4">
        <v>8912.23</v>
      </c>
    </row>
    <row r="602" spans="1:14" x14ac:dyDescent="0.25">
      <c r="A602" s="2" t="s">
        <v>374</v>
      </c>
      <c r="B602" s="2" t="s">
        <v>375</v>
      </c>
      <c r="C602" s="3">
        <v>5</v>
      </c>
      <c r="D602" s="4">
        <v>91.15</v>
      </c>
      <c r="E602" s="4">
        <v>69.8</v>
      </c>
      <c r="F602" s="4">
        <f t="shared" si="42"/>
        <v>21.350000000000009</v>
      </c>
      <c r="G602" s="5">
        <f t="shared" si="43"/>
        <v>0.23422929237520579</v>
      </c>
      <c r="H602" s="2" t="s">
        <v>513</v>
      </c>
      <c r="I602" s="6" t="s">
        <v>69</v>
      </c>
      <c r="J602" s="2" t="s">
        <v>514</v>
      </c>
      <c r="K602" s="2" t="s">
        <v>515</v>
      </c>
      <c r="L602" s="2" t="s">
        <v>28</v>
      </c>
      <c r="M602" s="2" t="s">
        <v>5</v>
      </c>
      <c r="N602" s="4">
        <v>13218.91</v>
      </c>
    </row>
    <row r="603" spans="1:14" x14ac:dyDescent="0.25">
      <c r="A603" s="2" t="s">
        <v>378</v>
      </c>
      <c r="B603" s="2" t="s">
        <v>379</v>
      </c>
      <c r="C603" s="3">
        <v>48.46</v>
      </c>
      <c r="D603" s="4">
        <v>585.39679999999998</v>
      </c>
      <c r="E603" s="4">
        <v>353.75799999999998</v>
      </c>
      <c r="F603" s="4">
        <f t="shared" si="42"/>
        <v>231.6388</v>
      </c>
      <c r="G603" s="5">
        <f t="shared" si="43"/>
        <v>0.39569536423841062</v>
      </c>
      <c r="H603" s="2" t="s">
        <v>504</v>
      </c>
      <c r="I603" s="6" t="s">
        <v>69</v>
      </c>
      <c r="J603" s="2" t="s">
        <v>505</v>
      </c>
      <c r="K603" s="2" t="s">
        <v>506</v>
      </c>
      <c r="L603" s="2" t="s">
        <v>28</v>
      </c>
      <c r="M603" s="2" t="s">
        <v>5</v>
      </c>
      <c r="N603" s="4">
        <v>4801.54</v>
      </c>
    </row>
    <row r="604" spans="1:14" x14ac:dyDescent="0.25">
      <c r="A604" s="2" t="s">
        <v>378</v>
      </c>
      <c r="B604" s="2" t="s">
        <v>379</v>
      </c>
      <c r="C604" s="3">
        <v>62.3</v>
      </c>
      <c r="D604" s="4">
        <v>752.58399999999995</v>
      </c>
      <c r="E604" s="4">
        <v>454.79</v>
      </c>
      <c r="F604" s="4">
        <f t="shared" si="42"/>
        <v>297.79399999999993</v>
      </c>
      <c r="G604" s="5">
        <f t="shared" si="43"/>
        <v>0.39569536423841051</v>
      </c>
      <c r="H604" s="2" t="s">
        <v>513</v>
      </c>
      <c r="I604" s="6" t="s">
        <v>69</v>
      </c>
      <c r="J604" s="2" t="s">
        <v>514</v>
      </c>
      <c r="K604" s="2" t="s">
        <v>515</v>
      </c>
      <c r="L604" s="2" t="s">
        <v>28</v>
      </c>
      <c r="M604" s="2" t="s">
        <v>5</v>
      </c>
      <c r="N604" s="4">
        <v>13218.91</v>
      </c>
    </row>
    <row r="605" spans="1:14" x14ac:dyDescent="0.25">
      <c r="A605" s="2" t="s">
        <v>378</v>
      </c>
      <c r="B605" s="2" t="s">
        <v>379</v>
      </c>
      <c r="C605" s="3">
        <v>45.8</v>
      </c>
      <c r="D605" s="4">
        <v>553.26400000000001</v>
      </c>
      <c r="E605" s="4">
        <v>334.34</v>
      </c>
      <c r="F605" s="4">
        <f t="shared" si="42"/>
        <v>218.92400000000004</v>
      </c>
      <c r="G605" s="5">
        <f t="shared" si="43"/>
        <v>0.39569536423841067</v>
      </c>
      <c r="H605" s="2" t="s">
        <v>507</v>
      </c>
      <c r="I605" s="6" t="s">
        <v>32</v>
      </c>
      <c r="J605" s="2" t="s">
        <v>508</v>
      </c>
      <c r="K605" s="2" t="s">
        <v>509</v>
      </c>
      <c r="L605" s="2" t="s">
        <v>28</v>
      </c>
      <c r="M605" s="2" t="s">
        <v>5</v>
      </c>
      <c r="N605" s="4">
        <v>6508.97</v>
      </c>
    </row>
    <row r="606" spans="1:14" x14ac:dyDescent="0.25">
      <c r="A606" s="2" t="s">
        <v>378</v>
      </c>
      <c r="B606" s="2" t="s">
        <v>379</v>
      </c>
      <c r="C606" s="3">
        <v>75.489999999999995</v>
      </c>
      <c r="D606" s="4">
        <v>911.91920000000005</v>
      </c>
      <c r="E606" s="4">
        <v>551.077</v>
      </c>
      <c r="F606" s="4">
        <f t="shared" si="42"/>
        <v>360.84220000000005</v>
      </c>
      <c r="G606" s="5">
        <f t="shared" si="43"/>
        <v>0.39569536423841062</v>
      </c>
      <c r="H606" s="2" t="s">
        <v>510</v>
      </c>
      <c r="I606" s="6" t="s">
        <v>32</v>
      </c>
      <c r="J606" s="2" t="s">
        <v>511</v>
      </c>
      <c r="K606" s="2" t="s">
        <v>512</v>
      </c>
      <c r="L606" s="2" t="s">
        <v>28</v>
      </c>
      <c r="M606" s="2" t="s">
        <v>5</v>
      </c>
      <c r="N606" s="4">
        <v>8912.23</v>
      </c>
    </row>
    <row r="607" spans="1:14" x14ac:dyDescent="0.25">
      <c r="A607" s="2" t="s">
        <v>380</v>
      </c>
      <c r="B607" s="2" t="s">
        <v>381</v>
      </c>
      <c r="C607" s="3">
        <v>14.654999999999999</v>
      </c>
      <c r="D607" s="4">
        <v>208.54065</v>
      </c>
      <c r="E607" s="4">
        <v>73.275000000000006</v>
      </c>
      <c r="F607" s="4">
        <f t="shared" si="42"/>
        <v>135.26564999999999</v>
      </c>
      <c r="G607" s="5">
        <f t="shared" si="43"/>
        <v>0.64862965565706254</v>
      </c>
      <c r="H607" s="2" t="s">
        <v>513</v>
      </c>
      <c r="I607" s="6" t="s">
        <v>69</v>
      </c>
      <c r="J607" s="2" t="s">
        <v>514</v>
      </c>
      <c r="K607" s="2" t="s">
        <v>515</v>
      </c>
      <c r="L607" s="2" t="s">
        <v>28</v>
      </c>
      <c r="M607" s="2" t="s">
        <v>5</v>
      </c>
      <c r="N607" s="4">
        <v>13218.91</v>
      </c>
    </row>
    <row r="608" spans="1:14" x14ac:dyDescent="0.25">
      <c r="A608" s="2" t="s">
        <v>380</v>
      </c>
      <c r="B608" s="2" t="s">
        <v>381</v>
      </c>
      <c r="C608" s="3">
        <v>15.5</v>
      </c>
      <c r="D608" s="4">
        <v>220.565</v>
      </c>
      <c r="E608" s="4">
        <v>77.5</v>
      </c>
      <c r="F608" s="4">
        <f t="shared" si="42"/>
        <v>143.065</v>
      </c>
      <c r="G608" s="5">
        <f t="shared" si="43"/>
        <v>0.64862965565706254</v>
      </c>
      <c r="H608" s="2" t="s">
        <v>510</v>
      </c>
      <c r="I608" s="6" t="s">
        <v>32</v>
      </c>
      <c r="J608" s="2" t="s">
        <v>511</v>
      </c>
      <c r="K608" s="2" t="s">
        <v>512</v>
      </c>
      <c r="L608" s="2" t="s">
        <v>28</v>
      </c>
      <c r="M608" s="2" t="s">
        <v>5</v>
      </c>
      <c r="N608" s="4">
        <v>8912.23</v>
      </c>
    </row>
    <row r="609" spans="1:14" x14ac:dyDescent="0.25">
      <c r="A609" s="2" t="s">
        <v>382</v>
      </c>
      <c r="B609" s="2" t="s">
        <v>383</v>
      </c>
      <c r="C609" s="3">
        <v>30.72</v>
      </c>
      <c r="D609" s="4">
        <v>166.1952</v>
      </c>
      <c r="E609" s="4">
        <v>110.592</v>
      </c>
      <c r="F609" s="4">
        <f t="shared" si="42"/>
        <v>55.603200000000001</v>
      </c>
      <c r="G609" s="5">
        <f t="shared" si="43"/>
        <v>0.3345656192236599</v>
      </c>
      <c r="H609" s="2" t="s">
        <v>504</v>
      </c>
      <c r="I609" s="6" t="s">
        <v>69</v>
      </c>
      <c r="J609" s="2" t="s">
        <v>505</v>
      </c>
      <c r="K609" s="2" t="s">
        <v>506</v>
      </c>
      <c r="L609" s="2" t="s">
        <v>28</v>
      </c>
      <c r="M609" s="2" t="s">
        <v>5</v>
      </c>
      <c r="N609" s="4">
        <v>4801.54</v>
      </c>
    </row>
    <row r="610" spans="1:14" x14ac:dyDescent="0.25">
      <c r="A610" s="2" t="s">
        <v>382</v>
      </c>
      <c r="B610" s="2" t="s">
        <v>383</v>
      </c>
      <c r="C610" s="3">
        <v>267.49</v>
      </c>
      <c r="D610" s="4">
        <v>1447.1208999999999</v>
      </c>
      <c r="E610" s="4">
        <v>962.96400000000006</v>
      </c>
      <c r="F610" s="4">
        <f t="shared" si="42"/>
        <v>484.15689999999984</v>
      </c>
      <c r="G610" s="5">
        <f t="shared" si="43"/>
        <v>0.33456561922365979</v>
      </c>
      <c r="H610" s="2" t="s">
        <v>513</v>
      </c>
      <c r="I610" s="6" t="s">
        <v>69</v>
      </c>
      <c r="J610" s="2" t="s">
        <v>514</v>
      </c>
      <c r="K610" s="2" t="s">
        <v>515</v>
      </c>
      <c r="L610" s="2" t="s">
        <v>28</v>
      </c>
      <c r="M610" s="2" t="s">
        <v>5</v>
      </c>
      <c r="N610" s="4">
        <v>13218.91</v>
      </c>
    </row>
    <row r="611" spans="1:14" x14ac:dyDescent="0.25">
      <c r="A611" s="2" t="s">
        <v>382</v>
      </c>
      <c r="B611" s="2" t="s">
        <v>383</v>
      </c>
      <c r="C611" s="3">
        <v>44.9</v>
      </c>
      <c r="D611" s="4">
        <v>242.90899999999999</v>
      </c>
      <c r="E611" s="4">
        <v>161.63999999999999</v>
      </c>
      <c r="F611" s="4">
        <f t="shared" ref="F611:F642" si="44">D611-E611</f>
        <v>81.269000000000005</v>
      </c>
      <c r="G611" s="5">
        <f t="shared" ref="G611:G643" si="45">IF(((D611)=0),0,(D611-E611)/ D611)</f>
        <v>0.3345656192236599</v>
      </c>
      <c r="H611" s="2" t="s">
        <v>510</v>
      </c>
      <c r="I611" s="6" t="s">
        <v>32</v>
      </c>
      <c r="J611" s="2" t="s">
        <v>511</v>
      </c>
      <c r="K611" s="2" t="s">
        <v>512</v>
      </c>
      <c r="L611" s="2" t="s">
        <v>28</v>
      </c>
      <c r="M611" s="2" t="s">
        <v>5</v>
      </c>
      <c r="N611" s="4">
        <v>8912.23</v>
      </c>
    </row>
    <row r="612" spans="1:14" x14ac:dyDescent="0.25">
      <c r="A612" s="2" t="s">
        <v>382</v>
      </c>
      <c r="B612" s="2" t="s">
        <v>383</v>
      </c>
      <c r="C612" s="3">
        <v>46.91</v>
      </c>
      <c r="D612" s="4">
        <v>253.78309999999999</v>
      </c>
      <c r="E612" s="4">
        <v>168.876</v>
      </c>
      <c r="F612" s="4">
        <f t="shared" si="44"/>
        <v>84.907099999999986</v>
      </c>
      <c r="G612" s="5">
        <f t="shared" si="45"/>
        <v>0.33456561922365985</v>
      </c>
      <c r="H612" s="2" t="s">
        <v>507</v>
      </c>
      <c r="I612" s="6" t="s">
        <v>32</v>
      </c>
      <c r="J612" s="2" t="s">
        <v>508</v>
      </c>
      <c r="K612" s="2" t="s">
        <v>509</v>
      </c>
      <c r="L612" s="2" t="s">
        <v>28</v>
      </c>
      <c r="M612" s="2" t="s">
        <v>5</v>
      </c>
      <c r="N612" s="4">
        <v>6508.97</v>
      </c>
    </row>
    <row r="613" spans="1:14" x14ac:dyDescent="0.25">
      <c r="A613" s="2" t="s">
        <v>384</v>
      </c>
      <c r="B613" s="2" t="s">
        <v>385</v>
      </c>
      <c r="C613" s="3">
        <v>31.4</v>
      </c>
      <c r="D613" s="4">
        <v>136.904</v>
      </c>
      <c r="E613" s="4">
        <v>78.5</v>
      </c>
      <c r="F613" s="4">
        <f t="shared" si="44"/>
        <v>58.403999999999996</v>
      </c>
      <c r="G613" s="5">
        <f t="shared" si="45"/>
        <v>0.42660550458715596</v>
      </c>
      <c r="H613" s="2" t="s">
        <v>504</v>
      </c>
      <c r="I613" s="6" t="s">
        <v>69</v>
      </c>
      <c r="J613" s="2" t="s">
        <v>505</v>
      </c>
      <c r="K613" s="2" t="s">
        <v>506</v>
      </c>
      <c r="L613" s="2" t="s">
        <v>28</v>
      </c>
      <c r="M613" s="2" t="s">
        <v>5</v>
      </c>
      <c r="N613" s="4">
        <v>4801.54</v>
      </c>
    </row>
    <row r="614" spans="1:14" x14ac:dyDescent="0.25">
      <c r="A614" s="2" t="s">
        <v>384</v>
      </c>
      <c r="B614" s="2" t="s">
        <v>385</v>
      </c>
      <c r="C614" s="3">
        <v>60.625</v>
      </c>
      <c r="D614" s="4">
        <v>264.32499999999999</v>
      </c>
      <c r="E614" s="4">
        <v>151.5625</v>
      </c>
      <c r="F614" s="4">
        <f t="shared" si="44"/>
        <v>112.76249999999999</v>
      </c>
      <c r="G614" s="5">
        <f t="shared" si="45"/>
        <v>0.42660550458715596</v>
      </c>
      <c r="H614" s="2" t="s">
        <v>510</v>
      </c>
      <c r="I614" s="6" t="s">
        <v>32</v>
      </c>
      <c r="J614" s="2" t="s">
        <v>511</v>
      </c>
      <c r="K614" s="2" t="s">
        <v>512</v>
      </c>
      <c r="L614" s="2" t="s">
        <v>28</v>
      </c>
      <c r="M614" s="2" t="s">
        <v>5</v>
      </c>
      <c r="N614" s="4">
        <v>8912.23</v>
      </c>
    </row>
    <row r="615" spans="1:14" x14ac:dyDescent="0.25">
      <c r="A615" s="2" t="s">
        <v>388</v>
      </c>
      <c r="B615" s="2" t="s">
        <v>389</v>
      </c>
      <c r="C615" s="3">
        <v>13.8</v>
      </c>
      <c r="D615" s="4">
        <v>131.928</v>
      </c>
      <c r="E615" s="4">
        <v>74.796000000000006</v>
      </c>
      <c r="F615" s="4">
        <f t="shared" si="44"/>
        <v>57.131999999999991</v>
      </c>
      <c r="G615" s="5">
        <f t="shared" si="45"/>
        <v>0.43305439330543927</v>
      </c>
      <c r="H615" s="2" t="s">
        <v>510</v>
      </c>
      <c r="I615" s="6" t="s">
        <v>32</v>
      </c>
      <c r="J615" s="2" t="s">
        <v>511</v>
      </c>
      <c r="K615" s="2" t="s">
        <v>512</v>
      </c>
      <c r="L615" s="2" t="s">
        <v>28</v>
      </c>
      <c r="M615" s="2" t="s">
        <v>5</v>
      </c>
      <c r="N615" s="4">
        <v>8912.23</v>
      </c>
    </row>
    <row r="616" spans="1:14" x14ac:dyDescent="0.25">
      <c r="A616" s="2" t="s">
        <v>388</v>
      </c>
      <c r="B616" s="2" t="s">
        <v>389</v>
      </c>
      <c r="C616" s="3">
        <v>14.37</v>
      </c>
      <c r="D616" s="4">
        <v>137.37719999999999</v>
      </c>
      <c r="E616" s="4">
        <v>77.885400000000004</v>
      </c>
      <c r="F616" s="4">
        <f t="shared" si="44"/>
        <v>59.491799999999984</v>
      </c>
      <c r="G616" s="5">
        <f t="shared" si="45"/>
        <v>0.43305439330543927</v>
      </c>
      <c r="H616" s="2" t="s">
        <v>513</v>
      </c>
      <c r="I616" s="6" t="s">
        <v>69</v>
      </c>
      <c r="J616" s="2" t="s">
        <v>514</v>
      </c>
      <c r="K616" s="2" t="s">
        <v>515</v>
      </c>
      <c r="L616" s="2" t="s">
        <v>28</v>
      </c>
      <c r="M616" s="2" t="s">
        <v>5</v>
      </c>
      <c r="N616" s="4">
        <v>13218.91</v>
      </c>
    </row>
    <row r="617" spans="1:14" x14ac:dyDescent="0.25">
      <c r="A617" s="2" t="s">
        <v>390</v>
      </c>
      <c r="B617" s="2" t="s">
        <v>391</v>
      </c>
      <c r="C617" s="3">
        <v>30.01</v>
      </c>
      <c r="D617" s="4">
        <v>331.01029999999997</v>
      </c>
      <c r="E617" s="4">
        <v>225.07499999999999</v>
      </c>
      <c r="F617" s="4">
        <f t="shared" si="44"/>
        <v>105.93529999999998</v>
      </c>
      <c r="G617" s="5">
        <f t="shared" si="45"/>
        <v>0.32003626473254759</v>
      </c>
      <c r="H617" s="2" t="s">
        <v>510</v>
      </c>
      <c r="I617" s="6" t="s">
        <v>32</v>
      </c>
      <c r="J617" s="2" t="s">
        <v>511</v>
      </c>
      <c r="K617" s="2" t="s">
        <v>512</v>
      </c>
      <c r="L617" s="2" t="s">
        <v>28</v>
      </c>
      <c r="M617" s="2" t="s">
        <v>5</v>
      </c>
      <c r="N617" s="4">
        <v>8912.23</v>
      </c>
    </row>
    <row r="618" spans="1:14" x14ac:dyDescent="0.25">
      <c r="A618" s="2" t="s">
        <v>390</v>
      </c>
      <c r="B618" s="2" t="s">
        <v>391</v>
      </c>
      <c r="C618" s="3">
        <v>29.46</v>
      </c>
      <c r="D618" s="4">
        <v>324.94380000000001</v>
      </c>
      <c r="E618" s="4">
        <v>220.95</v>
      </c>
      <c r="F618" s="4">
        <f t="shared" si="44"/>
        <v>103.99380000000002</v>
      </c>
      <c r="G618" s="5">
        <f t="shared" si="45"/>
        <v>0.32003626473254765</v>
      </c>
      <c r="H618" s="2" t="s">
        <v>513</v>
      </c>
      <c r="I618" s="6" t="s">
        <v>69</v>
      </c>
      <c r="J618" s="2" t="s">
        <v>514</v>
      </c>
      <c r="K618" s="2" t="s">
        <v>515</v>
      </c>
      <c r="L618" s="2" t="s">
        <v>28</v>
      </c>
      <c r="M618" s="2" t="s">
        <v>5</v>
      </c>
      <c r="N618" s="4">
        <v>13218.91</v>
      </c>
    </row>
    <row r="619" spans="1:14" x14ac:dyDescent="0.25">
      <c r="A619" s="2" t="s">
        <v>392</v>
      </c>
      <c r="B619" s="2" t="s">
        <v>393</v>
      </c>
      <c r="C619" s="3">
        <v>5.2</v>
      </c>
      <c r="D619" s="4">
        <v>75.66</v>
      </c>
      <c r="E619" s="4">
        <v>54.6</v>
      </c>
      <c r="F619" s="4">
        <f t="shared" si="44"/>
        <v>21.059999999999995</v>
      </c>
      <c r="G619" s="5">
        <f t="shared" si="45"/>
        <v>0.27835051546391748</v>
      </c>
      <c r="H619" s="2" t="s">
        <v>510</v>
      </c>
      <c r="I619" s="6" t="s">
        <v>32</v>
      </c>
      <c r="J619" s="2" t="s">
        <v>511</v>
      </c>
      <c r="K619" s="2" t="s">
        <v>512</v>
      </c>
      <c r="L619" s="2" t="s">
        <v>28</v>
      </c>
      <c r="M619" s="2" t="s">
        <v>5</v>
      </c>
      <c r="N619" s="4">
        <v>8912.23</v>
      </c>
    </row>
    <row r="620" spans="1:14" x14ac:dyDescent="0.25">
      <c r="A620" s="2" t="s">
        <v>442</v>
      </c>
      <c r="B620" s="2" t="s">
        <v>443</v>
      </c>
      <c r="C620" s="3">
        <v>16</v>
      </c>
      <c r="D620" s="4">
        <v>284.16000000000003</v>
      </c>
      <c r="E620" s="4">
        <v>260</v>
      </c>
      <c r="F620" s="4">
        <f t="shared" si="44"/>
        <v>24.160000000000025</v>
      </c>
      <c r="G620" s="5">
        <f t="shared" si="45"/>
        <v>8.5022522522522598E-2</v>
      </c>
      <c r="H620" s="2" t="s">
        <v>507</v>
      </c>
      <c r="I620" s="6" t="s">
        <v>32</v>
      </c>
      <c r="J620" s="2" t="s">
        <v>508</v>
      </c>
      <c r="K620" s="2" t="s">
        <v>509</v>
      </c>
      <c r="L620" s="2" t="s">
        <v>28</v>
      </c>
      <c r="M620" s="2" t="s">
        <v>5</v>
      </c>
      <c r="N620" s="4">
        <v>6508.97</v>
      </c>
    </row>
    <row r="621" spans="1:14" x14ac:dyDescent="0.25">
      <c r="A621" s="2" t="s">
        <v>394</v>
      </c>
      <c r="B621" s="2" t="s">
        <v>395</v>
      </c>
      <c r="C621" s="3">
        <v>87.02</v>
      </c>
      <c r="D621" s="4">
        <v>1416.6856</v>
      </c>
      <c r="E621" s="4">
        <v>1435.83</v>
      </c>
      <c r="F621" s="4">
        <f t="shared" si="44"/>
        <v>-19.144399999999905</v>
      </c>
      <c r="G621" s="5">
        <f t="shared" si="45"/>
        <v>-1.3513513513513447E-2</v>
      </c>
      <c r="H621" s="2" t="s">
        <v>513</v>
      </c>
      <c r="I621" s="6" t="s">
        <v>69</v>
      </c>
      <c r="J621" s="2" t="s">
        <v>514</v>
      </c>
      <c r="K621" s="2" t="s">
        <v>515</v>
      </c>
      <c r="L621" s="2" t="s">
        <v>28</v>
      </c>
      <c r="M621" s="2" t="s">
        <v>5</v>
      </c>
      <c r="N621" s="4">
        <v>13218.91</v>
      </c>
    </row>
    <row r="622" spans="1:14" x14ac:dyDescent="0.25">
      <c r="A622" s="2" t="s">
        <v>446</v>
      </c>
      <c r="B622" s="2" t="s">
        <v>447</v>
      </c>
      <c r="C622" s="3">
        <v>50.99</v>
      </c>
      <c r="D622" s="4">
        <v>680.20659999999998</v>
      </c>
      <c r="E622" s="4">
        <v>484.40499999999997</v>
      </c>
      <c r="F622" s="4">
        <f t="shared" si="44"/>
        <v>195.80160000000001</v>
      </c>
      <c r="G622" s="5">
        <f t="shared" si="45"/>
        <v>0.28785607196401802</v>
      </c>
      <c r="H622" s="2" t="s">
        <v>504</v>
      </c>
      <c r="I622" s="6" t="s">
        <v>69</v>
      </c>
      <c r="J622" s="2" t="s">
        <v>505</v>
      </c>
      <c r="K622" s="2" t="s">
        <v>506</v>
      </c>
      <c r="L622" s="2" t="s">
        <v>28</v>
      </c>
      <c r="M622" s="2" t="s">
        <v>5</v>
      </c>
      <c r="N622" s="4">
        <v>4801.54</v>
      </c>
    </row>
    <row r="623" spans="1:14" x14ac:dyDescent="0.25">
      <c r="A623" s="2" t="s">
        <v>446</v>
      </c>
      <c r="B623" s="2" t="s">
        <v>447</v>
      </c>
      <c r="C623" s="3">
        <v>80.040000000000006</v>
      </c>
      <c r="D623" s="4">
        <v>1067.7336</v>
      </c>
      <c r="E623" s="4">
        <v>760.38</v>
      </c>
      <c r="F623" s="4">
        <f t="shared" si="44"/>
        <v>307.35360000000003</v>
      </c>
      <c r="G623" s="5">
        <f t="shared" si="45"/>
        <v>0.28785607196401802</v>
      </c>
      <c r="H623" s="2" t="s">
        <v>510</v>
      </c>
      <c r="I623" s="6" t="s">
        <v>32</v>
      </c>
      <c r="J623" s="2" t="s">
        <v>511</v>
      </c>
      <c r="K623" s="2" t="s">
        <v>512</v>
      </c>
      <c r="L623" s="2" t="s">
        <v>28</v>
      </c>
      <c r="M623" s="2" t="s">
        <v>5</v>
      </c>
      <c r="N623" s="4">
        <v>8912.23</v>
      </c>
    </row>
    <row r="624" spans="1:14" x14ac:dyDescent="0.25">
      <c r="A624" s="2" t="s">
        <v>402</v>
      </c>
      <c r="B624" s="2" t="s">
        <v>403</v>
      </c>
      <c r="C624" s="3">
        <v>80.81</v>
      </c>
      <c r="D624" s="4">
        <v>759.61400000000003</v>
      </c>
      <c r="E624" s="4">
        <v>589.91300000000001</v>
      </c>
      <c r="F624" s="4">
        <f t="shared" si="44"/>
        <v>169.70100000000002</v>
      </c>
      <c r="G624" s="5">
        <f t="shared" si="45"/>
        <v>0.22340425531914895</v>
      </c>
      <c r="H624" s="2" t="s">
        <v>513</v>
      </c>
      <c r="I624" s="6" t="s">
        <v>69</v>
      </c>
      <c r="J624" s="2" t="s">
        <v>514</v>
      </c>
      <c r="K624" s="2" t="s">
        <v>515</v>
      </c>
      <c r="L624" s="2" t="s">
        <v>28</v>
      </c>
      <c r="M624" s="2" t="s">
        <v>5</v>
      </c>
      <c r="N624" s="4">
        <v>13218.91</v>
      </c>
    </row>
    <row r="625" spans="1:14" x14ac:dyDescent="0.25">
      <c r="A625" s="2" t="s">
        <v>402</v>
      </c>
      <c r="B625" s="2" t="s">
        <v>403</v>
      </c>
      <c r="C625" s="3">
        <v>58.54</v>
      </c>
      <c r="D625" s="4">
        <v>550.27599999999995</v>
      </c>
      <c r="E625" s="4">
        <v>427.34199999999998</v>
      </c>
      <c r="F625" s="4">
        <f t="shared" si="44"/>
        <v>122.93399999999997</v>
      </c>
      <c r="G625" s="5">
        <f t="shared" si="45"/>
        <v>0.2234042553191489</v>
      </c>
      <c r="H625" s="2" t="s">
        <v>507</v>
      </c>
      <c r="I625" s="6" t="s">
        <v>32</v>
      </c>
      <c r="J625" s="2" t="s">
        <v>508</v>
      </c>
      <c r="K625" s="2" t="s">
        <v>509</v>
      </c>
      <c r="L625" s="2" t="s">
        <v>28</v>
      </c>
      <c r="M625" s="2" t="s">
        <v>5</v>
      </c>
      <c r="N625" s="4">
        <v>6508.97</v>
      </c>
    </row>
    <row r="626" spans="1:14" x14ac:dyDescent="0.25">
      <c r="A626" s="2" t="s">
        <v>448</v>
      </c>
      <c r="B626" s="2" t="s">
        <v>449</v>
      </c>
      <c r="C626" s="3">
        <v>33.1</v>
      </c>
      <c r="D626" s="4">
        <v>309.48500000000001</v>
      </c>
      <c r="E626" s="4">
        <v>241.63</v>
      </c>
      <c r="F626" s="4">
        <f t="shared" si="44"/>
        <v>67.855000000000018</v>
      </c>
      <c r="G626" s="5">
        <f t="shared" si="45"/>
        <v>0.21925133689839577</v>
      </c>
      <c r="H626" s="2" t="s">
        <v>513</v>
      </c>
      <c r="I626" s="6" t="s">
        <v>69</v>
      </c>
      <c r="J626" s="2" t="s">
        <v>514</v>
      </c>
      <c r="K626" s="2" t="s">
        <v>515</v>
      </c>
      <c r="L626" s="2" t="s">
        <v>28</v>
      </c>
      <c r="M626" s="2" t="s">
        <v>5</v>
      </c>
      <c r="N626" s="4">
        <v>13218.91</v>
      </c>
    </row>
    <row r="627" spans="1:14" x14ac:dyDescent="0.25">
      <c r="A627" s="2" t="s">
        <v>448</v>
      </c>
      <c r="B627" s="2" t="s">
        <v>449</v>
      </c>
      <c r="C627" s="3">
        <v>27.58</v>
      </c>
      <c r="D627" s="4">
        <v>257.87299999999999</v>
      </c>
      <c r="E627" s="4">
        <v>201.334</v>
      </c>
      <c r="F627" s="4">
        <f t="shared" si="44"/>
        <v>56.538999999999987</v>
      </c>
      <c r="G627" s="5">
        <f t="shared" si="45"/>
        <v>0.21925133689839568</v>
      </c>
      <c r="H627" s="2" t="s">
        <v>507</v>
      </c>
      <c r="I627" s="6" t="s">
        <v>32</v>
      </c>
      <c r="J627" s="2" t="s">
        <v>508</v>
      </c>
      <c r="K627" s="2" t="s">
        <v>509</v>
      </c>
      <c r="L627" s="2" t="s">
        <v>28</v>
      </c>
      <c r="M627" s="2" t="s">
        <v>5</v>
      </c>
      <c r="N627" s="4">
        <v>6508.97</v>
      </c>
    </row>
    <row r="628" spans="1:14" x14ac:dyDescent="0.25">
      <c r="A628" s="2" t="s">
        <v>448</v>
      </c>
      <c r="B628" s="2" t="s">
        <v>449</v>
      </c>
      <c r="C628" s="3">
        <v>25.86</v>
      </c>
      <c r="D628" s="4">
        <v>241.791</v>
      </c>
      <c r="E628" s="4">
        <v>188.77799999999999</v>
      </c>
      <c r="F628" s="4">
        <f t="shared" si="44"/>
        <v>53.013000000000005</v>
      </c>
      <c r="G628" s="5">
        <f t="shared" si="45"/>
        <v>0.21925133689839574</v>
      </c>
      <c r="H628" s="2" t="s">
        <v>510</v>
      </c>
      <c r="I628" s="6" t="s">
        <v>32</v>
      </c>
      <c r="J628" s="2" t="s">
        <v>511</v>
      </c>
      <c r="K628" s="2" t="s">
        <v>512</v>
      </c>
      <c r="L628" s="2" t="s">
        <v>28</v>
      </c>
      <c r="M628" s="2" t="s">
        <v>5</v>
      </c>
      <c r="N628" s="4">
        <v>8912.23</v>
      </c>
    </row>
    <row r="629" spans="1:14" x14ac:dyDescent="0.25">
      <c r="A629" s="2" t="s">
        <v>448</v>
      </c>
      <c r="B629" s="2" t="s">
        <v>449</v>
      </c>
      <c r="C629" s="3">
        <v>29.4</v>
      </c>
      <c r="D629" s="4">
        <v>274.89</v>
      </c>
      <c r="E629" s="4">
        <v>214.62</v>
      </c>
      <c r="F629" s="4">
        <f t="shared" si="44"/>
        <v>60.269999999999982</v>
      </c>
      <c r="G629" s="5">
        <f t="shared" si="45"/>
        <v>0.21925133689839565</v>
      </c>
      <c r="H629" s="2" t="s">
        <v>504</v>
      </c>
      <c r="I629" s="6" t="s">
        <v>69</v>
      </c>
      <c r="J629" s="2" t="s">
        <v>505</v>
      </c>
      <c r="K629" s="2" t="s">
        <v>506</v>
      </c>
      <c r="L629" s="2" t="s">
        <v>28</v>
      </c>
      <c r="M629" s="2" t="s">
        <v>5</v>
      </c>
      <c r="N629" s="4">
        <v>4801.54</v>
      </c>
    </row>
    <row r="630" spans="1:14" x14ac:dyDescent="0.25">
      <c r="A630" s="2" t="s">
        <v>450</v>
      </c>
      <c r="B630" s="2" t="s">
        <v>451</v>
      </c>
      <c r="C630" s="3">
        <v>44.42</v>
      </c>
      <c r="D630" s="4">
        <v>441.09059999999999</v>
      </c>
      <c r="E630" s="4">
        <v>359.80200000000002</v>
      </c>
      <c r="F630" s="4">
        <f t="shared" si="44"/>
        <v>81.288599999999974</v>
      </c>
      <c r="G630" s="5">
        <f t="shared" si="45"/>
        <v>0.1842900302114803</v>
      </c>
      <c r="H630" s="2" t="s">
        <v>513</v>
      </c>
      <c r="I630" s="6" t="s">
        <v>69</v>
      </c>
      <c r="J630" s="2" t="s">
        <v>514</v>
      </c>
      <c r="K630" s="2" t="s">
        <v>515</v>
      </c>
      <c r="L630" s="2" t="s">
        <v>28</v>
      </c>
      <c r="M630" s="2" t="s">
        <v>5</v>
      </c>
      <c r="N630" s="4">
        <v>13218.91</v>
      </c>
    </row>
    <row r="631" spans="1:14" x14ac:dyDescent="0.25">
      <c r="A631" s="2" t="s">
        <v>408</v>
      </c>
      <c r="B631" s="2" t="s">
        <v>409</v>
      </c>
      <c r="C631" s="3">
        <v>80.125</v>
      </c>
      <c r="D631" s="4">
        <v>1410.2</v>
      </c>
      <c r="E631" s="4">
        <v>1101.71875</v>
      </c>
      <c r="F631" s="4">
        <f t="shared" si="44"/>
        <v>308.48125000000005</v>
      </c>
      <c r="G631" s="5">
        <f t="shared" si="45"/>
        <v>0.21875000000000003</v>
      </c>
      <c r="H631" s="2" t="s">
        <v>507</v>
      </c>
      <c r="I631" s="6" t="s">
        <v>32</v>
      </c>
      <c r="J631" s="2" t="s">
        <v>508</v>
      </c>
      <c r="K631" s="2" t="s">
        <v>509</v>
      </c>
      <c r="L631" s="2" t="s">
        <v>28</v>
      </c>
      <c r="M631" s="2" t="s">
        <v>5</v>
      </c>
      <c r="N631" s="4">
        <v>6508.97</v>
      </c>
    </row>
    <row r="632" spans="1:14" x14ac:dyDescent="0.25">
      <c r="A632" s="2" t="s">
        <v>408</v>
      </c>
      <c r="B632" s="2" t="s">
        <v>409</v>
      </c>
      <c r="C632" s="3">
        <v>86.855000000000004</v>
      </c>
      <c r="D632" s="4">
        <v>1528.6479999999999</v>
      </c>
      <c r="E632" s="4">
        <v>1194.2562499999999</v>
      </c>
      <c r="F632" s="4">
        <f t="shared" si="44"/>
        <v>334.39175</v>
      </c>
      <c r="G632" s="5">
        <f t="shared" si="45"/>
        <v>0.21875000000000003</v>
      </c>
      <c r="H632" s="2" t="s">
        <v>513</v>
      </c>
      <c r="I632" s="6" t="s">
        <v>69</v>
      </c>
      <c r="J632" s="2" t="s">
        <v>514</v>
      </c>
      <c r="K632" s="2" t="s">
        <v>515</v>
      </c>
      <c r="L632" s="2" t="s">
        <v>28</v>
      </c>
      <c r="M632" s="2" t="s">
        <v>5</v>
      </c>
      <c r="N632" s="4">
        <v>13218.91</v>
      </c>
    </row>
    <row r="633" spans="1:14" x14ac:dyDescent="0.25">
      <c r="A633" s="2" t="s">
        <v>408</v>
      </c>
      <c r="B633" s="2" t="s">
        <v>409</v>
      </c>
      <c r="C633" s="3">
        <v>74.28</v>
      </c>
      <c r="D633" s="4">
        <v>1307.328</v>
      </c>
      <c r="E633" s="4">
        <v>1021.35</v>
      </c>
      <c r="F633" s="4">
        <f t="shared" si="44"/>
        <v>285.97799999999995</v>
      </c>
      <c r="G633" s="5">
        <f t="shared" si="45"/>
        <v>0.21874999999999997</v>
      </c>
      <c r="H633" s="2" t="s">
        <v>504</v>
      </c>
      <c r="I633" s="6" t="s">
        <v>69</v>
      </c>
      <c r="J633" s="2" t="s">
        <v>505</v>
      </c>
      <c r="K633" s="2" t="s">
        <v>506</v>
      </c>
      <c r="L633" s="2" t="s">
        <v>28</v>
      </c>
      <c r="M633" s="2" t="s">
        <v>5</v>
      </c>
      <c r="N633" s="4">
        <v>4801.54</v>
      </c>
    </row>
    <row r="634" spans="1:14" x14ac:dyDescent="0.25">
      <c r="A634" s="2" t="s">
        <v>408</v>
      </c>
      <c r="B634" s="2" t="s">
        <v>409</v>
      </c>
      <c r="C634" s="3">
        <v>82.734999999999999</v>
      </c>
      <c r="D634" s="4">
        <v>1456.136</v>
      </c>
      <c r="E634" s="4">
        <v>1137.60625</v>
      </c>
      <c r="F634" s="4">
        <f t="shared" si="44"/>
        <v>318.52974999999992</v>
      </c>
      <c r="G634" s="5">
        <f t="shared" si="45"/>
        <v>0.21874999999999994</v>
      </c>
      <c r="H634" s="2" t="s">
        <v>510</v>
      </c>
      <c r="I634" s="6" t="s">
        <v>32</v>
      </c>
      <c r="J634" s="2" t="s">
        <v>511</v>
      </c>
      <c r="K634" s="2" t="s">
        <v>512</v>
      </c>
      <c r="L634" s="2" t="s">
        <v>28</v>
      </c>
      <c r="M634" s="2" t="s">
        <v>5</v>
      </c>
      <c r="N634" s="4">
        <v>8912.23</v>
      </c>
    </row>
    <row r="635" spans="1:14" x14ac:dyDescent="0.25">
      <c r="A635" s="2" t="s">
        <v>414</v>
      </c>
      <c r="B635" s="2" t="s">
        <v>415</v>
      </c>
      <c r="C635" s="3">
        <v>23.4</v>
      </c>
      <c r="D635" s="4">
        <v>282.67200000000003</v>
      </c>
      <c r="E635" s="4">
        <v>198.9</v>
      </c>
      <c r="F635" s="4">
        <f t="shared" si="44"/>
        <v>83.77200000000002</v>
      </c>
      <c r="G635" s="5">
        <f t="shared" si="45"/>
        <v>0.29635761589403981</v>
      </c>
      <c r="H635" s="2" t="s">
        <v>510</v>
      </c>
      <c r="I635" s="6" t="s">
        <v>32</v>
      </c>
      <c r="J635" s="2" t="s">
        <v>511</v>
      </c>
      <c r="K635" s="2" t="s">
        <v>512</v>
      </c>
      <c r="L635" s="2" t="s">
        <v>28</v>
      </c>
      <c r="M635" s="2" t="s">
        <v>5</v>
      </c>
      <c r="N635" s="4">
        <v>8912.23</v>
      </c>
    </row>
    <row r="636" spans="1:14" x14ac:dyDescent="0.25">
      <c r="A636" s="2" t="s">
        <v>414</v>
      </c>
      <c r="B636" s="2" t="s">
        <v>415</v>
      </c>
      <c r="C636" s="3">
        <v>22.3</v>
      </c>
      <c r="D636" s="4">
        <v>269.38400000000001</v>
      </c>
      <c r="E636" s="4">
        <v>189.55</v>
      </c>
      <c r="F636" s="4">
        <f t="shared" si="44"/>
        <v>79.834000000000003</v>
      </c>
      <c r="G636" s="5">
        <f t="shared" si="45"/>
        <v>0.29635761589403975</v>
      </c>
      <c r="H636" s="2" t="s">
        <v>507</v>
      </c>
      <c r="I636" s="6" t="s">
        <v>32</v>
      </c>
      <c r="J636" s="2" t="s">
        <v>508</v>
      </c>
      <c r="K636" s="2" t="s">
        <v>509</v>
      </c>
      <c r="L636" s="2" t="s">
        <v>28</v>
      </c>
      <c r="M636" s="2" t="s">
        <v>5</v>
      </c>
      <c r="N636" s="4">
        <v>6508.97</v>
      </c>
    </row>
    <row r="637" spans="1:14" x14ac:dyDescent="0.25">
      <c r="A637" s="2" t="s">
        <v>414</v>
      </c>
      <c r="B637" s="2" t="s">
        <v>415</v>
      </c>
      <c r="C637" s="3">
        <v>23.3</v>
      </c>
      <c r="D637" s="4">
        <v>281.464</v>
      </c>
      <c r="E637" s="4">
        <v>198.05</v>
      </c>
      <c r="F637" s="4">
        <f t="shared" si="44"/>
        <v>83.413999999999987</v>
      </c>
      <c r="G637" s="5">
        <f t="shared" si="45"/>
        <v>0.29635761589403969</v>
      </c>
      <c r="H637" s="2" t="s">
        <v>504</v>
      </c>
      <c r="I637" s="6" t="s">
        <v>69</v>
      </c>
      <c r="J637" s="2" t="s">
        <v>505</v>
      </c>
      <c r="K637" s="2" t="s">
        <v>506</v>
      </c>
      <c r="L637" s="2" t="s">
        <v>28</v>
      </c>
      <c r="M637" s="2" t="s">
        <v>5</v>
      </c>
      <c r="N637" s="4">
        <v>4801.54</v>
      </c>
    </row>
    <row r="638" spans="1:14" x14ac:dyDescent="0.25">
      <c r="A638" s="2" t="s">
        <v>414</v>
      </c>
      <c r="B638" s="2" t="s">
        <v>415</v>
      </c>
      <c r="C638" s="3">
        <v>24.7</v>
      </c>
      <c r="D638" s="4">
        <v>298.37599999999998</v>
      </c>
      <c r="E638" s="4">
        <v>209.95</v>
      </c>
      <c r="F638" s="4">
        <f t="shared" si="44"/>
        <v>88.425999999999988</v>
      </c>
      <c r="G638" s="5">
        <f t="shared" si="45"/>
        <v>0.29635761589403969</v>
      </c>
      <c r="H638" s="2" t="s">
        <v>513</v>
      </c>
      <c r="I638" s="6" t="s">
        <v>69</v>
      </c>
      <c r="J638" s="2" t="s">
        <v>514</v>
      </c>
      <c r="K638" s="2" t="s">
        <v>515</v>
      </c>
      <c r="L638" s="2" t="s">
        <v>28</v>
      </c>
      <c r="M638" s="2" t="s">
        <v>5</v>
      </c>
      <c r="N638" s="4">
        <v>13218.91</v>
      </c>
    </row>
    <row r="639" spans="1:14" x14ac:dyDescent="0.25">
      <c r="A639" s="2" t="s">
        <v>416</v>
      </c>
      <c r="B639" s="2" t="s">
        <v>417</v>
      </c>
      <c r="C639" s="3">
        <v>41.81</v>
      </c>
      <c r="D639" s="4">
        <v>390.92349999999999</v>
      </c>
      <c r="E639" s="4">
        <v>313.57499999999999</v>
      </c>
      <c r="F639" s="4">
        <f t="shared" si="44"/>
        <v>77.348500000000001</v>
      </c>
      <c r="G639" s="5">
        <f t="shared" si="45"/>
        <v>0.19786096256684493</v>
      </c>
      <c r="H639" s="2" t="s">
        <v>507</v>
      </c>
      <c r="I639" s="6" t="s">
        <v>32</v>
      </c>
      <c r="J639" s="2" t="s">
        <v>508</v>
      </c>
      <c r="K639" s="2" t="s">
        <v>509</v>
      </c>
      <c r="L639" s="2" t="s">
        <v>28</v>
      </c>
      <c r="M639" s="2" t="s">
        <v>5</v>
      </c>
      <c r="N639" s="4">
        <v>6508.97</v>
      </c>
    </row>
    <row r="640" spans="1:14" x14ac:dyDescent="0.25">
      <c r="A640" s="2" t="s">
        <v>416</v>
      </c>
      <c r="B640" s="2" t="s">
        <v>417</v>
      </c>
      <c r="C640" s="3">
        <v>14.01</v>
      </c>
      <c r="D640" s="4">
        <v>130.99350000000001</v>
      </c>
      <c r="E640" s="4">
        <v>105.075</v>
      </c>
      <c r="F640" s="4">
        <f t="shared" si="44"/>
        <v>25.918500000000009</v>
      </c>
      <c r="G640" s="5">
        <f t="shared" si="45"/>
        <v>0.19786096256684496</v>
      </c>
      <c r="H640" s="2" t="s">
        <v>510</v>
      </c>
      <c r="I640" s="6" t="s">
        <v>32</v>
      </c>
      <c r="J640" s="2" t="s">
        <v>511</v>
      </c>
      <c r="K640" s="2" t="s">
        <v>512</v>
      </c>
      <c r="L640" s="2" t="s">
        <v>28</v>
      </c>
      <c r="M640" s="2" t="s">
        <v>5</v>
      </c>
      <c r="N640" s="4">
        <v>8912.23</v>
      </c>
    </row>
    <row r="641" spans="1:14" x14ac:dyDescent="0.25">
      <c r="A641" s="2" t="s">
        <v>418</v>
      </c>
      <c r="B641" s="2" t="s">
        <v>419</v>
      </c>
      <c r="C641" s="3">
        <v>15.51</v>
      </c>
      <c r="D641" s="4">
        <v>145.01849999999999</v>
      </c>
      <c r="E641" s="4">
        <v>147.345</v>
      </c>
      <c r="F641" s="4">
        <f t="shared" si="44"/>
        <v>-2.32650000000001</v>
      </c>
      <c r="G641" s="5">
        <f t="shared" si="45"/>
        <v>-1.6042780748663173E-2</v>
      </c>
      <c r="H641" s="2" t="s">
        <v>507</v>
      </c>
      <c r="I641" s="6" t="s">
        <v>32</v>
      </c>
      <c r="J641" s="2" t="s">
        <v>508</v>
      </c>
      <c r="K641" s="2" t="s">
        <v>509</v>
      </c>
      <c r="L641" s="2" t="s">
        <v>28</v>
      </c>
      <c r="M641" s="2" t="s">
        <v>5</v>
      </c>
      <c r="N641" s="4">
        <v>6508.97</v>
      </c>
    </row>
    <row r="642" spans="1:14" x14ac:dyDescent="0.25">
      <c r="A642" s="2" t="s">
        <v>418</v>
      </c>
      <c r="B642" s="2" t="s">
        <v>419</v>
      </c>
      <c r="C642" s="3">
        <v>15.11</v>
      </c>
      <c r="D642" s="4">
        <v>141.27850000000001</v>
      </c>
      <c r="E642" s="4">
        <v>143.54499999999999</v>
      </c>
      <c r="F642" s="4">
        <f t="shared" si="44"/>
        <v>-2.2664999999999793</v>
      </c>
      <c r="G642" s="5">
        <f t="shared" si="45"/>
        <v>-1.6042780748662954E-2</v>
      </c>
      <c r="H642" s="2" t="s">
        <v>513</v>
      </c>
      <c r="I642" s="6" t="s">
        <v>69</v>
      </c>
      <c r="J642" s="2" t="s">
        <v>514</v>
      </c>
      <c r="K642" s="2" t="s">
        <v>515</v>
      </c>
      <c r="L642" s="2" t="s">
        <v>28</v>
      </c>
      <c r="M642" s="2" t="s">
        <v>5</v>
      </c>
      <c r="N642" s="4">
        <v>13218.91</v>
      </c>
    </row>
    <row r="643" spans="1:14" x14ac:dyDescent="0.25">
      <c r="A643" s="2" t="s">
        <v>418</v>
      </c>
      <c r="B643" s="2" t="s">
        <v>419</v>
      </c>
      <c r="C643" s="3">
        <v>14.395</v>
      </c>
      <c r="D643" s="4">
        <v>134.59325000000001</v>
      </c>
      <c r="E643" s="4">
        <v>136.7525</v>
      </c>
      <c r="F643" s="4">
        <f t="shared" ref="F643:F674" si="46">D643-E643</f>
        <v>-2.1592499999999859</v>
      </c>
      <c r="G643" s="5">
        <f t="shared" si="45"/>
        <v>-1.6042780748662996E-2</v>
      </c>
      <c r="H643" s="2" t="s">
        <v>510</v>
      </c>
      <c r="I643" s="6" t="s">
        <v>32</v>
      </c>
      <c r="J643" s="2" t="s">
        <v>511</v>
      </c>
      <c r="K643" s="2" t="s">
        <v>512</v>
      </c>
      <c r="L643" s="2" t="s">
        <v>28</v>
      </c>
      <c r="M643" s="2" t="s">
        <v>5</v>
      </c>
      <c r="N643" s="4">
        <v>8912.23</v>
      </c>
    </row>
    <row r="645" spans="1:14" x14ac:dyDescent="0.25">
      <c r="A645" s="13" t="s">
        <v>59</v>
      </c>
      <c r="B645" s="21"/>
      <c r="C645" s="22">
        <f>SUM(C576:C644)</f>
        <v>2953.1750000000011</v>
      </c>
      <c r="D645" s="23">
        <f>SUM(D576:D644)</f>
        <v>33441.641300000003</v>
      </c>
      <c r="E645" s="23">
        <f>SUM(E576:E644)</f>
        <v>24586.478299999995</v>
      </c>
      <c r="F645" s="23">
        <f>D645-E645</f>
        <v>8855.1630000000077</v>
      </c>
      <c r="G645" s="24">
        <f>IF(((D645)=0),0,(D645-E645)/ D645)</f>
        <v>0.26479450935322385</v>
      </c>
      <c r="H645" s="21"/>
      <c r="I645" s="21"/>
      <c r="J645" s="21"/>
      <c r="K645" s="21"/>
      <c r="L645" s="21"/>
      <c r="M645" s="21"/>
      <c r="N645" s="21"/>
    </row>
    <row r="647" spans="1:14" s="17" customFormat="1" ht="18.75" x14ac:dyDescent="0.3"/>
    <row r="648" spans="1:14" s="7" customFormat="1" x14ac:dyDescent="0.25">
      <c r="A648" s="13" t="s">
        <v>516</v>
      </c>
      <c r="B648" s="18" t="s">
        <v>517</v>
      </c>
      <c r="C648" s="19"/>
      <c r="D648" s="20" t="s">
        <v>5</v>
      </c>
      <c r="E648" s="19"/>
      <c r="F648" s="19"/>
      <c r="G648" s="19"/>
      <c r="H648" s="19"/>
      <c r="I648" s="19"/>
      <c r="J648" s="19"/>
      <c r="K648" s="19"/>
      <c r="L648" s="19"/>
      <c r="M648" s="19"/>
      <c r="N648" s="19"/>
    </row>
    <row r="650" spans="1:14" x14ac:dyDescent="0.25">
      <c r="A650" s="2" t="s">
        <v>246</v>
      </c>
      <c r="B650" s="2" t="s">
        <v>247</v>
      </c>
      <c r="C650" s="3">
        <v>20.074999999999999</v>
      </c>
      <c r="D650" s="4">
        <v>461.72500000000002</v>
      </c>
      <c r="E650" s="4">
        <v>326.21875</v>
      </c>
      <c r="F650" s="4">
        <f>D650-E650</f>
        <v>135.50625000000002</v>
      </c>
      <c r="G650" s="5">
        <f>IF(((D650)=0),0,(D650-E650)/ D650)</f>
        <v>0.29347826086956524</v>
      </c>
      <c r="H650" s="2" t="s">
        <v>518</v>
      </c>
      <c r="I650" s="6" t="s">
        <v>25</v>
      </c>
      <c r="J650" s="2" t="s">
        <v>519</v>
      </c>
      <c r="K650" s="2" t="s">
        <v>5</v>
      </c>
      <c r="L650" s="2" t="s">
        <v>28</v>
      </c>
      <c r="M650" s="2" t="s">
        <v>5</v>
      </c>
      <c r="N650" s="4">
        <v>461.73</v>
      </c>
    </row>
    <row r="652" spans="1:14" x14ac:dyDescent="0.25">
      <c r="A652" s="13" t="s">
        <v>59</v>
      </c>
      <c r="B652" s="21"/>
      <c r="C652" s="22">
        <f>SUM(C647:C651)</f>
        <v>20.074999999999999</v>
      </c>
      <c r="D652" s="23">
        <f>SUM(D647:D651)</f>
        <v>461.72500000000002</v>
      </c>
      <c r="E652" s="23">
        <f>SUM(E647:E651)</f>
        <v>326.21875</v>
      </c>
      <c r="F652" s="23">
        <f>D652-E652</f>
        <v>135.50625000000002</v>
      </c>
      <c r="G652" s="24">
        <f>IF(((D652)=0),0,(D652-E652)/ D652)</f>
        <v>0.29347826086956524</v>
      </c>
      <c r="H652" s="21"/>
      <c r="I652" s="21"/>
      <c r="J652" s="21"/>
      <c r="K652" s="21"/>
      <c r="L652" s="21"/>
      <c r="M652" s="21"/>
      <c r="N652" s="21"/>
    </row>
    <row r="654" spans="1:14" s="17" customFormat="1" ht="18.75" x14ac:dyDescent="0.3"/>
    <row r="655" spans="1:14" s="7" customFormat="1" x14ac:dyDescent="0.25">
      <c r="A655" s="13" t="s">
        <v>520</v>
      </c>
      <c r="B655" s="18" t="s">
        <v>521</v>
      </c>
      <c r="C655" s="19"/>
      <c r="D655" s="20" t="s">
        <v>5</v>
      </c>
      <c r="E655" s="19"/>
      <c r="F655" s="19"/>
      <c r="G655" s="19"/>
      <c r="H655" s="19"/>
      <c r="I655" s="19"/>
      <c r="J655" s="19"/>
      <c r="K655" s="19"/>
      <c r="L655" s="19"/>
      <c r="M655" s="19"/>
      <c r="N655" s="19"/>
    </row>
    <row r="657" spans="1:14" x14ac:dyDescent="0.25">
      <c r="A657" s="2" t="s">
        <v>22</v>
      </c>
      <c r="B657" s="2" t="s">
        <v>23</v>
      </c>
      <c r="C657" s="3">
        <v>6.16</v>
      </c>
      <c r="D657" s="4">
        <v>94.371200000000002</v>
      </c>
      <c r="E657" s="4">
        <v>67.760000000000005</v>
      </c>
      <c r="F657" s="4">
        <f>D657-E657</f>
        <v>26.611199999999997</v>
      </c>
      <c r="G657" s="5">
        <f>IF(((D657)=0),0,(D657-E657)/ D657)</f>
        <v>0.28198433420365532</v>
      </c>
      <c r="H657" s="2" t="s">
        <v>522</v>
      </c>
      <c r="I657" s="6" t="s">
        <v>69</v>
      </c>
      <c r="J657" s="2" t="s">
        <v>523</v>
      </c>
      <c r="K657" s="2" t="s">
        <v>5</v>
      </c>
      <c r="L657" s="2" t="s">
        <v>28</v>
      </c>
      <c r="M657" s="2" t="s">
        <v>5</v>
      </c>
      <c r="N657" s="4">
        <v>184.44</v>
      </c>
    </row>
    <row r="658" spans="1:14" x14ac:dyDescent="0.25">
      <c r="A658" s="2" t="s">
        <v>524</v>
      </c>
      <c r="B658" s="2" t="s">
        <v>525</v>
      </c>
      <c r="C658" s="3">
        <v>6.86</v>
      </c>
      <c r="D658" s="4">
        <v>90.071799999999996</v>
      </c>
      <c r="E658" s="4">
        <v>46.648000000000003</v>
      </c>
      <c r="F658" s="4">
        <f>D658-E658</f>
        <v>43.423799999999993</v>
      </c>
      <c r="G658" s="5">
        <f>IF(((D658)=0),0,(D658-E658)/ D658)</f>
        <v>0.48210205635948206</v>
      </c>
      <c r="H658" s="2" t="s">
        <v>522</v>
      </c>
      <c r="I658" s="6" t="s">
        <v>69</v>
      </c>
      <c r="J658" s="2" t="s">
        <v>523</v>
      </c>
      <c r="K658" s="2" t="s">
        <v>5</v>
      </c>
      <c r="L658" s="2" t="s">
        <v>28</v>
      </c>
      <c r="M658" s="2" t="s">
        <v>5</v>
      </c>
      <c r="N658" s="4">
        <v>184.44</v>
      </c>
    </row>
    <row r="660" spans="1:14" x14ac:dyDescent="0.25">
      <c r="A660" s="13" t="s">
        <v>59</v>
      </c>
      <c r="B660" s="21"/>
      <c r="C660" s="22">
        <f>SUM(C654:C659)</f>
        <v>13.02</v>
      </c>
      <c r="D660" s="23">
        <f>SUM(D654:D659)</f>
        <v>184.44299999999998</v>
      </c>
      <c r="E660" s="23">
        <f>SUM(E654:E659)</f>
        <v>114.40800000000002</v>
      </c>
      <c r="F660" s="23">
        <f>D660-E660</f>
        <v>70.034999999999968</v>
      </c>
      <c r="G660" s="24">
        <f>IF(((D660)=0),0,(D660-E660)/ D660)</f>
        <v>0.37971080496413512</v>
      </c>
      <c r="H660" s="21"/>
      <c r="I660" s="21"/>
      <c r="J660" s="21"/>
      <c r="K660" s="21"/>
      <c r="L660" s="21"/>
      <c r="M660" s="21"/>
      <c r="N660" s="21"/>
    </row>
    <row r="662" spans="1:14" s="17" customFormat="1" ht="18.75" x14ac:dyDescent="0.3"/>
    <row r="663" spans="1:14" s="7" customFormat="1" x14ac:dyDescent="0.25">
      <c r="A663" s="13" t="s">
        <v>526</v>
      </c>
      <c r="B663" s="18" t="s">
        <v>527</v>
      </c>
      <c r="C663" s="19"/>
      <c r="D663" s="20" t="s">
        <v>5</v>
      </c>
      <c r="E663" s="19"/>
      <c r="F663" s="19"/>
      <c r="G663" s="19"/>
      <c r="H663" s="19"/>
      <c r="I663" s="19"/>
      <c r="J663" s="19"/>
      <c r="K663" s="19"/>
      <c r="L663" s="19"/>
      <c r="M663" s="19"/>
      <c r="N663" s="19"/>
    </row>
    <row r="665" spans="1:14" x14ac:dyDescent="0.25">
      <c r="A665" s="2" t="s">
        <v>528</v>
      </c>
      <c r="B665" s="2" t="s">
        <v>529</v>
      </c>
      <c r="C665" s="3">
        <v>4</v>
      </c>
      <c r="D665" s="4">
        <v>380</v>
      </c>
      <c r="E665" s="4">
        <v>27.6</v>
      </c>
      <c r="F665" s="4">
        <f t="shared" ref="F665:F674" si="47">D665-E665</f>
        <v>352.4</v>
      </c>
      <c r="G665" s="5">
        <f t="shared" ref="G665:G674" si="48">IF(((D665)=0),0,(D665-E665)/ D665)</f>
        <v>0.92736842105263151</v>
      </c>
      <c r="H665" s="2" t="s">
        <v>530</v>
      </c>
      <c r="I665" s="6" t="s">
        <v>69</v>
      </c>
      <c r="J665" s="2" t="s">
        <v>531</v>
      </c>
      <c r="K665" s="2" t="s">
        <v>5</v>
      </c>
      <c r="L665" s="2" t="s">
        <v>28</v>
      </c>
      <c r="M665" s="2" t="s">
        <v>5</v>
      </c>
      <c r="N665" s="4">
        <v>980.89</v>
      </c>
    </row>
    <row r="666" spans="1:14" x14ac:dyDescent="0.25">
      <c r="A666" s="2" t="s">
        <v>532</v>
      </c>
      <c r="B666" s="2" t="s">
        <v>533</v>
      </c>
      <c r="C666" s="3">
        <v>42.274999999999999</v>
      </c>
      <c r="D666" s="4">
        <v>594.80925000000002</v>
      </c>
      <c r="E666" s="4">
        <v>291.69749999999999</v>
      </c>
      <c r="F666" s="4">
        <f t="shared" si="47"/>
        <v>303.11175000000003</v>
      </c>
      <c r="G666" s="5">
        <f t="shared" si="48"/>
        <v>0.50959488272921116</v>
      </c>
      <c r="H666" s="2" t="s">
        <v>534</v>
      </c>
      <c r="I666" s="6" t="s">
        <v>32</v>
      </c>
      <c r="J666" s="2" t="s">
        <v>535</v>
      </c>
      <c r="K666" s="2" t="s">
        <v>5</v>
      </c>
      <c r="L666" s="2" t="s">
        <v>28</v>
      </c>
      <c r="M666" s="2" t="s">
        <v>5</v>
      </c>
      <c r="N666" s="4">
        <v>5122.3</v>
      </c>
    </row>
    <row r="667" spans="1:14" x14ac:dyDescent="0.25">
      <c r="A667" s="2" t="s">
        <v>536</v>
      </c>
      <c r="B667" s="2" t="s">
        <v>537</v>
      </c>
      <c r="C667" s="3">
        <v>15.01</v>
      </c>
      <c r="D667" s="4">
        <v>233.40549999999999</v>
      </c>
      <c r="E667" s="4">
        <v>112.575</v>
      </c>
      <c r="F667" s="4">
        <f t="shared" si="47"/>
        <v>120.83049999999999</v>
      </c>
      <c r="G667" s="5">
        <f t="shared" si="48"/>
        <v>0.51768488745980701</v>
      </c>
      <c r="H667" s="2" t="s">
        <v>534</v>
      </c>
      <c r="I667" s="6" t="s">
        <v>32</v>
      </c>
      <c r="J667" s="2" t="s">
        <v>535</v>
      </c>
      <c r="K667" s="2" t="s">
        <v>5</v>
      </c>
      <c r="L667" s="2" t="s">
        <v>28</v>
      </c>
      <c r="M667" s="2" t="s">
        <v>5</v>
      </c>
      <c r="N667" s="4">
        <v>5122.3</v>
      </c>
    </row>
    <row r="668" spans="1:14" x14ac:dyDescent="0.25">
      <c r="A668" s="2" t="s">
        <v>538</v>
      </c>
      <c r="B668" s="2" t="s">
        <v>539</v>
      </c>
      <c r="C668" s="3">
        <v>16.47</v>
      </c>
      <c r="D668" s="4">
        <v>79.055999999999997</v>
      </c>
      <c r="E668" s="4">
        <v>41.174999999999997</v>
      </c>
      <c r="F668" s="4">
        <f t="shared" si="47"/>
        <v>37.881</v>
      </c>
      <c r="G668" s="5">
        <f t="shared" si="48"/>
        <v>0.47916666666666669</v>
      </c>
      <c r="H668" s="2" t="s">
        <v>534</v>
      </c>
      <c r="I668" s="6" t="s">
        <v>32</v>
      </c>
      <c r="J668" s="2" t="s">
        <v>535</v>
      </c>
      <c r="K668" s="2" t="s">
        <v>5</v>
      </c>
      <c r="L668" s="2" t="s">
        <v>28</v>
      </c>
      <c r="M668" s="2" t="s">
        <v>5</v>
      </c>
      <c r="N668" s="4">
        <v>5122.3</v>
      </c>
    </row>
    <row r="669" spans="1:14" x14ac:dyDescent="0.25">
      <c r="A669" s="2" t="s">
        <v>540</v>
      </c>
      <c r="B669" s="2" t="s">
        <v>541</v>
      </c>
      <c r="C669" s="3">
        <v>12.585000000000001</v>
      </c>
      <c r="D669" s="4">
        <v>576.39300000000003</v>
      </c>
      <c r="E669" s="4">
        <v>352.38</v>
      </c>
      <c r="F669" s="4">
        <f t="shared" si="47"/>
        <v>224.01300000000003</v>
      </c>
      <c r="G669" s="5">
        <f t="shared" si="48"/>
        <v>0.388646288209607</v>
      </c>
      <c r="H669" s="2" t="s">
        <v>534</v>
      </c>
      <c r="I669" s="6" t="s">
        <v>32</v>
      </c>
      <c r="J669" s="2" t="s">
        <v>535</v>
      </c>
      <c r="K669" s="2" t="s">
        <v>5</v>
      </c>
      <c r="L669" s="2" t="s">
        <v>28</v>
      </c>
      <c r="M669" s="2" t="s">
        <v>5</v>
      </c>
      <c r="N669" s="4">
        <v>5122.3</v>
      </c>
    </row>
    <row r="670" spans="1:14" x14ac:dyDescent="0.25">
      <c r="A670" s="2" t="s">
        <v>542</v>
      </c>
      <c r="B670" s="2" t="s">
        <v>543</v>
      </c>
      <c r="C670" s="3">
        <v>8</v>
      </c>
      <c r="D670" s="4">
        <v>115.2</v>
      </c>
      <c r="E670" s="4">
        <v>80</v>
      </c>
      <c r="F670" s="4">
        <f t="shared" si="47"/>
        <v>35.200000000000003</v>
      </c>
      <c r="G670" s="5">
        <f t="shared" si="48"/>
        <v>0.30555555555555558</v>
      </c>
      <c r="H670" s="2" t="s">
        <v>534</v>
      </c>
      <c r="I670" s="6" t="s">
        <v>32</v>
      </c>
      <c r="J670" s="2" t="s">
        <v>535</v>
      </c>
      <c r="K670" s="2" t="s">
        <v>5</v>
      </c>
      <c r="L670" s="2" t="s">
        <v>28</v>
      </c>
      <c r="M670" s="2" t="s">
        <v>5</v>
      </c>
      <c r="N670" s="4">
        <v>5122.3</v>
      </c>
    </row>
    <row r="671" spans="1:14" x14ac:dyDescent="0.25">
      <c r="A671" s="2" t="s">
        <v>544</v>
      </c>
      <c r="B671" s="2" t="s">
        <v>545</v>
      </c>
      <c r="C671" s="3">
        <v>29.87</v>
      </c>
      <c r="D671" s="4">
        <v>1304.4229</v>
      </c>
      <c r="E671" s="4">
        <v>925.97</v>
      </c>
      <c r="F671" s="4">
        <f t="shared" si="47"/>
        <v>378.4529</v>
      </c>
      <c r="G671" s="5">
        <f t="shared" si="48"/>
        <v>0.29013052438745135</v>
      </c>
      <c r="H671" s="2" t="s">
        <v>534</v>
      </c>
      <c r="I671" s="6" t="s">
        <v>32</v>
      </c>
      <c r="J671" s="2" t="s">
        <v>535</v>
      </c>
      <c r="K671" s="2" t="s">
        <v>5</v>
      </c>
      <c r="L671" s="2" t="s">
        <v>28</v>
      </c>
      <c r="M671" s="2" t="s">
        <v>5</v>
      </c>
      <c r="N671" s="4">
        <v>5122.3</v>
      </c>
    </row>
    <row r="672" spans="1:14" x14ac:dyDescent="0.25">
      <c r="A672" s="2" t="s">
        <v>546</v>
      </c>
      <c r="B672" s="2" t="s">
        <v>547</v>
      </c>
      <c r="C672" s="3">
        <v>66.349999999999994</v>
      </c>
      <c r="D672" s="4">
        <v>1662.731</v>
      </c>
      <c r="E672" s="4">
        <v>962.07500000000005</v>
      </c>
      <c r="F672" s="4">
        <f t="shared" si="47"/>
        <v>700.65599999999995</v>
      </c>
      <c r="G672" s="5">
        <f t="shared" si="48"/>
        <v>0.42138866719872303</v>
      </c>
      <c r="H672" s="2" t="s">
        <v>534</v>
      </c>
      <c r="I672" s="6" t="s">
        <v>32</v>
      </c>
      <c r="J672" s="2" t="s">
        <v>535</v>
      </c>
      <c r="K672" s="2" t="s">
        <v>5</v>
      </c>
      <c r="L672" s="2" t="s">
        <v>28</v>
      </c>
      <c r="M672" s="2" t="s">
        <v>5</v>
      </c>
      <c r="N672" s="4">
        <v>5122.3</v>
      </c>
    </row>
    <row r="673" spans="1:14" x14ac:dyDescent="0.25">
      <c r="A673" s="2" t="s">
        <v>548</v>
      </c>
      <c r="B673" s="2" t="s">
        <v>549</v>
      </c>
      <c r="C673" s="3">
        <v>15.1</v>
      </c>
      <c r="D673" s="4">
        <v>556.28399999999999</v>
      </c>
      <c r="E673" s="4">
        <v>369.95</v>
      </c>
      <c r="F673" s="4">
        <f t="shared" si="47"/>
        <v>186.334</v>
      </c>
      <c r="G673" s="5">
        <f t="shared" si="48"/>
        <v>0.33496199782844738</v>
      </c>
      <c r="H673" s="2" t="s">
        <v>534</v>
      </c>
      <c r="I673" s="6" t="s">
        <v>32</v>
      </c>
      <c r="J673" s="2" t="s">
        <v>535</v>
      </c>
      <c r="K673" s="2" t="s">
        <v>5</v>
      </c>
      <c r="L673" s="2" t="s">
        <v>28</v>
      </c>
      <c r="M673" s="2" t="s">
        <v>5</v>
      </c>
      <c r="N673" s="4">
        <v>5122.3</v>
      </c>
    </row>
    <row r="674" spans="1:14" x14ac:dyDescent="0.25">
      <c r="A674" s="2" t="s">
        <v>550</v>
      </c>
      <c r="B674" s="2" t="s">
        <v>551</v>
      </c>
      <c r="C674" s="3">
        <v>19.100000000000001</v>
      </c>
      <c r="D674" s="4">
        <v>600.88599999999997</v>
      </c>
      <c r="E674" s="4">
        <v>448.85</v>
      </c>
      <c r="F674" s="4">
        <f t="shared" si="47"/>
        <v>152.03599999999994</v>
      </c>
      <c r="G674" s="5">
        <f t="shared" si="48"/>
        <v>0.25301970756516201</v>
      </c>
      <c r="H674" s="2" t="s">
        <v>530</v>
      </c>
      <c r="I674" s="6" t="s">
        <v>69</v>
      </c>
      <c r="J674" s="2" t="s">
        <v>531</v>
      </c>
      <c r="K674" s="2" t="s">
        <v>5</v>
      </c>
      <c r="L674" s="2" t="s">
        <v>28</v>
      </c>
      <c r="M674" s="2" t="s">
        <v>5</v>
      </c>
      <c r="N674" s="4">
        <v>980.89</v>
      </c>
    </row>
    <row r="676" spans="1:14" x14ac:dyDescent="0.25">
      <c r="A676" s="13" t="s">
        <v>59</v>
      </c>
      <c r="B676" s="21"/>
      <c r="C676" s="22">
        <f>SUM(C662:C675)</f>
        <v>228.76</v>
      </c>
      <c r="D676" s="23">
        <f>SUM(D662:D675)</f>
        <v>6103.1876499999998</v>
      </c>
      <c r="E676" s="23">
        <f>SUM(E662:E675)</f>
        <v>3612.2724999999996</v>
      </c>
      <c r="F676" s="23">
        <f>D676-E676</f>
        <v>2490.9151500000003</v>
      </c>
      <c r="G676" s="24">
        <f>IF(((D676)=0),0,(D676-E676)/ D676)</f>
        <v>0.4081334694010269</v>
      </c>
      <c r="H676" s="21"/>
      <c r="I676" s="21"/>
      <c r="J676" s="21"/>
      <c r="K676" s="21"/>
      <c r="L676" s="21"/>
      <c r="M676" s="21"/>
      <c r="N676" s="21"/>
    </row>
    <row r="678" spans="1:14" s="17" customFormat="1" ht="18.75" x14ac:dyDescent="0.3"/>
    <row r="679" spans="1:14" s="7" customFormat="1" x14ac:dyDescent="0.25">
      <c r="A679" s="13" t="s">
        <v>552</v>
      </c>
      <c r="B679" s="18" t="s">
        <v>553</v>
      </c>
      <c r="C679" s="19"/>
      <c r="D679" s="20" t="s">
        <v>5</v>
      </c>
      <c r="E679" s="19"/>
      <c r="F679" s="19"/>
      <c r="G679" s="19"/>
      <c r="H679" s="19"/>
      <c r="I679" s="19"/>
      <c r="J679" s="19"/>
      <c r="K679" s="19"/>
      <c r="L679" s="19"/>
      <c r="M679" s="19"/>
      <c r="N679" s="19"/>
    </row>
    <row r="681" spans="1:14" x14ac:dyDescent="0.25">
      <c r="A681" s="2" t="s">
        <v>29</v>
      </c>
      <c r="B681" s="2" t="s">
        <v>30</v>
      </c>
      <c r="C681" s="3">
        <v>4.0540000000000003</v>
      </c>
      <c r="D681" s="4">
        <v>62.107280000000003</v>
      </c>
      <c r="E681" s="4">
        <v>40.54</v>
      </c>
      <c r="F681" s="4">
        <f t="shared" ref="F681:F690" si="49">D681-E681</f>
        <v>21.567280000000004</v>
      </c>
      <c r="G681" s="5">
        <f t="shared" ref="G681:G690" si="50">IF(((D681)=0),0,(D681-E681)/ D681)</f>
        <v>0.34725848563968675</v>
      </c>
      <c r="H681" s="2" t="s">
        <v>554</v>
      </c>
      <c r="I681" s="6" t="s">
        <v>39</v>
      </c>
      <c r="J681" s="2" t="s">
        <v>555</v>
      </c>
      <c r="K681" s="2" t="s">
        <v>5</v>
      </c>
      <c r="L681" s="2" t="s">
        <v>28</v>
      </c>
      <c r="M681" s="2" t="s">
        <v>5</v>
      </c>
      <c r="N681" s="4">
        <v>2406.5300000000002</v>
      </c>
    </row>
    <row r="682" spans="1:14" x14ac:dyDescent="0.25">
      <c r="A682" s="2" t="s">
        <v>556</v>
      </c>
      <c r="B682" s="2" t="s">
        <v>557</v>
      </c>
      <c r="C682" s="3">
        <v>30.49</v>
      </c>
      <c r="D682" s="4">
        <v>533.87990000000002</v>
      </c>
      <c r="E682" s="4">
        <v>282.03250000000003</v>
      </c>
      <c r="F682" s="4">
        <f t="shared" si="49"/>
        <v>251.84739999999999</v>
      </c>
      <c r="G682" s="5">
        <f t="shared" si="50"/>
        <v>0.47173043974871498</v>
      </c>
      <c r="H682" s="2" t="s">
        <v>554</v>
      </c>
      <c r="I682" s="6" t="s">
        <v>39</v>
      </c>
      <c r="J682" s="2" t="s">
        <v>555</v>
      </c>
      <c r="K682" s="2" t="s">
        <v>5</v>
      </c>
      <c r="L682" s="2" t="s">
        <v>28</v>
      </c>
      <c r="M682" s="2" t="s">
        <v>5</v>
      </c>
      <c r="N682" s="4">
        <v>2406.5300000000002</v>
      </c>
    </row>
    <row r="683" spans="1:14" x14ac:dyDescent="0.25">
      <c r="A683" s="2" t="s">
        <v>556</v>
      </c>
      <c r="B683" s="2" t="s">
        <v>557</v>
      </c>
      <c r="C683" s="3">
        <v>33.869999999999997</v>
      </c>
      <c r="D683" s="4">
        <v>593.06370000000004</v>
      </c>
      <c r="E683" s="4">
        <v>313.29750000000001</v>
      </c>
      <c r="F683" s="4">
        <f t="shared" si="49"/>
        <v>279.76620000000003</v>
      </c>
      <c r="G683" s="5">
        <f t="shared" si="50"/>
        <v>0.47173043974871504</v>
      </c>
      <c r="H683" s="2" t="s">
        <v>558</v>
      </c>
      <c r="I683" s="6" t="s">
        <v>32</v>
      </c>
      <c r="J683" s="2" t="s">
        <v>559</v>
      </c>
      <c r="K683" s="2" t="s">
        <v>5</v>
      </c>
      <c r="L683" s="2" t="s">
        <v>28</v>
      </c>
      <c r="M683" s="2" t="s">
        <v>5</v>
      </c>
      <c r="N683" s="4">
        <v>1054.0899999999999</v>
      </c>
    </row>
    <row r="684" spans="1:14" x14ac:dyDescent="0.25">
      <c r="A684" s="2" t="s">
        <v>211</v>
      </c>
      <c r="B684" s="2" t="s">
        <v>212</v>
      </c>
      <c r="C684" s="3">
        <v>5.14</v>
      </c>
      <c r="D684" s="4">
        <v>25.802800000000001</v>
      </c>
      <c r="E684" s="4">
        <v>12.85</v>
      </c>
      <c r="F684" s="4">
        <f t="shared" si="49"/>
        <v>12.952800000000002</v>
      </c>
      <c r="G684" s="5">
        <f t="shared" si="50"/>
        <v>0.50199203187250996</v>
      </c>
      <c r="H684" s="2" t="s">
        <v>558</v>
      </c>
      <c r="I684" s="6" t="s">
        <v>32</v>
      </c>
      <c r="J684" s="2" t="s">
        <v>559</v>
      </c>
      <c r="K684" s="2" t="s">
        <v>5</v>
      </c>
      <c r="L684" s="2" t="s">
        <v>28</v>
      </c>
      <c r="M684" s="2" t="s">
        <v>5</v>
      </c>
      <c r="N684" s="4">
        <v>1054.0899999999999</v>
      </c>
    </row>
    <row r="685" spans="1:14" x14ac:dyDescent="0.25">
      <c r="A685" s="2" t="s">
        <v>134</v>
      </c>
      <c r="B685" s="2" t="s">
        <v>135</v>
      </c>
      <c r="C685" s="3">
        <v>3.512</v>
      </c>
      <c r="D685" s="4">
        <v>44.532159999999998</v>
      </c>
      <c r="E685" s="4">
        <v>24.935199999999998</v>
      </c>
      <c r="F685" s="4">
        <f t="shared" si="49"/>
        <v>19.596959999999999</v>
      </c>
      <c r="G685" s="5">
        <f t="shared" si="50"/>
        <v>0.44006309148264983</v>
      </c>
      <c r="H685" s="2" t="s">
        <v>554</v>
      </c>
      <c r="I685" s="6" t="s">
        <v>39</v>
      </c>
      <c r="J685" s="2" t="s">
        <v>555</v>
      </c>
      <c r="K685" s="2" t="s">
        <v>5</v>
      </c>
      <c r="L685" s="2" t="s">
        <v>28</v>
      </c>
      <c r="M685" s="2" t="s">
        <v>5</v>
      </c>
      <c r="N685" s="4">
        <v>2406.5300000000002</v>
      </c>
    </row>
    <row r="686" spans="1:14" x14ac:dyDescent="0.25">
      <c r="A686" s="2" t="s">
        <v>560</v>
      </c>
      <c r="B686" s="2" t="s">
        <v>561</v>
      </c>
      <c r="C686" s="3">
        <v>15.89</v>
      </c>
      <c r="D686" s="4">
        <v>435.22710000000001</v>
      </c>
      <c r="E686" s="4">
        <v>227.227</v>
      </c>
      <c r="F686" s="4">
        <f t="shared" si="49"/>
        <v>208.0001</v>
      </c>
      <c r="G686" s="5">
        <f t="shared" si="50"/>
        <v>0.47791164658634538</v>
      </c>
      <c r="H686" s="2" t="s">
        <v>558</v>
      </c>
      <c r="I686" s="6" t="s">
        <v>32</v>
      </c>
      <c r="J686" s="2" t="s">
        <v>559</v>
      </c>
      <c r="K686" s="2" t="s">
        <v>5</v>
      </c>
      <c r="L686" s="2" t="s">
        <v>28</v>
      </c>
      <c r="M686" s="2" t="s">
        <v>5</v>
      </c>
      <c r="N686" s="4">
        <v>1054.0899999999999</v>
      </c>
    </row>
    <row r="687" spans="1:14" x14ac:dyDescent="0.25">
      <c r="A687" s="2" t="s">
        <v>560</v>
      </c>
      <c r="B687" s="2" t="s">
        <v>561</v>
      </c>
      <c r="C687" s="3">
        <v>10.412000000000001</v>
      </c>
      <c r="D687" s="4">
        <v>285.18468000000001</v>
      </c>
      <c r="E687" s="4">
        <v>148.89160000000001</v>
      </c>
      <c r="F687" s="4">
        <f t="shared" si="49"/>
        <v>136.29308</v>
      </c>
      <c r="G687" s="5">
        <f t="shared" si="50"/>
        <v>0.47791164658634538</v>
      </c>
      <c r="H687" s="2" t="s">
        <v>554</v>
      </c>
      <c r="I687" s="6" t="s">
        <v>39</v>
      </c>
      <c r="J687" s="2" t="s">
        <v>555</v>
      </c>
      <c r="K687" s="2" t="s">
        <v>5</v>
      </c>
      <c r="L687" s="2" t="s">
        <v>28</v>
      </c>
      <c r="M687" s="2" t="s">
        <v>5</v>
      </c>
      <c r="N687" s="4">
        <v>2406.5300000000002</v>
      </c>
    </row>
    <row r="688" spans="1:14" x14ac:dyDescent="0.25">
      <c r="A688" s="2" t="s">
        <v>340</v>
      </c>
      <c r="B688" s="2" t="s">
        <v>341</v>
      </c>
      <c r="C688" s="3">
        <v>12.29</v>
      </c>
      <c r="D688" s="4">
        <v>579.47349999999994</v>
      </c>
      <c r="E688" s="4">
        <v>215.07499999999999</v>
      </c>
      <c r="F688" s="4">
        <f t="shared" si="49"/>
        <v>364.39849999999996</v>
      </c>
      <c r="G688" s="5">
        <f t="shared" si="50"/>
        <v>0.62884411452810174</v>
      </c>
      <c r="H688" s="2" t="s">
        <v>554</v>
      </c>
      <c r="I688" s="6" t="s">
        <v>39</v>
      </c>
      <c r="J688" s="2" t="s">
        <v>555</v>
      </c>
      <c r="K688" s="2" t="s">
        <v>5</v>
      </c>
      <c r="L688" s="2" t="s">
        <v>28</v>
      </c>
      <c r="M688" s="2" t="s">
        <v>5</v>
      </c>
      <c r="N688" s="4">
        <v>2406.5300000000002</v>
      </c>
    </row>
    <row r="689" spans="1:14" x14ac:dyDescent="0.25">
      <c r="A689" s="2" t="s">
        <v>250</v>
      </c>
      <c r="B689" s="2" t="s">
        <v>251</v>
      </c>
      <c r="C689" s="3">
        <v>22.3</v>
      </c>
      <c r="D689" s="4">
        <v>330.48599999999999</v>
      </c>
      <c r="E689" s="4">
        <v>189.55</v>
      </c>
      <c r="F689" s="4">
        <f t="shared" si="49"/>
        <v>140.93599999999998</v>
      </c>
      <c r="G689" s="5">
        <f t="shared" si="50"/>
        <v>0.4264507422402159</v>
      </c>
      <c r="H689" s="2" t="s">
        <v>554</v>
      </c>
      <c r="I689" s="6" t="s">
        <v>39</v>
      </c>
      <c r="J689" s="2" t="s">
        <v>555</v>
      </c>
      <c r="K689" s="2" t="s">
        <v>5</v>
      </c>
      <c r="L689" s="2" t="s">
        <v>28</v>
      </c>
      <c r="M689" s="2" t="s">
        <v>5</v>
      </c>
      <c r="N689" s="4">
        <v>2406.5300000000002</v>
      </c>
    </row>
    <row r="690" spans="1:14" x14ac:dyDescent="0.25">
      <c r="A690" s="2" t="s">
        <v>562</v>
      </c>
      <c r="B690" s="2" t="s">
        <v>563</v>
      </c>
      <c r="C690" s="3">
        <v>16.8</v>
      </c>
      <c r="D690" s="4">
        <v>570.86400000000003</v>
      </c>
      <c r="E690" s="4">
        <v>369.6</v>
      </c>
      <c r="F690" s="4">
        <f t="shared" si="49"/>
        <v>201.26400000000001</v>
      </c>
      <c r="G690" s="5">
        <f t="shared" si="50"/>
        <v>0.35256032960565037</v>
      </c>
      <c r="H690" s="2" t="s">
        <v>554</v>
      </c>
      <c r="I690" s="6" t="s">
        <v>39</v>
      </c>
      <c r="J690" s="2" t="s">
        <v>555</v>
      </c>
      <c r="K690" s="2" t="s">
        <v>5</v>
      </c>
      <c r="L690" s="2" t="s">
        <v>28</v>
      </c>
      <c r="M690" s="2" t="s">
        <v>5</v>
      </c>
      <c r="N690" s="4">
        <v>2406.5300000000002</v>
      </c>
    </row>
    <row r="692" spans="1:14" x14ac:dyDescent="0.25">
      <c r="A692" s="13" t="s">
        <v>59</v>
      </c>
      <c r="B692" s="21"/>
      <c r="C692" s="22">
        <f>SUM(C678:C691)</f>
        <v>154.75800000000001</v>
      </c>
      <c r="D692" s="23">
        <f>SUM(D678:D691)</f>
        <v>3460.6211200000002</v>
      </c>
      <c r="E692" s="23">
        <f>SUM(E678:E691)</f>
        <v>1823.9988000000003</v>
      </c>
      <c r="F692" s="23">
        <f>D692-E692</f>
        <v>1636.6223199999999</v>
      </c>
      <c r="G692" s="24">
        <f>IF(((D692)=0),0,(D692-E692)/ D692)</f>
        <v>0.47292733392322356</v>
      </c>
      <c r="H692" s="21"/>
      <c r="I692" s="21"/>
      <c r="J692" s="21"/>
      <c r="K692" s="21"/>
      <c r="L692" s="21"/>
      <c r="M692" s="21"/>
      <c r="N692" s="21"/>
    </row>
    <row r="694" spans="1:14" s="17" customFormat="1" ht="18.75" x14ac:dyDescent="0.3"/>
    <row r="695" spans="1:14" s="7" customFormat="1" x14ac:dyDescent="0.25">
      <c r="A695" s="13" t="s">
        <v>564</v>
      </c>
      <c r="B695" s="18" t="s">
        <v>565</v>
      </c>
      <c r="C695" s="19"/>
      <c r="D695" s="20" t="s">
        <v>5</v>
      </c>
      <c r="E695" s="19"/>
      <c r="F695" s="19"/>
      <c r="G695" s="19"/>
      <c r="H695" s="19"/>
      <c r="I695" s="19"/>
      <c r="J695" s="19"/>
      <c r="K695" s="19"/>
      <c r="L695" s="19"/>
      <c r="M695" s="19"/>
      <c r="N695" s="19"/>
    </row>
    <row r="697" spans="1:14" x14ac:dyDescent="0.25">
      <c r="A697" s="2" t="s">
        <v>566</v>
      </c>
      <c r="B697" s="2" t="s">
        <v>567</v>
      </c>
      <c r="C697" s="3">
        <v>6.1349999999999998</v>
      </c>
      <c r="D697" s="4">
        <v>102.82259999999999</v>
      </c>
      <c r="E697" s="4">
        <v>69.938999999999993</v>
      </c>
      <c r="F697" s="4">
        <f t="shared" ref="F697:F719" si="51">D697-E697</f>
        <v>32.883600000000001</v>
      </c>
      <c r="G697" s="5">
        <f t="shared" ref="G697:G719" si="52">IF(((D697)=0),0,(D697-E697)/ D697)</f>
        <v>0.31980906921241053</v>
      </c>
      <c r="H697" s="2" t="s">
        <v>568</v>
      </c>
      <c r="I697" s="6" t="s">
        <v>32</v>
      </c>
      <c r="J697" s="2" t="s">
        <v>569</v>
      </c>
      <c r="K697" s="2" t="s">
        <v>5</v>
      </c>
      <c r="L697" s="2" t="s">
        <v>28</v>
      </c>
      <c r="M697" s="2" t="s">
        <v>5</v>
      </c>
      <c r="N697" s="4">
        <v>1631.53</v>
      </c>
    </row>
    <row r="698" spans="1:14" x14ac:dyDescent="0.25">
      <c r="A698" s="2" t="s">
        <v>566</v>
      </c>
      <c r="B698" s="2" t="s">
        <v>567</v>
      </c>
      <c r="C698" s="3">
        <v>10.105</v>
      </c>
      <c r="D698" s="4">
        <v>169.35980000000001</v>
      </c>
      <c r="E698" s="4">
        <v>115.197</v>
      </c>
      <c r="F698" s="4">
        <f t="shared" si="51"/>
        <v>54.162800000000004</v>
      </c>
      <c r="G698" s="5">
        <f t="shared" si="52"/>
        <v>0.31980906921241053</v>
      </c>
      <c r="H698" s="2" t="s">
        <v>570</v>
      </c>
      <c r="I698" s="6" t="s">
        <v>39</v>
      </c>
      <c r="J698" s="2" t="s">
        <v>571</v>
      </c>
      <c r="K698" s="2" t="s">
        <v>572</v>
      </c>
      <c r="L698" s="2" t="s">
        <v>28</v>
      </c>
      <c r="M698" s="2" t="s">
        <v>5</v>
      </c>
      <c r="N698" s="4">
        <v>3249.72</v>
      </c>
    </row>
    <row r="699" spans="1:14" x14ac:dyDescent="0.25">
      <c r="A699" s="2" t="s">
        <v>22</v>
      </c>
      <c r="B699" s="2" t="s">
        <v>23</v>
      </c>
      <c r="C699" s="3">
        <v>20.94</v>
      </c>
      <c r="D699" s="4">
        <v>307.81799999999998</v>
      </c>
      <c r="E699" s="4">
        <v>230.34</v>
      </c>
      <c r="F699" s="4">
        <f t="shared" si="51"/>
        <v>77.47799999999998</v>
      </c>
      <c r="G699" s="5">
        <f t="shared" si="52"/>
        <v>0.25170068027210879</v>
      </c>
      <c r="H699" s="2" t="s">
        <v>568</v>
      </c>
      <c r="I699" s="6" t="s">
        <v>32</v>
      </c>
      <c r="J699" s="2" t="s">
        <v>569</v>
      </c>
      <c r="K699" s="2" t="s">
        <v>5</v>
      </c>
      <c r="L699" s="2" t="s">
        <v>28</v>
      </c>
      <c r="M699" s="2" t="s">
        <v>5</v>
      </c>
      <c r="N699" s="4">
        <v>1631.53</v>
      </c>
    </row>
    <row r="700" spans="1:14" x14ac:dyDescent="0.25">
      <c r="A700" s="2" t="s">
        <v>22</v>
      </c>
      <c r="B700" s="2" t="s">
        <v>23</v>
      </c>
      <c r="C700" s="3">
        <v>42.55</v>
      </c>
      <c r="D700" s="4">
        <v>625.48500000000001</v>
      </c>
      <c r="E700" s="4">
        <v>468.05</v>
      </c>
      <c r="F700" s="4">
        <f t="shared" si="51"/>
        <v>157.435</v>
      </c>
      <c r="G700" s="5">
        <f t="shared" si="52"/>
        <v>0.25170068027210885</v>
      </c>
      <c r="H700" s="2" t="s">
        <v>570</v>
      </c>
      <c r="I700" s="6" t="s">
        <v>39</v>
      </c>
      <c r="J700" s="2" t="s">
        <v>571</v>
      </c>
      <c r="K700" s="2" t="s">
        <v>572</v>
      </c>
      <c r="L700" s="2" t="s">
        <v>28</v>
      </c>
      <c r="M700" s="2" t="s">
        <v>5</v>
      </c>
      <c r="N700" s="4">
        <v>3249.72</v>
      </c>
    </row>
    <row r="701" spans="1:14" x14ac:dyDescent="0.25">
      <c r="A701" s="2" t="s">
        <v>29</v>
      </c>
      <c r="B701" s="2" t="s">
        <v>30</v>
      </c>
      <c r="C701" s="3">
        <v>2</v>
      </c>
      <c r="D701" s="4">
        <v>29.32</v>
      </c>
      <c r="E701" s="4">
        <v>20</v>
      </c>
      <c r="F701" s="4">
        <f t="shared" si="51"/>
        <v>9.32</v>
      </c>
      <c r="G701" s="5">
        <f t="shared" si="52"/>
        <v>0.31787175989085947</v>
      </c>
      <c r="H701" s="2" t="s">
        <v>570</v>
      </c>
      <c r="I701" s="6" t="s">
        <v>39</v>
      </c>
      <c r="J701" s="2" t="s">
        <v>571</v>
      </c>
      <c r="K701" s="2" t="s">
        <v>572</v>
      </c>
      <c r="L701" s="2" t="s">
        <v>28</v>
      </c>
      <c r="M701" s="2" t="s">
        <v>5</v>
      </c>
      <c r="N701" s="4">
        <v>3249.72</v>
      </c>
    </row>
    <row r="702" spans="1:14" x14ac:dyDescent="0.25">
      <c r="A702" s="2" t="s">
        <v>29</v>
      </c>
      <c r="B702" s="2" t="s">
        <v>30</v>
      </c>
      <c r="C702" s="3">
        <v>15.11</v>
      </c>
      <c r="D702" s="4">
        <v>221.51259999999999</v>
      </c>
      <c r="E702" s="4">
        <v>151.1</v>
      </c>
      <c r="F702" s="4">
        <f t="shared" si="51"/>
        <v>70.412599999999998</v>
      </c>
      <c r="G702" s="5">
        <f t="shared" si="52"/>
        <v>0.31787175989085947</v>
      </c>
      <c r="H702" s="2" t="s">
        <v>568</v>
      </c>
      <c r="I702" s="6" t="s">
        <v>32</v>
      </c>
      <c r="J702" s="2" t="s">
        <v>569</v>
      </c>
      <c r="K702" s="2" t="s">
        <v>5</v>
      </c>
      <c r="L702" s="2" t="s">
        <v>28</v>
      </c>
      <c r="M702" s="2" t="s">
        <v>5</v>
      </c>
      <c r="N702" s="4">
        <v>1631.53</v>
      </c>
    </row>
    <row r="703" spans="1:14" x14ac:dyDescent="0.25">
      <c r="A703" s="2" t="s">
        <v>29</v>
      </c>
      <c r="B703" s="2" t="s">
        <v>30</v>
      </c>
      <c r="C703" s="3">
        <v>6.19</v>
      </c>
      <c r="D703" s="4">
        <v>90.745400000000004</v>
      </c>
      <c r="E703" s="4">
        <v>61.9</v>
      </c>
      <c r="F703" s="4">
        <f t="shared" si="51"/>
        <v>28.845400000000005</v>
      </c>
      <c r="G703" s="5">
        <f t="shared" si="52"/>
        <v>0.31787175989085953</v>
      </c>
      <c r="H703" s="2" t="s">
        <v>573</v>
      </c>
      <c r="I703" s="6" t="s">
        <v>74</v>
      </c>
      <c r="J703" s="2" t="s">
        <v>574</v>
      </c>
      <c r="K703" s="2" t="s">
        <v>572</v>
      </c>
      <c r="L703" s="2" t="s">
        <v>28</v>
      </c>
      <c r="M703" s="2" t="s">
        <v>5</v>
      </c>
      <c r="N703" s="4">
        <v>923.32</v>
      </c>
    </row>
    <row r="704" spans="1:14" x14ac:dyDescent="0.25">
      <c r="A704" s="2" t="s">
        <v>575</v>
      </c>
      <c r="B704" s="2" t="s">
        <v>576</v>
      </c>
      <c r="C704" s="3">
        <v>12.43</v>
      </c>
      <c r="D704" s="4">
        <v>252.45330000000001</v>
      </c>
      <c r="E704" s="4">
        <v>127.4075</v>
      </c>
      <c r="F704" s="4">
        <f t="shared" si="51"/>
        <v>125.04580000000001</v>
      </c>
      <c r="G704" s="5">
        <f t="shared" si="52"/>
        <v>0.49532250123092075</v>
      </c>
      <c r="H704" s="2" t="s">
        <v>573</v>
      </c>
      <c r="I704" s="6" t="s">
        <v>74</v>
      </c>
      <c r="J704" s="2" t="s">
        <v>574</v>
      </c>
      <c r="K704" s="2" t="s">
        <v>572</v>
      </c>
      <c r="L704" s="2" t="s">
        <v>28</v>
      </c>
      <c r="M704" s="2" t="s">
        <v>5</v>
      </c>
      <c r="N704" s="4">
        <v>923.32</v>
      </c>
    </row>
    <row r="705" spans="1:14" x14ac:dyDescent="0.25">
      <c r="A705" s="2" t="s">
        <v>150</v>
      </c>
      <c r="B705" s="2" t="s">
        <v>151</v>
      </c>
      <c r="C705" s="3">
        <v>20.172000000000001</v>
      </c>
      <c r="D705" s="4">
        <v>326.38296000000003</v>
      </c>
      <c r="E705" s="4">
        <v>197.68559999999999</v>
      </c>
      <c r="F705" s="4">
        <f t="shared" si="51"/>
        <v>128.69736000000003</v>
      </c>
      <c r="G705" s="5">
        <f t="shared" si="52"/>
        <v>0.39431396786155753</v>
      </c>
      <c r="H705" s="2" t="s">
        <v>570</v>
      </c>
      <c r="I705" s="6" t="s">
        <v>39</v>
      </c>
      <c r="J705" s="2" t="s">
        <v>571</v>
      </c>
      <c r="K705" s="2" t="s">
        <v>572</v>
      </c>
      <c r="L705" s="2" t="s">
        <v>28</v>
      </c>
      <c r="M705" s="2" t="s">
        <v>5</v>
      </c>
      <c r="N705" s="4">
        <v>3249.72</v>
      </c>
    </row>
    <row r="706" spans="1:14" x14ac:dyDescent="0.25">
      <c r="A706" s="2" t="s">
        <v>152</v>
      </c>
      <c r="B706" s="2" t="s">
        <v>153</v>
      </c>
      <c r="C706" s="3">
        <v>6.7</v>
      </c>
      <c r="D706" s="4">
        <v>105.25700000000001</v>
      </c>
      <c r="E706" s="4">
        <v>46.23</v>
      </c>
      <c r="F706" s="4">
        <f t="shared" si="51"/>
        <v>59.027000000000008</v>
      </c>
      <c r="G706" s="5">
        <f t="shared" si="52"/>
        <v>0.56078930617441125</v>
      </c>
      <c r="H706" s="2" t="s">
        <v>570</v>
      </c>
      <c r="I706" s="6" t="s">
        <v>39</v>
      </c>
      <c r="J706" s="2" t="s">
        <v>571</v>
      </c>
      <c r="K706" s="2" t="s">
        <v>572</v>
      </c>
      <c r="L706" s="2" t="s">
        <v>28</v>
      </c>
      <c r="M706" s="2" t="s">
        <v>5</v>
      </c>
      <c r="N706" s="4">
        <v>3249.72</v>
      </c>
    </row>
    <row r="707" spans="1:14" x14ac:dyDescent="0.25">
      <c r="A707" s="2" t="s">
        <v>577</v>
      </c>
      <c r="B707" s="2" t="s">
        <v>578</v>
      </c>
      <c r="C707" s="3">
        <v>20</v>
      </c>
      <c r="D707" s="4">
        <v>207</v>
      </c>
      <c r="E707" s="4">
        <v>122</v>
      </c>
      <c r="F707" s="4">
        <f t="shared" si="51"/>
        <v>85</v>
      </c>
      <c r="G707" s="5">
        <f t="shared" si="52"/>
        <v>0.41062801932367149</v>
      </c>
      <c r="H707" s="2" t="s">
        <v>568</v>
      </c>
      <c r="I707" s="6" t="s">
        <v>32</v>
      </c>
      <c r="J707" s="2" t="s">
        <v>569</v>
      </c>
      <c r="K707" s="2" t="s">
        <v>5</v>
      </c>
      <c r="L707" s="2" t="s">
        <v>28</v>
      </c>
      <c r="M707" s="2" t="s">
        <v>5</v>
      </c>
      <c r="N707" s="4">
        <v>1631.53</v>
      </c>
    </row>
    <row r="708" spans="1:14" x14ac:dyDescent="0.25">
      <c r="A708" s="2" t="s">
        <v>579</v>
      </c>
      <c r="B708" s="2" t="s">
        <v>580</v>
      </c>
      <c r="C708" s="3">
        <v>3.972</v>
      </c>
      <c r="D708" s="4">
        <v>74.514719999999997</v>
      </c>
      <c r="E708" s="4">
        <v>36.939599999999999</v>
      </c>
      <c r="F708" s="4">
        <f t="shared" si="51"/>
        <v>37.575119999999998</v>
      </c>
      <c r="G708" s="5">
        <f t="shared" si="52"/>
        <v>0.50426439232409381</v>
      </c>
      <c r="H708" s="2" t="s">
        <v>573</v>
      </c>
      <c r="I708" s="6" t="s">
        <v>74</v>
      </c>
      <c r="J708" s="2" t="s">
        <v>574</v>
      </c>
      <c r="K708" s="2" t="s">
        <v>572</v>
      </c>
      <c r="L708" s="2" t="s">
        <v>28</v>
      </c>
      <c r="M708" s="2" t="s">
        <v>5</v>
      </c>
      <c r="N708" s="4">
        <v>923.32</v>
      </c>
    </row>
    <row r="709" spans="1:14" x14ac:dyDescent="0.25">
      <c r="A709" s="2" t="s">
        <v>51</v>
      </c>
      <c r="B709" s="2" t="s">
        <v>52</v>
      </c>
      <c r="C709" s="3">
        <v>22.74</v>
      </c>
      <c r="D709" s="4">
        <v>405.90899999999999</v>
      </c>
      <c r="E709" s="4">
        <v>375.21</v>
      </c>
      <c r="F709" s="4">
        <f t="shared" si="51"/>
        <v>30.699000000000012</v>
      </c>
      <c r="G709" s="5">
        <f t="shared" si="52"/>
        <v>7.5630252100840373E-2</v>
      </c>
      <c r="H709" s="2" t="s">
        <v>570</v>
      </c>
      <c r="I709" s="6" t="s">
        <v>39</v>
      </c>
      <c r="J709" s="2" t="s">
        <v>571</v>
      </c>
      <c r="K709" s="2" t="s">
        <v>572</v>
      </c>
      <c r="L709" s="2" t="s">
        <v>28</v>
      </c>
      <c r="M709" s="2" t="s">
        <v>5</v>
      </c>
      <c r="N709" s="4">
        <v>3249.72</v>
      </c>
    </row>
    <row r="710" spans="1:14" x14ac:dyDescent="0.25">
      <c r="A710" s="2" t="s">
        <v>581</v>
      </c>
      <c r="B710" s="2" t="s">
        <v>582</v>
      </c>
      <c r="C710" s="3">
        <v>22.25</v>
      </c>
      <c r="D710" s="4">
        <v>326.185</v>
      </c>
      <c r="E710" s="4">
        <v>193.57499999999999</v>
      </c>
      <c r="F710" s="4">
        <f t="shared" si="51"/>
        <v>132.61000000000001</v>
      </c>
      <c r="G710" s="5">
        <f t="shared" si="52"/>
        <v>0.40654843110504779</v>
      </c>
      <c r="H710" s="2" t="s">
        <v>568</v>
      </c>
      <c r="I710" s="6" t="s">
        <v>32</v>
      </c>
      <c r="J710" s="2" t="s">
        <v>569</v>
      </c>
      <c r="K710" s="2" t="s">
        <v>5</v>
      </c>
      <c r="L710" s="2" t="s">
        <v>28</v>
      </c>
      <c r="M710" s="2" t="s">
        <v>5</v>
      </c>
      <c r="N710" s="4">
        <v>1631.53</v>
      </c>
    </row>
    <row r="711" spans="1:14" x14ac:dyDescent="0.25">
      <c r="A711" s="2" t="s">
        <v>53</v>
      </c>
      <c r="B711" s="2" t="s">
        <v>54</v>
      </c>
      <c r="C711" s="3">
        <v>14.81</v>
      </c>
      <c r="D711" s="4">
        <v>171.05549999999999</v>
      </c>
      <c r="E711" s="4">
        <v>108.113</v>
      </c>
      <c r="F711" s="4">
        <f t="shared" si="51"/>
        <v>62.942499999999995</v>
      </c>
      <c r="G711" s="5">
        <f t="shared" si="52"/>
        <v>0.36796536796536794</v>
      </c>
      <c r="H711" s="2" t="s">
        <v>573</v>
      </c>
      <c r="I711" s="6" t="s">
        <v>74</v>
      </c>
      <c r="J711" s="2" t="s">
        <v>574</v>
      </c>
      <c r="K711" s="2" t="s">
        <v>572</v>
      </c>
      <c r="L711" s="2" t="s">
        <v>28</v>
      </c>
      <c r="M711" s="2" t="s">
        <v>5</v>
      </c>
      <c r="N711" s="4">
        <v>923.32</v>
      </c>
    </row>
    <row r="712" spans="1:14" x14ac:dyDescent="0.25">
      <c r="A712" s="2" t="s">
        <v>583</v>
      </c>
      <c r="B712" s="2" t="s">
        <v>584</v>
      </c>
      <c r="C712" s="3">
        <v>24.603999999999999</v>
      </c>
      <c r="D712" s="4">
        <v>324.77280000000002</v>
      </c>
      <c r="E712" s="4">
        <v>184.53</v>
      </c>
      <c r="F712" s="4">
        <f t="shared" si="51"/>
        <v>140.24280000000002</v>
      </c>
      <c r="G712" s="5">
        <f t="shared" si="52"/>
        <v>0.43181818181818182</v>
      </c>
      <c r="H712" s="2" t="s">
        <v>568</v>
      </c>
      <c r="I712" s="6" t="s">
        <v>32</v>
      </c>
      <c r="J712" s="2" t="s">
        <v>569</v>
      </c>
      <c r="K712" s="2" t="s">
        <v>5</v>
      </c>
      <c r="L712" s="2" t="s">
        <v>28</v>
      </c>
      <c r="M712" s="2" t="s">
        <v>5</v>
      </c>
      <c r="N712" s="4">
        <v>1631.53</v>
      </c>
    </row>
    <row r="713" spans="1:14" x14ac:dyDescent="0.25">
      <c r="A713" s="2" t="s">
        <v>585</v>
      </c>
      <c r="B713" s="2" t="s">
        <v>586</v>
      </c>
      <c r="C713" s="3">
        <v>15.872</v>
      </c>
      <c r="D713" s="4">
        <v>296.64767999999998</v>
      </c>
      <c r="E713" s="4">
        <v>242.048</v>
      </c>
      <c r="F713" s="4">
        <f t="shared" si="51"/>
        <v>54.599679999999978</v>
      </c>
      <c r="G713" s="5">
        <f t="shared" si="52"/>
        <v>0.18405564472980196</v>
      </c>
      <c r="H713" s="2" t="s">
        <v>570</v>
      </c>
      <c r="I713" s="6" t="s">
        <v>39</v>
      </c>
      <c r="J713" s="2" t="s">
        <v>571</v>
      </c>
      <c r="K713" s="2" t="s">
        <v>572</v>
      </c>
      <c r="L713" s="2" t="s">
        <v>28</v>
      </c>
      <c r="M713" s="2" t="s">
        <v>5</v>
      </c>
      <c r="N713" s="4">
        <v>3249.72</v>
      </c>
    </row>
    <row r="714" spans="1:14" x14ac:dyDescent="0.25">
      <c r="A714" s="2" t="s">
        <v>587</v>
      </c>
      <c r="B714" s="2" t="s">
        <v>588</v>
      </c>
      <c r="C714" s="3">
        <v>12.35</v>
      </c>
      <c r="D714" s="4">
        <v>317.88900000000001</v>
      </c>
      <c r="E714" s="4">
        <v>172.9</v>
      </c>
      <c r="F714" s="4">
        <f t="shared" si="51"/>
        <v>144.989</v>
      </c>
      <c r="G714" s="5">
        <f t="shared" si="52"/>
        <v>0.45609945609945612</v>
      </c>
      <c r="H714" s="2" t="s">
        <v>570</v>
      </c>
      <c r="I714" s="6" t="s">
        <v>39</v>
      </c>
      <c r="J714" s="2" t="s">
        <v>571</v>
      </c>
      <c r="K714" s="2" t="s">
        <v>572</v>
      </c>
      <c r="L714" s="2" t="s">
        <v>28</v>
      </c>
      <c r="M714" s="2" t="s">
        <v>5</v>
      </c>
      <c r="N714" s="4">
        <v>3249.72</v>
      </c>
    </row>
    <row r="715" spans="1:14" x14ac:dyDescent="0.25">
      <c r="A715" s="2" t="s">
        <v>589</v>
      </c>
      <c r="B715" s="2" t="s">
        <v>590</v>
      </c>
      <c r="C715" s="3">
        <v>23.9</v>
      </c>
      <c r="D715" s="4">
        <v>500.94400000000002</v>
      </c>
      <c r="E715" s="4">
        <v>328.625</v>
      </c>
      <c r="F715" s="4">
        <f t="shared" si="51"/>
        <v>172.31900000000002</v>
      </c>
      <c r="G715" s="5">
        <f t="shared" si="52"/>
        <v>0.34398854961832065</v>
      </c>
      <c r="H715" s="2" t="s">
        <v>570</v>
      </c>
      <c r="I715" s="6" t="s">
        <v>39</v>
      </c>
      <c r="J715" s="2" t="s">
        <v>571</v>
      </c>
      <c r="K715" s="2" t="s">
        <v>572</v>
      </c>
      <c r="L715" s="2" t="s">
        <v>28</v>
      </c>
      <c r="M715" s="2" t="s">
        <v>5</v>
      </c>
      <c r="N715" s="4">
        <v>3249.72</v>
      </c>
    </row>
    <row r="716" spans="1:14" x14ac:dyDescent="0.25">
      <c r="A716" s="2" t="s">
        <v>250</v>
      </c>
      <c r="B716" s="2" t="s">
        <v>251</v>
      </c>
      <c r="C716" s="3">
        <v>23.3</v>
      </c>
      <c r="D716" s="4">
        <v>330.86</v>
      </c>
      <c r="E716" s="4">
        <v>198.05</v>
      </c>
      <c r="F716" s="4">
        <f t="shared" si="51"/>
        <v>132.81</v>
      </c>
      <c r="G716" s="5">
        <f t="shared" si="52"/>
        <v>0.40140845070422532</v>
      </c>
      <c r="H716" s="2" t="s">
        <v>570</v>
      </c>
      <c r="I716" s="6" t="s">
        <v>39</v>
      </c>
      <c r="J716" s="2" t="s">
        <v>571</v>
      </c>
      <c r="K716" s="2" t="s">
        <v>572</v>
      </c>
      <c r="L716" s="2" t="s">
        <v>28</v>
      </c>
      <c r="M716" s="2" t="s">
        <v>5</v>
      </c>
      <c r="N716" s="4">
        <v>3249.72</v>
      </c>
    </row>
    <row r="717" spans="1:14" x14ac:dyDescent="0.25">
      <c r="A717" s="2" t="s">
        <v>591</v>
      </c>
      <c r="B717" s="2" t="s">
        <v>592</v>
      </c>
      <c r="C717" s="3">
        <v>14.17</v>
      </c>
      <c r="D717" s="4">
        <v>141.41659999999999</v>
      </c>
      <c r="E717" s="4">
        <v>82.186000000000007</v>
      </c>
      <c r="F717" s="4">
        <f t="shared" si="51"/>
        <v>59.230599999999981</v>
      </c>
      <c r="G717" s="5">
        <f t="shared" si="52"/>
        <v>0.41883767535070132</v>
      </c>
      <c r="H717" s="2" t="s">
        <v>568</v>
      </c>
      <c r="I717" s="6" t="s">
        <v>32</v>
      </c>
      <c r="J717" s="2" t="s">
        <v>569</v>
      </c>
      <c r="K717" s="2" t="s">
        <v>5</v>
      </c>
      <c r="L717" s="2" t="s">
        <v>28</v>
      </c>
      <c r="M717" s="2" t="s">
        <v>5</v>
      </c>
      <c r="N717" s="4">
        <v>1631.53</v>
      </c>
    </row>
    <row r="718" spans="1:14" x14ac:dyDescent="0.25">
      <c r="A718" s="2" t="s">
        <v>593</v>
      </c>
      <c r="B718" s="2" t="s">
        <v>594</v>
      </c>
      <c r="C718" s="3">
        <v>14.195</v>
      </c>
      <c r="D718" s="4">
        <v>141.6661</v>
      </c>
      <c r="E718" s="4">
        <v>82.331000000000003</v>
      </c>
      <c r="F718" s="4">
        <f t="shared" si="51"/>
        <v>59.335099999999997</v>
      </c>
      <c r="G718" s="5">
        <f t="shared" si="52"/>
        <v>0.41883767535070138</v>
      </c>
      <c r="H718" s="2" t="s">
        <v>570</v>
      </c>
      <c r="I718" s="6" t="s">
        <v>39</v>
      </c>
      <c r="J718" s="2" t="s">
        <v>571</v>
      </c>
      <c r="K718" s="2" t="s">
        <v>572</v>
      </c>
      <c r="L718" s="2" t="s">
        <v>28</v>
      </c>
      <c r="M718" s="2" t="s">
        <v>5</v>
      </c>
      <c r="N718" s="4">
        <v>3249.72</v>
      </c>
    </row>
    <row r="719" spans="1:14" x14ac:dyDescent="0.25">
      <c r="A719" s="2" t="s">
        <v>595</v>
      </c>
      <c r="B719" s="2" t="s">
        <v>596</v>
      </c>
      <c r="C719" s="3">
        <v>14.11</v>
      </c>
      <c r="D719" s="4">
        <v>334.54809999999998</v>
      </c>
      <c r="E719" s="4">
        <v>210.94450000000001</v>
      </c>
      <c r="F719" s="4">
        <f t="shared" si="51"/>
        <v>123.60359999999997</v>
      </c>
      <c r="G719" s="5">
        <f t="shared" si="52"/>
        <v>0.36946436102910157</v>
      </c>
      <c r="H719" s="2" t="s">
        <v>573</v>
      </c>
      <c r="I719" s="6" t="s">
        <v>74</v>
      </c>
      <c r="J719" s="2" t="s">
        <v>574</v>
      </c>
      <c r="K719" s="2" t="s">
        <v>572</v>
      </c>
      <c r="L719" s="2" t="s">
        <v>28</v>
      </c>
      <c r="M719" s="2" t="s">
        <v>5</v>
      </c>
      <c r="N719" s="4">
        <v>923.32</v>
      </c>
    </row>
    <row r="721" spans="1:14" x14ac:dyDescent="0.25">
      <c r="A721" s="13" t="s">
        <v>59</v>
      </c>
      <c r="B721" s="21"/>
      <c r="C721" s="22">
        <f>SUM(C694:C720)</f>
        <v>368.60500000000008</v>
      </c>
      <c r="D721" s="23">
        <f>SUM(D694:D720)</f>
        <v>5804.5651600000001</v>
      </c>
      <c r="E721" s="23">
        <f>SUM(E694:E720)</f>
        <v>3825.3012000000003</v>
      </c>
      <c r="F721" s="23">
        <f>D721-E721</f>
        <v>1979.2639599999998</v>
      </c>
      <c r="G721" s="24">
        <f>IF(((D721)=0),0,(D721-E721)/ D721)</f>
        <v>0.34098401955057039</v>
      </c>
      <c r="H721" s="21"/>
      <c r="I721" s="21"/>
      <c r="J721" s="21"/>
      <c r="K721" s="21"/>
      <c r="L721" s="21"/>
      <c r="M721" s="21"/>
      <c r="N721" s="21"/>
    </row>
    <row r="723" spans="1:14" s="17" customFormat="1" ht="18.75" x14ac:dyDescent="0.3"/>
    <row r="724" spans="1:14" s="7" customFormat="1" x14ac:dyDescent="0.25">
      <c r="A724" s="13" t="s">
        <v>597</v>
      </c>
      <c r="B724" s="18" t="s">
        <v>598</v>
      </c>
      <c r="C724" s="19"/>
      <c r="D724" s="20" t="s">
        <v>5</v>
      </c>
      <c r="E724" s="19"/>
      <c r="F724" s="19"/>
      <c r="G724" s="19"/>
      <c r="H724" s="19"/>
      <c r="I724" s="19"/>
      <c r="J724" s="19"/>
      <c r="K724" s="19"/>
      <c r="L724" s="19"/>
      <c r="M724" s="19"/>
      <c r="N724" s="19"/>
    </row>
    <row r="726" spans="1:14" x14ac:dyDescent="0.25">
      <c r="A726" s="2" t="s">
        <v>566</v>
      </c>
      <c r="B726" s="2" t="s">
        <v>567</v>
      </c>
      <c r="C726" s="3">
        <v>30.17</v>
      </c>
      <c r="D726" s="4">
        <v>525.86310000000003</v>
      </c>
      <c r="E726" s="4">
        <v>343.93799999999999</v>
      </c>
      <c r="F726" s="4">
        <f t="shared" ref="F726:F734" si="53">D726-E726</f>
        <v>181.92510000000004</v>
      </c>
      <c r="G726" s="5">
        <f t="shared" ref="G726:G734" si="54">IF(((D726)=0),0,(D726-E726)/ D726)</f>
        <v>0.34595524956970747</v>
      </c>
      <c r="H726" s="2" t="s">
        <v>599</v>
      </c>
      <c r="I726" s="6" t="s">
        <v>69</v>
      </c>
      <c r="J726" s="2" t="s">
        <v>600</v>
      </c>
      <c r="K726" s="2" t="s">
        <v>5</v>
      </c>
      <c r="L726" s="2" t="s">
        <v>28</v>
      </c>
      <c r="M726" s="2" t="s">
        <v>5</v>
      </c>
      <c r="N726" s="4">
        <v>2829.27</v>
      </c>
    </row>
    <row r="727" spans="1:14" x14ac:dyDescent="0.25">
      <c r="A727" s="2" t="s">
        <v>29</v>
      </c>
      <c r="B727" s="2" t="s">
        <v>30</v>
      </c>
      <c r="C727" s="3">
        <v>10.15</v>
      </c>
      <c r="D727" s="4">
        <v>150.22</v>
      </c>
      <c r="E727" s="4">
        <v>101.5</v>
      </c>
      <c r="F727" s="4">
        <f t="shared" si="53"/>
        <v>48.72</v>
      </c>
      <c r="G727" s="5">
        <f t="shared" si="54"/>
        <v>0.32432432432432434</v>
      </c>
      <c r="H727" s="2" t="s">
        <v>599</v>
      </c>
      <c r="I727" s="6" t="s">
        <v>69</v>
      </c>
      <c r="J727" s="2" t="s">
        <v>600</v>
      </c>
      <c r="K727" s="2" t="s">
        <v>5</v>
      </c>
      <c r="L727" s="2" t="s">
        <v>28</v>
      </c>
      <c r="M727" s="2" t="s">
        <v>5</v>
      </c>
      <c r="N727" s="4">
        <v>2829.27</v>
      </c>
    </row>
    <row r="728" spans="1:14" x14ac:dyDescent="0.25">
      <c r="A728" s="2" t="s">
        <v>118</v>
      </c>
      <c r="B728" s="2" t="s">
        <v>119</v>
      </c>
      <c r="C728" s="3">
        <v>24</v>
      </c>
      <c r="D728" s="4">
        <v>390.72</v>
      </c>
      <c r="E728" s="4">
        <v>180</v>
      </c>
      <c r="F728" s="4">
        <f t="shared" si="53"/>
        <v>210.72000000000003</v>
      </c>
      <c r="G728" s="5">
        <f t="shared" si="54"/>
        <v>0.5393120393120393</v>
      </c>
      <c r="H728" s="2" t="s">
        <v>599</v>
      </c>
      <c r="I728" s="6" t="s">
        <v>69</v>
      </c>
      <c r="J728" s="2" t="s">
        <v>600</v>
      </c>
      <c r="K728" s="2" t="s">
        <v>5</v>
      </c>
      <c r="L728" s="2" t="s">
        <v>28</v>
      </c>
      <c r="M728" s="2" t="s">
        <v>5</v>
      </c>
      <c r="N728" s="4">
        <v>2829.27</v>
      </c>
    </row>
    <row r="729" spans="1:14" x14ac:dyDescent="0.25">
      <c r="A729" s="2" t="s">
        <v>601</v>
      </c>
      <c r="B729" s="2" t="s">
        <v>602</v>
      </c>
      <c r="C729" s="3">
        <v>15.14</v>
      </c>
      <c r="D729" s="4">
        <v>90.688599999999994</v>
      </c>
      <c r="E729" s="4">
        <v>54.503999999999998</v>
      </c>
      <c r="F729" s="4">
        <f t="shared" si="53"/>
        <v>36.184599999999996</v>
      </c>
      <c r="G729" s="5">
        <f t="shared" si="54"/>
        <v>0.39899833055091816</v>
      </c>
      <c r="H729" s="2" t="s">
        <v>599</v>
      </c>
      <c r="I729" s="6" t="s">
        <v>69</v>
      </c>
      <c r="J729" s="2" t="s">
        <v>600</v>
      </c>
      <c r="K729" s="2" t="s">
        <v>5</v>
      </c>
      <c r="L729" s="2" t="s">
        <v>28</v>
      </c>
      <c r="M729" s="2" t="s">
        <v>5</v>
      </c>
      <c r="N729" s="4">
        <v>2829.27</v>
      </c>
    </row>
    <row r="730" spans="1:14" x14ac:dyDescent="0.25">
      <c r="A730" s="2" t="s">
        <v>246</v>
      </c>
      <c r="B730" s="2" t="s">
        <v>247</v>
      </c>
      <c r="C730" s="3">
        <v>16</v>
      </c>
      <c r="D730" s="4">
        <v>366.24</v>
      </c>
      <c r="E730" s="4">
        <v>260</v>
      </c>
      <c r="F730" s="4">
        <f t="shared" si="53"/>
        <v>106.24000000000001</v>
      </c>
      <c r="G730" s="5">
        <f t="shared" si="54"/>
        <v>0.29008300567933598</v>
      </c>
      <c r="H730" s="2" t="s">
        <v>599</v>
      </c>
      <c r="I730" s="6" t="s">
        <v>69</v>
      </c>
      <c r="J730" s="2" t="s">
        <v>600</v>
      </c>
      <c r="K730" s="2" t="s">
        <v>5</v>
      </c>
      <c r="L730" s="2" t="s">
        <v>28</v>
      </c>
      <c r="M730" s="2" t="s">
        <v>5</v>
      </c>
      <c r="N730" s="4">
        <v>2829.27</v>
      </c>
    </row>
    <row r="731" spans="1:14" x14ac:dyDescent="0.25">
      <c r="A731" s="2" t="s">
        <v>603</v>
      </c>
      <c r="B731" s="2" t="s">
        <v>604</v>
      </c>
      <c r="C731" s="3">
        <v>14.1</v>
      </c>
      <c r="D731" s="4">
        <v>353.48700000000002</v>
      </c>
      <c r="E731" s="4">
        <v>163.56</v>
      </c>
      <c r="F731" s="4">
        <f t="shared" si="53"/>
        <v>189.92700000000002</v>
      </c>
      <c r="G731" s="5">
        <f t="shared" si="54"/>
        <v>0.53729557239728765</v>
      </c>
      <c r="H731" s="2" t="s">
        <v>599</v>
      </c>
      <c r="I731" s="6" t="s">
        <v>69</v>
      </c>
      <c r="J731" s="2" t="s">
        <v>600</v>
      </c>
      <c r="K731" s="2" t="s">
        <v>5</v>
      </c>
      <c r="L731" s="2" t="s">
        <v>28</v>
      </c>
      <c r="M731" s="2" t="s">
        <v>5</v>
      </c>
      <c r="N731" s="4">
        <v>2829.27</v>
      </c>
    </row>
    <row r="732" spans="1:14" x14ac:dyDescent="0.25">
      <c r="A732" s="2" t="s">
        <v>219</v>
      </c>
      <c r="B732" s="2" t="s">
        <v>220</v>
      </c>
      <c r="C732" s="3">
        <v>11.52</v>
      </c>
      <c r="D732" s="4">
        <v>176.14080000000001</v>
      </c>
      <c r="E732" s="4">
        <v>109.44</v>
      </c>
      <c r="F732" s="4">
        <f t="shared" si="53"/>
        <v>66.700800000000015</v>
      </c>
      <c r="G732" s="5">
        <f t="shared" si="54"/>
        <v>0.37867887508175285</v>
      </c>
      <c r="H732" s="2" t="s">
        <v>599</v>
      </c>
      <c r="I732" s="6" t="s">
        <v>69</v>
      </c>
      <c r="J732" s="2" t="s">
        <v>600</v>
      </c>
      <c r="K732" s="2" t="s">
        <v>5</v>
      </c>
      <c r="L732" s="2" t="s">
        <v>28</v>
      </c>
      <c r="M732" s="2" t="s">
        <v>5</v>
      </c>
      <c r="N732" s="4">
        <v>2829.27</v>
      </c>
    </row>
    <row r="733" spans="1:14" x14ac:dyDescent="0.25">
      <c r="A733" s="2" t="s">
        <v>587</v>
      </c>
      <c r="B733" s="2" t="s">
        <v>588</v>
      </c>
      <c r="C733" s="3">
        <v>16.760000000000002</v>
      </c>
      <c r="D733" s="4">
        <v>450.84399999999999</v>
      </c>
      <c r="E733" s="4">
        <v>234.64</v>
      </c>
      <c r="F733" s="4">
        <f t="shared" si="53"/>
        <v>216.20400000000001</v>
      </c>
      <c r="G733" s="5">
        <f t="shared" si="54"/>
        <v>0.47955390334572495</v>
      </c>
      <c r="H733" s="2" t="s">
        <v>599</v>
      </c>
      <c r="I733" s="6" t="s">
        <v>69</v>
      </c>
      <c r="J733" s="2" t="s">
        <v>600</v>
      </c>
      <c r="K733" s="2" t="s">
        <v>5</v>
      </c>
      <c r="L733" s="2" t="s">
        <v>28</v>
      </c>
      <c r="M733" s="2" t="s">
        <v>5</v>
      </c>
      <c r="N733" s="4">
        <v>2829.27</v>
      </c>
    </row>
    <row r="734" spans="1:14" x14ac:dyDescent="0.25">
      <c r="A734" s="2" t="s">
        <v>250</v>
      </c>
      <c r="B734" s="2" t="s">
        <v>251</v>
      </c>
      <c r="C734" s="3">
        <v>22.7</v>
      </c>
      <c r="D734" s="4">
        <v>325.06400000000002</v>
      </c>
      <c r="E734" s="4">
        <v>192.95</v>
      </c>
      <c r="F734" s="4">
        <f t="shared" si="53"/>
        <v>132.11400000000003</v>
      </c>
      <c r="G734" s="5">
        <f t="shared" si="54"/>
        <v>0.40642458100558665</v>
      </c>
      <c r="H734" s="2" t="s">
        <v>599</v>
      </c>
      <c r="I734" s="6" t="s">
        <v>69</v>
      </c>
      <c r="J734" s="2" t="s">
        <v>600</v>
      </c>
      <c r="K734" s="2" t="s">
        <v>5</v>
      </c>
      <c r="L734" s="2" t="s">
        <v>28</v>
      </c>
      <c r="M734" s="2" t="s">
        <v>5</v>
      </c>
      <c r="N734" s="4">
        <v>2829.27</v>
      </c>
    </row>
    <row r="736" spans="1:14" x14ac:dyDescent="0.25">
      <c r="A736" s="13" t="s">
        <v>59</v>
      </c>
      <c r="B736" s="21"/>
      <c r="C736" s="22">
        <f>SUM(C723:C735)</f>
        <v>160.53999999999996</v>
      </c>
      <c r="D736" s="23">
        <f>SUM(D723:D735)</f>
        <v>2829.2674999999999</v>
      </c>
      <c r="E736" s="23">
        <f>SUM(E723:E735)</f>
        <v>1640.5319999999999</v>
      </c>
      <c r="F736" s="23">
        <f>D736-E736</f>
        <v>1188.7355</v>
      </c>
      <c r="G736" s="24">
        <f>IF(((D736)=0),0,(D736-E736)/ D736)</f>
        <v>0.42015663064733189</v>
      </c>
      <c r="H736" s="21"/>
      <c r="I736" s="21"/>
      <c r="J736" s="21"/>
      <c r="K736" s="21"/>
      <c r="L736" s="21"/>
      <c r="M736" s="21"/>
      <c r="N736" s="21"/>
    </row>
    <row r="738" spans="1:14" s="17" customFormat="1" ht="18.75" x14ac:dyDescent="0.3"/>
    <row r="739" spans="1:14" s="7" customFormat="1" x14ac:dyDescent="0.25">
      <c r="A739" s="13" t="s">
        <v>605</v>
      </c>
      <c r="B739" s="18" t="s">
        <v>606</v>
      </c>
      <c r="C739" s="19"/>
      <c r="D739" s="20" t="s">
        <v>5</v>
      </c>
      <c r="E739" s="19"/>
      <c r="F739" s="19"/>
      <c r="G739" s="19"/>
      <c r="H739" s="19"/>
      <c r="I739" s="19"/>
      <c r="J739" s="19"/>
      <c r="K739" s="19"/>
      <c r="L739" s="19"/>
      <c r="M739" s="19"/>
      <c r="N739" s="19"/>
    </row>
    <row r="741" spans="1:14" x14ac:dyDescent="0.25">
      <c r="A741" s="2" t="s">
        <v>128</v>
      </c>
      <c r="B741" s="2" t="s">
        <v>129</v>
      </c>
      <c r="C741" s="3">
        <v>30</v>
      </c>
      <c r="D741" s="4">
        <v>410.4</v>
      </c>
      <c r="E741" s="4">
        <v>329.4</v>
      </c>
      <c r="F741" s="4">
        <f t="shared" ref="F741:F769" si="55">D741-E741</f>
        <v>81</v>
      </c>
      <c r="G741" s="5">
        <f t="shared" ref="G741:G769" si="56">IF(((D741)=0),0,(D741-E741)/ D741)</f>
        <v>0.19736842105263158</v>
      </c>
      <c r="H741" s="2" t="s">
        <v>607</v>
      </c>
      <c r="I741" s="6" t="s">
        <v>32</v>
      </c>
      <c r="J741" s="2" t="s">
        <v>608</v>
      </c>
      <c r="K741" s="2" t="s">
        <v>5</v>
      </c>
      <c r="L741" s="2" t="s">
        <v>28</v>
      </c>
      <c r="M741" s="2" t="s">
        <v>5</v>
      </c>
      <c r="N741" s="4">
        <v>3578.84</v>
      </c>
    </row>
    <row r="742" spans="1:14" x14ac:dyDescent="0.25">
      <c r="A742" s="2" t="s">
        <v>128</v>
      </c>
      <c r="B742" s="2" t="s">
        <v>129</v>
      </c>
      <c r="C742" s="3">
        <v>30</v>
      </c>
      <c r="D742" s="4">
        <v>410.4</v>
      </c>
      <c r="E742" s="4">
        <v>329.4</v>
      </c>
      <c r="F742" s="4">
        <f t="shared" si="55"/>
        <v>81</v>
      </c>
      <c r="G742" s="5">
        <f t="shared" si="56"/>
        <v>0.19736842105263158</v>
      </c>
      <c r="H742" s="2" t="s">
        <v>609</v>
      </c>
      <c r="I742" s="6" t="s">
        <v>69</v>
      </c>
      <c r="J742" s="2" t="s">
        <v>610</v>
      </c>
      <c r="K742" s="2" t="s">
        <v>5</v>
      </c>
      <c r="L742" s="2" t="s">
        <v>28</v>
      </c>
      <c r="M742" s="2" t="s">
        <v>5</v>
      </c>
      <c r="N742" s="4">
        <v>3600.82</v>
      </c>
    </row>
    <row r="743" spans="1:14" x14ac:dyDescent="0.25">
      <c r="A743" s="2" t="s">
        <v>566</v>
      </c>
      <c r="B743" s="2" t="s">
        <v>567</v>
      </c>
      <c r="C743" s="3">
        <v>15.25</v>
      </c>
      <c r="D743" s="4">
        <v>244.30500000000001</v>
      </c>
      <c r="E743" s="4">
        <v>173.85</v>
      </c>
      <c r="F743" s="4">
        <f t="shared" si="55"/>
        <v>70.455000000000013</v>
      </c>
      <c r="G743" s="5">
        <f t="shared" si="56"/>
        <v>0.28838951310861427</v>
      </c>
      <c r="H743" s="2" t="s">
        <v>607</v>
      </c>
      <c r="I743" s="6" t="s">
        <v>32</v>
      </c>
      <c r="J743" s="2" t="s">
        <v>608</v>
      </c>
      <c r="K743" s="2" t="s">
        <v>5</v>
      </c>
      <c r="L743" s="2" t="s">
        <v>28</v>
      </c>
      <c r="M743" s="2" t="s">
        <v>5</v>
      </c>
      <c r="N743" s="4">
        <v>3578.84</v>
      </c>
    </row>
    <row r="744" spans="1:14" x14ac:dyDescent="0.25">
      <c r="A744" s="2" t="s">
        <v>22</v>
      </c>
      <c r="B744" s="2" t="s">
        <v>23</v>
      </c>
      <c r="C744" s="3">
        <v>19</v>
      </c>
      <c r="D744" s="4">
        <v>243.2</v>
      </c>
      <c r="E744" s="4">
        <v>209</v>
      </c>
      <c r="F744" s="4">
        <f t="shared" si="55"/>
        <v>34.199999999999989</v>
      </c>
      <c r="G744" s="5">
        <f t="shared" si="56"/>
        <v>0.14062499999999997</v>
      </c>
      <c r="H744" s="2" t="s">
        <v>609</v>
      </c>
      <c r="I744" s="6" t="s">
        <v>69</v>
      </c>
      <c r="J744" s="2" t="s">
        <v>610</v>
      </c>
      <c r="K744" s="2" t="s">
        <v>5</v>
      </c>
      <c r="L744" s="2" t="s">
        <v>28</v>
      </c>
      <c r="M744" s="2" t="s">
        <v>5</v>
      </c>
      <c r="N744" s="4">
        <v>3600.82</v>
      </c>
    </row>
    <row r="745" spans="1:14" x14ac:dyDescent="0.25">
      <c r="A745" s="2" t="s">
        <v>22</v>
      </c>
      <c r="B745" s="2" t="s">
        <v>23</v>
      </c>
      <c r="C745" s="3">
        <v>18.12</v>
      </c>
      <c r="D745" s="4">
        <v>231.93600000000001</v>
      </c>
      <c r="E745" s="4">
        <v>199.32</v>
      </c>
      <c r="F745" s="4">
        <f t="shared" si="55"/>
        <v>32.616000000000014</v>
      </c>
      <c r="G745" s="5">
        <f t="shared" si="56"/>
        <v>0.14062500000000006</v>
      </c>
      <c r="H745" s="2" t="s">
        <v>607</v>
      </c>
      <c r="I745" s="6" t="s">
        <v>32</v>
      </c>
      <c r="J745" s="2" t="s">
        <v>608</v>
      </c>
      <c r="K745" s="2" t="s">
        <v>5</v>
      </c>
      <c r="L745" s="2" t="s">
        <v>28</v>
      </c>
      <c r="M745" s="2" t="s">
        <v>5</v>
      </c>
      <c r="N745" s="4">
        <v>3578.84</v>
      </c>
    </row>
    <row r="746" spans="1:14" x14ac:dyDescent="0.25">
      <c r="A746" s="2" t="s">
        <v>29</v>
      </c>
      <c r="B746" s="2" t="s">
        <v>30</v>
      </c>
      <c r="C746" s="3">
        <v>14.9</v>
      </c>
      <c r="D746" s="4">
        <v>190.72</v>
      </c>
      <c r="E746" s="4">
        <v>149</v>
      </c>
      <c r="F746" s="4">
        <f t="shared" si="55"/>
        <v>41.72</v>
      </c>
      <c r="G746" s="5">
        <f t="shared" si="56"/>
        <v>0.21875</v>
      </c>
      <c r="H746" s="2" t="s">
        <v>609</v>
      </c>
      <c r="I746" s="6" t="s">
        <v>69</v>
      </c>
      <c r="J746" s="2" t="s">
        <v>610</v>
      </c>
      <c r="K746" s="2" t="s">
        <v>5</v>
      </c>
      <c r="L746" s="2" t="s">
        <v>28</v>
      </c>
      <c r="M746" s="2" t="s">
        <v>5</v>
      </c>
      <c r="N746" s="4">
        <v>3600.82</v>
      </c>
    </row>
    <row r="747" spans="1:14" x14ac:dyDescent="0.25">
      <c r="A747" s="2" t="s">
        <v>41</v>
      </c>
      <c r="B747" s="2" t="s">
        <v>42</v>
      </c>
      <c r="C747" s="3">
        <v>9.6300000000000008</v>
      </c>
      <c r="D747" s="4">
        <v>154.27260000000001</v>
      </c>
      <c r="E747" s="4">
        <v>113.1525</v>
      </c>
      <c r="F747" s="4">
        <f t="shared" si="55"/>
        <v>41.120100000000008</v>
      </c>
      <c r="G747" s="5">
        <f t="shared" si="56"/>
        <v>0.26654182272159804</v>
      </c>
      <c r="H747" s="2" t="s">
        <v>607</v>
      </c>
      <c r="I747" s="6" t="s">
        <v>32</v>
      </c>
      <c r="J747" s="2" t="s">
        <v>608</v>
      </c>
      <c r="K747" s="2" t="s">
        <v>5</v>
      </c>
      <c r="L747" s="2" t="s">
        <v>28</v>
      </c>
      <c r="M747" s="2" t="s">
        <v>5</v>
      </c>
      <c r="N747" s="4">
        <v>3578.84</v>
      </c>
    </row>
    <row r="748" spans="1:14" x14ac:dyDescent="0.25">
      <c r="A748" s="2" t="s">
        <v>150</v>
      </c>
      <c r="B748" s="2" t="s">
        <v>151</v>
      </c>
      <c r="C748" s="3">
        <v>16</v>
      </c>
      <c r="D748" s="4">
        <v>235.52</v>
      </c>
      <c r="E748" s="4">
        <v>156.80000000000001</v>
      </c>
      <c r="F748" s="4">
        <f t="shared" si="55"/>
        <v>78.72</v>
      </c>
      <c r="G748" s="5">
        <f t="shared" si="56"/>
        <v>0.33423913043478259</v>
      </c>
      <c r="H748" s="2" t="s">
        <v>609</v>
      </c>
      <c r="I748" s="6" t="s">
        <v>69</v>
      </c>
      <c r="J748" s="2" t="s">
        <v>610</v>
      </c>
      <c r="K748" s="2" t="s">
        <v>5</v>
      </c>
      <c r="L748" s="2" t="s">
        <v>28</v>
      </c>
      <c r="M748" s="2" t="s">
        <v>5</v>
      </c>
      <c r="N748" s="4">
        <v>3600.82</v>
      </c>
    </row>
    <row r="749" spans="1:14" x14ac:dyDescent="0.25">
      <c r="A749" s="2" t="s">
        <v>611</v>
      </c>
      <c r="B749" s="2" t="s">
        <v>612</v>
      </c>
      <c r="C749" s="3">
        <v>14.365</v>
      </c>
      <c r="D749" s="4">
        <v>76.134500000000003</v>
      </c>
      <c r="E749" s="4">
        <v>51.713999999999999</v>
      </c>
      <c r="F749" s="4">
        <f t="shared" si="55"/>
        <v>24.420500000000004</v>
      </c>
      <c r="G749" s="5">
        <f t="shared" si="56"/>
        <v>0.32075471698113212</v>
      </c>
      <c r="H749" s="2" t="s">
        <v>607</v>
      </c>
      <c r="I749" s="6" t="s">
        <v>32</v>
      </c>
      <c r="J749" s="2" t="s">
        <v>608</v>
      </c>
      <c r="K749" s="2" t="s">
        <v>5</v>
      </c>
      <c r="L749" s="2" t="s">
        <v>28</v>
      </c>
      <c r="M749" s="2" t="s">
        <v>5</v>
      </c>
      <c r="N749" s="4">
        <v>3578.84</v>
      </c>
    </row>
    <row r="750" spans="1:14" x14ac:dyDescent="0.25">
      <c r="A750" s="2" t="s">
        <v>118</v>
      </c>
      <c r="B750" s="2" t="s">
        <v>119</v>
      </c>
      <c r="C750" s="3">
        <v>12</v>
      </c>
      <c r="D750" s="4">
        <v>182.16</v>
      </c>
      <c r="E750" s="4">
        <v>90</v>
      </c>
      <c r="F750" s="4">
        <f t="shared" si="55"/>
        <v>92.16</v>
      </c>
      <c r="G750" s="5">
        <f t="shared" si="56"/>
        <v>0.50592885375494068</v>
      </c>
      <c r="H750" s="2" t="s">
        <v>607</v>
      </c>
      <c r="I750" s="6" t="s">
        <v>32</v>
      </c>
      <c r="J750" s="2" t="s">
        <v>608</v>
      </c>
      <c r="K750" s="2" t="s">
        <v>5</v>
      </c>
      <c r="L750" s="2" t="s">
        <v>28</v>
      </c>
      <c r="M750" s="2" t="s">
        <v>5</v>
      </c>
      <c r="N750" s="4">
        <v>3578.84</v>
      </c>
    </row>
    <row r="751" spans="1:14" x14ac:dyDescent="0.25">
      <c r="A751" s="2" t="s">
        <v>118</v>
      </c>
      <c r="B751" s="2" t="s">
        <v>119</v>
      </c>
      <c r="C751" s="3">
        <v>12</v>
      </c>
      <c r="D751" s="4">
        <v>182.16</v>
      </c>
      <c r="E751" s="4">
        <v>90</v>
      </c>
      <c r="F751" s="4">
        <f t="shared" si="55"/>
        <v>92.16</v>
      </c>
      <c r="G751" s="5">
        <f t="shared" si="56"/>
        <v>0.50592885375494068</v>
      </c>
      <c r="H751" s="2" t="s">
        <v>609</v>
      </c>
      <c r="I751" s="6" t="s">
        <v>69</v>
      </c>
      <c r="J751" s="2" t="s">
        <v>610</v>
      </c>
      <c r="K751" s="2" t="s">
        <v>5</v>
      </c>
      <c r="L751" s="2" t="s">
        <v>28</v>
      </c>
      <c r="M751" s="2" t="s">
        <v>5</v>
      </c>
      <c r="N751" s="4">
        <v>3600.82</v>
      </c>
    </row>
    <row r="752" spans="1:14" x14ac:dyDescent="0.25">
      <c r="A752" s="2" t="s">
        <v>613</v>
      </c>
      <c r="B752" s="2" t="s">
        <v>614</v>
      </c>
      <c r="C752" s="3">
        <v>12</v>
      </c>
      <c r="D752" s="4">
        <v>63.6</v>
      </c>
      <c r="E752" s="4">
        <v>43.2</v>
      </c>
      <c r="F752" s="4">
        <f t="shared" si="55"/>
        <v>20.399999999999999</v>
      </c>
      <c r="G752" s="5">
        <f t="shared" si="56"/>
        <v>0.32075471698113206</v>
      </c>
      <c r="H752" s="2" t="s">
        <v>609</v>
      </c>
      <c r="I752" s="6" t="s">
        <v>69</v>
      </c>
      <c r="J752" s="2" t="s">
        <v>610</v>
      </c>
      <c r="K752" s="2" t="s">
        <v>5</v>
      </c>
      <c r="L752" s="2" t="s">
        <v>28</v>
      </c>
      <c r="M752" s="2" t="s">
        <v>5</v>
      </c>
      <c r="N752" s="4">
        <v>3600.82</v>
      </c>
    </row>
    <row r="753" spans="1:14" x14ac:dyDescent="0.25">
      <c r="A753" s="2" t="s">
        <v>211</v>
      </c>
      <c r="B753" s="2" t="s">
        <v>212</v>
      </c>
      <c r="C753" s="3">
        <v>14.1</v>
      </c>
      <c r="D753" s="4">
        <v>63.027000000000001</v>
      </c>
      <c r="E753" s="4">
        <v>35.25</v>
      </c>
      <c r="F753" s="4">
        <f t="shared" si="55"/>
        <v>27.777000000000001</v>
      </c>
      <c r="G753" s="5">
        <f t="shared" si="56"/>
        <v>0.4407158836689038</v>
      </c>
      <c r="H753" s="2" t="s">
        <v>607</v>
      </c>
      <c r="I753" s="6" t="s">
        <v>32</v>
      </c>
      <c r="J753" s="2" t="s">
        <v>608</v>
      </c>
      <c r="K753" s="2" t="s">
        <v>5</v>
      </c>
      <c r="L753" s="2" t="s">
        <v>28</v>
      </c>
      <c r="M753" s="2" t="s">
        <v>5</v>
      </c>
      <c r="N753" s="4">
        <v>3578.84</v>
      </c>
    </row>
    <row r="754" spans="1:14" x14ac:dyDescent="0.25">
      <c r="A754" s="2" t="s">
        <v>156</v>
      </c>
      <c r="B754" s="2" t="s">
        <v>157</v>
      </c>
      <c r="C754" s="3">
        <v>7.62</v>
      </c>
      <c r="D754" s="4">
        <v>89.306399999999996</v>
      </c>
      <c r="E754" s="4">
        <v>68.58</v>
      </c>
      <c r="F754" s="4">
        <f t="shared" si="55"/>
        <v>20.726399999999998</v>
      </c>
      <c r="G754" s="5">
        <f t="shared" si="56"/>
        <v>0.23208191126279862</v>
      </c>
      <c r="H754" s="2" t="s">
        <v>609</v>
      </c>
      <c r="I754" s="6" t="s">
        <v>69</v>
      </c>
      <c r="J754" s="2" t="s">
        <v>610</v>
      </c>
      <c r="K754" s="2" t="s">
        <v>5</v>
      </c>
      <c r="L754" s="2" t="s">
        <v>28</v>
      </c>
      <c r="M754" s="2" t="s">
        <v>5</v>
      </c>
      <c r="N754" s="4">
        <v>3600.82</v>
      </c>
    </row>
    <row r="755" spans="1:14" x14ac:dyDescent="0.25">
      <c r="A755" s="2" t="s">
        <v>49</v>
      </c>
      <c r="B755" s="2" t="s">
        <v>50</v>
      </c>
      <c r="C755" s="3">
        <v>8</v>
      </c>
      <c r="D755" s="4">
        <v>115.76</v>
      </c>
      <c r="E755" s="4">
        <v>88.24</v>
      </c>
      <c r="F755" s="4">
        <f t="shared" si="55"/>
        <v>27.52000000000001</v>
      </c>
      <c r="G755" s="5">
        <f t="shared" si="56"/>
        <v>0.23773324118866629</v>
      </c>
      <c r="H755" s="2" t="s">
        <v>609</v>
      </c>
      <c r="I755" s="6" t="s">
        <v>69</v>
      </c>
      <c r="J755" s="2" t="s">
        <v>610</v>
      </c>
      <c r="K755" s="2" t="s">
        <v>5</v>
      </c>
      <c r="L755" s="2" t="s">
        <v>28</v>
      </c>
      <c r="M755" s="2" t="s">
        <v>5</v>
      </c>
      <c r="N755" s="4">
        <v>3600.82</v>
      </c>
    </row>
    <row r="756" spans="1:14" x14ac:dyDescent="0.25">
      <c r="A756" s="2" t="s">
        <v>49</v>
      </c>
      <c r="B756" s="2" t="s">
        <v>50</v>
      </c>
      <c r="C756" s="3">
        <v>8</v>
      </c>
      <c r="D756" s="4">
        <v>115.76</v>
      </c>
      <c r="E756" s="4">
        <v>88.24</v>
      </c>
      <c r="F756" s="4">
        <f t="shared" si="55"/>
        <v>27.52000000000001</v>
      </c>
      <c r="G756" s="5">
        <f t="shared" si="56"/>
        <v>0.23773324118866629</v>
      </c>
      <c r="H756" s="2" t="s">
        <v>607</v>
      </c>
      <c r="I756" s="6" t="s">
        <v>32</v>
      </c>
      <c r="J756" s="2" t="s">
        <v>608</v>
      </c>
      <c r="K756" s="2" t="s">
        <v>5</v>
      </c>
      <c r="L756" s="2" t="s">
        <v>28</v>
      </c>
      <c r="M756" s="2" t="s">
        <v>5</v>
      </c>
      <c r="N756" s="4">
        <v>3578.84</v>
      </c>
    </row>
    <row r="757" spans="1:14" x14ac:dyDescent="0.25">
      <c r="A757" s="2" t="s">
        <v>581</v>
      </c>
      <c r="B757" s="2" t="s">
        <v>582</v>
      </c>
      <c r="C757" s="3">
        <v>45.99</v>
      </c>
      <c r="D757" s="4">
        <v>631.44269999999995</v>
      </c>
      <c r="E757" s="4">
        <v>400.113</v>
      </c>
      <c r="F757" s="4">
        <f t="shared" si="55"/>
        <v>231.32969999999995</v>
      </c>
      <c r="G757" s="5">
        <f t="shared" si="56"/>
        <v>0.36635105608157315</v>
      </c>
      <c r="H757" s="2" t="s">
        <v>607</v>
      </c>
      <c r="I757" s="6" t="s">
        <v>32</v>
      </c>
      <c r="J757" s="2" t="s">
        <v>608</v>
      </c>
      <c r="K757" s="2" t="s">
        <v>5</v>
      </c>
      <c r="L757" s="2" t="s">
        <v>28</v>
      </c>
      <c r="M757" s="2" t="s">
        <v>5</v>
      </c>
      <c r="N757" s="4">
        <v>3578.84</v>
      </c>
    </row>
    <row r="758" spans="1:14" x14ac:dyDescent="0.25">
      <c r="A758" s="2" t="s">
        <v>524</v>
      </c>
      <c r="B758" s="2" t="s">
        <v>525</v>
      </c>
      <c r="C758" s="3">
        <v>25.05</v>
      </c>
      <c r="D758" s="4">
        <v>264.52800000000002</v>
      </c>
      <c r="E758" s="4">
        <v>170.34</v>
      </c>
      <c r="F758" s="4">
        <f t="shared" si="55"/>
        <v>94.188000000000017</v>
      </c>
      <c r="G758" s="5">
        <f t="shared" si="56"/>
        <v>0.35606060606060608</v>
      </c>
      <c r="H758" s="2" t="s">
        <v>609</v>
      </c>
      <c r="I758" s="6" t="s">
        <v>69</v>
      </c>
      <c r="J758" s="2" t="s">
        <v>610</v>
      </c>
      <c r="K758" s="2" t="s">
        <v>5</v>
      </c>
      <c r="L758" s="2" t="s">
        <v>28</v>
      </c>
      <c r="M758" s="2" t="s">
        <v>5</v>
      </c>
      <c r="N758" s="4">
        <v>3600.82</v>
      </c>
    </row>
    <row r="759" spans="1:14" x14ac:dyDescent="0.25">
      <c r="A759" s="2" t="s">
        <v>217</v>
      </c>
      <c r="B759" s="2" t="s">
        <v>218</v>
      </c>
      <c r="C759" s="3">
        <v>27.5</v>
      </c>
      <c r="D759" s="4">
        <v>368.5</v>
      </c>
      <c r="E759" s="4">
        <v>299.75</v>
      </c>
      <c r="F759" s="4">
        <f t="shared" si="55"/>
        <v>68.75</v>
      </c>
      <c r="G759" s="5">
        <f t="shared" si="56"/>
        <v>0.18656716417910449</v>
      </c>
      <c r="H759" s="2" t="s">
        <v>607</v>
      </c>
      <c r="I759" s="6" t="s">
        <v>32</v>
      </c>
      <c r="J759" s="2" t="s">
        <v>608</v>
      </c>
      <c r="K759" s="2" t="s">
        <v>5</v>
      </c>
      <c r="L759" s="2" t="s">
        <v>28</v>
      </c>
      <c r="M759" s="2" t="s">
        <v>5</v>
      </c>
      <c r="N759" s="4">
        <v>3578.84</v>
      </c>
    </row>
    <row r="760" spans="1:14" x14ac:dyDescent="0.25">
      <c r="A760" s="2" t="s">
        <v>219</v>
      </c>
      <c r="B760" s="2" t="s">
        <v>220</v>
      </c>
      <c r="C760" s="3">
        <v>21.75</v>
      </c>
      <c r="D760" s="4">
        <v>301.89</v>
      </c>
      <c r="E760" s="4">
        <v>206.625</v>
      </c>
      <c r="F760" s="4">
        <f t="shared" si="55"/>
        <v>95.264999999999986</v>
      </c>
      <c r="G760" s="5">
        <f t="shared" si="56"/>
        <v>0.31556195965417866</v>
      </c>
      <c r="H760" s="2" t="s">
        <v>609</v>
      </c>
      <c r="I760" s="6" t="s">
        <v>69</v>
      </c>
      <c r="J760" s="2" t="s">
        <v>610</v>
      </c>
      <c r="K760" s="2" t="s">
        <v>5</v>
      </c>
      <c r="L760" s="2" t="s">
        <v>28</v>
      </c>
      <c r="M760" s="2" t="s">
        <v>5</v>
      </c>
      <c r="N760" s="4">
        <v>3600.82</v>
      </c>
    </row>
    <row r="761" spans="1:14" x14ac:dyDescent="0.25">
      <c r="A761" s="2" t="s">
        <v>53</v>
      </c>
      <c r="B761" s="2" t="s">
        <v>54</v>
      </c>
      <c r="C761" s="3">
        <v>17.05</v>
      </c>
      <c r="D761" s="4">
        <v>154.30250000000001</v>
      </c>
      <c r="E761" s="4">
        <v>124.465</v>
      </c>
      <c r="F761" s="4">
        <f t="shared" si="55"/>
        <v>29.837500000000006</v>
      </c>
      <c r="G761" s="5">
        <f t="shared" si="56"/>
        <v>0.19337016574585639</v>
      </c>
      <c r="H761" s="2" t="s">
        <v>607</v>
      </c>
      <c r="I761" s="6" t="s">
        <v>32</v>
      </c>
      <c r="J761" s="2" t="s">
        <v>608</v>
      </c>
      <c r="K761" s="2" t="s">
        <v>5</v>
      </c>
      <c r="L761" s="2" t="s">
        <v>28</v>
      </c>
      <c r="M761" s="2" t="s">
        <v>5</v>
      </c>
      <c r="N761" s="4">
        <v>3578.84</v>
      </c>
    </row>
    <row r="762" spans="1:14" x14ac:dyDescent="0.25">
      <c r="A762" s="2" t="s">
        <v>53</v>
      </c>
      <c r="B762" s="2" t="s">
        <v>54</v>
      </c>
      <c r="C762" s="3">
        <v>15.35</v>
      </c>
      <c r="D762" s="4">
        <v>138.91749999999999</v>
      </c>
      <c r="E762" s="4">
        <v>112.05500000000001</v>
      </c>
      <c r="F762" s="4">
        <f t="shared" si="55"/>
        <v>26.862499999999983</v>
      </c>
      <c r="G762" s="5">
        <f t="shared" si="56"/>
        <v>0.19337016574585625</v>
      </c>
      <c r="H762" s="2" t="s">
        <v>609</v>
      </c>
      <c r="I762" s="6" t="s">
        <v>69</v>
      </c>
      <c r="J762" s="2" t="s">
        <v>610</v>
      </c>
      <c r="K762" s="2" t="s">
        <v>5</v>
      </c>
      <c r="L762" s="2" t="s">
        <v>28</v>
      </c>
      <c r="M762" s="2" t="s">
        <v>5</v>
      </c>
      <c r="N762" s="4">
        <v>3600.82</v>
      </c>
    </row>
    <row r="763" spans="1:14" x14ac:dyDescent="0.25">
      <c r="A763" s="2" t="s">
        <v>134</v>
      </c>
      <c r="B763" s="2" t="s">
        <v>135</v>
      </c>
      <c r="C763" s="3">
        <v>15.25</v>
      </c>
      <c r="D763" s="4">
        <v>189.5575</v>
      </c>
      <c r="E763" s="4">
        <v>108.27500000000001</v>
      </c>
      <c r="F763" s="4">
        <f t="shared" si="55"/>
        <v>81.282499999999999</v>
      </c>
      <c r="G763" s="5">
        <f t="shared" si="56"/>
        <v>0.42880128720836685</v>
      </c>
      <c r="H763" s="2" t="s">
        <v>609</v>
      </c>
      <c r="I763" s="6" t="s">
        <v>69</v>
      </c>
      <c r="J763" s="2" t="s">
        <v>610</v>
      </c>
      <c r="K763" s="2" t="s">
        <v>5</v>
      </c>
      <c r="L763" s="2" t="s">
        <v>28</v>
      </c>
      <c r="M763" s="2" t="s">
        <v>5</v>
      </c>
      <c r="N763" s="4">
        <v>3600.82</v>
      </c>
    </row>
    <row r="764" spans="1:14" x14ac:dyDescent="0.25">
      <c r="A764" s="2" t="s">
        <v>136</v>
      </c>
      <c r="B764" s="2" t="s">
        <v>137</v>
      </c>
      <c r="C764" s="3">
        <v>21.274999999999999</v>
      </c>
      <c r="D764" s="4">
        <v>537.61924999999997</v>
      </c>
      <c r="E764" s="4">
        <v>297.85000000000002</v>
      </c>
      <c r="F764" s="4">
        <f t="shared" si="55"/>
        <v>239.76924999999994</v>
      </c>
      <c r="G764" s="5">
        <f t="shared" si="56"/>
        <v>0.44598337950138495</v>
      </c>
      <c r="H764" s="2" t="s">
        <v>607</v>
      </c>
      <c r="I764" s="6" t="s">
        <v>32</v>
      </c>
      <c r="J764" s="2" t="s">
        <v>608</v>
      </c>
      <c r="K764" s="2" t="s">
        <v>5</v>
      </c>
      <c r="L764" s="2" t="s">
        <v>28</v>
      </c>
      <c r="M764" s="2" t="s">
        <v>5</v>
      </c>
      <c r="N764" s="4">
        <v>3578.84</v>
      </c>
    </row>
    <row r="765" spans="1:14" x14ac:dyDescent="0.25">
      <c r="A765" s="2" t="s">
        <v>136</v>
      </c>
      <c r="B765" s="2" t="s">
        <v>137</v>
      </c>
      <c r="C765" s="3">
        <v>30.31</v>
      </c>
      <c r="D765" s="4">
        <v>765.93370000000004</v>
      </c>
      <c r="E765" s="4">
        <v>424.34</v>
      </c>
      <c r="F765" s="4">
        <f t="shared" si="55"/>
        <v>341.59370000000007</v>
      </c>
      <c r="G765" s="5">
        <f t="shared" si="56"/>
        <v>0.44598337950138511</v>
      </c>
      <c r="H765" s="2" t="s">
        <v>609</v>
      </c>
      <c r="I765" s="6" t="s">
        <v>69</v>
      </c>
      <c r="J765" s="2" t="s">
        <v>610</v>
      </c>
      <c r="K765" s="2" t="s">
        <v>5</v>
      </c>
      <c r="L765" s="2" t="s">
        <v>28</v>
      </c>
      <c r="M765" s="2" t="s">
        <v>5</v>
      </c>
      <c r="N765" s="4">
        <v>3600.82</v>
      </c>
    </row>
    <row r="766" spans="1:14" x14ac:dyDescent="0.25">
      <c r="A766" s="2" t="s">
        <v>250</v>
      </c>
      <c r="B766" s="2" t="s">
        <v>251</v>
      </c>
      <c r="C766" s="3">
        <v>22.4</v>
      </c>
      <c r="D766" s="4">
        <v>276.19200000000001</v>
      </c>
      <c r="E766" s="4">
        <v>190.4</v>
      </c>
      <c r="F766" s="4">
        <f t="shared" si="55"/>
        <v>85.792000000000002</v>
      </c>
      <c r="G766" s="5">
        <f t="shared" si="56"/>
        <v>0.3106244931062449</v>
      </c>
      <c r="H766" s="2" t="s">
        <v>607</v>
      </c>
      <c r="I766" s="6" t="s">
        <v>32</v>
      </c>
      <c r="J766" s="2" t="s">
        <v>608</v>
      </c>
      <c r="K766" s="2" t="s">
        <v>5</v>
      </c>
      <c r="L766" s="2" t="s">
        <v>28</v>
      </c>
      <c r="M766" s="2" t="s">
        <v>5</v>
      </c>
      <c r="N766" s="4">
        <v>3578.84</v>
      </c>
    </row>
    <row r="767" spans="1:14" x14ac:dyDescent="0.25">
      <c r="A767" s="2" t="s">
        <v>250</v>
      </c>
      <c r="B767" s="2" t="s">
        <v>251</v>
      </c>
      <c r="C767" s="3">
        <v>23.1</v>
      </c>
      <c r="D767" s="4">
        <v>284.82299999999998</v>
      </c>
      <c r="E767" s="4">
        <v>196.35</v>
      </c>
      <c r="F767" s="4">
        <f t="shared" si="55"/>
        <v>88.472999999999985</v>
      </c>
      <c r="G767" s="5">
        <f t="shared" si="56"/>
        <v>0.3106244931062449</v>
      </c>
      <c r="H767" s="2" t="s">
        <v>609</v>
      </c>
      <c r="I767" s="6" t="s">
        <v>69</v>
      </c>
      <c r="J767" s="2" t="s">
        <v>610</v>
      </c>
      <c r="K767" s="2" t="s">
        <v>5</v>
      </c>
      <c r="L767" s="2" t="s">
        <v>28</v>
      </c>
      <c r="M767" s="2" t="s">
        <v>5</v>
      </c>
      <c r="N767" s="4">
        <v>3600.82</v>
      </c>
    </row>
    <row r="768" spans="1:14" x14ac:dyDescent="0.25">
      <c r="A768" s="2" t="s">
        <v>593</v>
      </c>
      <c r="B768" s="2" t="s">
        <v>594</v>
      </c>
      <c r="C768" s="3">
        <v>13.875</v>
      </c>
      <c r="D768" s="4">
        <v>132.78375</v>
      </c>
      <c r="E768" s="4">
        <v>80.474999999999994</v>
      </c>
      <c r="F768" s="4">
        <f t="shared" si="55"/>
        <v>52.308750000000003</v>
      </c>
      <c r="G768" s="5">
        <f t="shared" si="56"/>
        <v>0.39393939393939398</v>
      </c>
      <c r="H768" s="2" t="s">
        <v>607</v>
      </c>
      <c r="I768" s="6" t="s">
        <v>32</v>
      </c>
      <c r="J768" s="2" t="s">
        <v>608</v>
      </c>
      <c r="K768" s="2" t="s">
        <v>5</v>
      </c>
      <c r="L768" s="2" t="s">
        <v>28</v>
      </c>
      <c r="M768" s="2" t="s">
        <v>5</v>
      </c>
      <c r="N768" s="4">
        <v>3578.84</v>
      </c>
    </row>
    <row r="769" spans="1:14" x14ac:dyDescent="0.25">
      <c r="A769" s="2" t="s">
        <v>593</v>
      </c>
      <c r="B769" s="2" t="s">
        <v>594</v>
      </c>
      <c r="C769" s="3">
        <v>13.01</v>
      </c>
      <c r="D769" s="4">
        <v>124.5057</v>
      </c>
      <c r="E769" s="4">
        <v>75.457999999999998</v>
      </c>
      <c r="F769" s="4">
        <f t="shared" si="55"/>
        <v>49.047700000000006</v>
      </c>
      <c r="G769" s="5">
        <f t="shared" si="56"/>
        <v>0.39393939393939398</v>
      </c>
      <c r="H769" s="2" t="s">
        <v>609</v>
      </c>
      <c r="I769" s="6" t="s">
        <v>69</v>
      </c>
      <c r="J769" s="2" t="s">
        <v>610</v>
      </c>
      <c r="K769" s="2" t="s">
        <v>5</v>
      </c>
      <c r="L769" s="2" t="s">
        <v>28</v>
      </c>
      <c r="M769" s="2" t="s">
        <v>5</v>
      </c>
      <c r="N769" s="4">
        <v>3600.82</v>
      </c>
    </row>
    <row r="771" spans="1:14" x14ac:dyDescent="0.25">
      <c r="A771" s="13" t="s">
        <v>59</v>
      </c>
      <c r="B771" s="21"/>
      <c r="C771" s="22">
        <f>SUM(C738:C770)</f>
        <v>532.89499999999998</v>
      </c>
      <c r="D771" s="23">
        <f>SUM(D738:D770)</f>
        <v>7179.6570999999985</v>
      </c>
      <c r="E771" s="23">
        <f>SUM(E738:E770)</f>
        <v>4901.642499999999</v>
      </c>
      <c r="F771" s="23">
        <f>D771-E771</f>
        <v>2278.0145999999995</v>
      </c>
      <c r="G771" s="24">
        <f>IF(((D771)=0),0,(D771-E771)/ D771)</f>
        <v>0.31728738131518841</v>
      </c>
      <c r="H771" s="21"/>
      <c r="I771" s="21"/>
      <c r="J771" s="21"/>
      <c r="K771" s="21"/>
      <c r="L771" s="21"/>
      <c r="M771" s="21"/>
      <c r="N771" s="21"/>
    </row>
    <row r="773" spans="1:14" s="17" customFormat="1" ht="18.75" x14ac:dyDescent="0.3"/>
    <row r="774" spans="1:14" s="7" customFormat="1" x14ac:dyDescent="0.25">
      <c r="A774" s="13" t="s">
        <v>615</v>
      </c>
      <c r="B774" s="18" t="s">
        <v>616</v>
      </c>
      <c r="C774" s="19"/>
      <c r="D774" s="20" t="s">
        <v>5</v>
      </c>
      <c r="E774" s="19"/>
      <c r="F774" s="19"/>
      <c r="G774" s="19"/>
      <c r="H774" s="19"/>
      <c r="I774" s="19"/>
      <c r="J774" s="19"/>
      <c r="K774" s="19"/>
      <c r="L774" s="19"/>
      <c r="M774" s="19"/>
      <c r="N774" s="19"/>
    </row>
    <row r="776" spans="1:14" x14ac:dyDescent="0.25">
      <c r="A776" s="2" t="s">
        <v>29</v>
      </c>
      <c r="B776" s="2" t="s">
        <v>30</v>
      </c>
      <c r="C776" s="3">
        <v>61.325000000000003</v>
      </c>
      <c r="D776" s="4">
        <v>784.96</v>
      </c>
      <c r="E776" s="4">
        <v>613.25</v>
      </c>
      <c r="F776" s="4">
        <f t="shared" ref="F776:F791" si="57">D776-E776</f>
        <v>171.71000000000004</v>
      </c>
      <c r="G776" s="5">
        <f t="shared" ref="G776:G791" si="58">IF(((D776)=0),0,(D776-E776)/ D776)</f>
        <v>0.21875000000000003</v>
      </c>
      <c r="H776" s="2" t="s">
        <v>617</v>
      </c>
      <c r="I776" s="6" t="s">
        <v>25</v>
      </c>
      <c r="J776" s="2" t="s">
        <v>618</v>
      </c>
      <c r="K776" s="2" t="s">
        <v>619</v>
      </c>
      <c r="L776" s="2" t="s">
        <v>28</v>
      </c>
      <c r="M776" s="2" t="s">
        <v>5</v>
      </c>
      <c r="N776" s="4">
        <v>9422.74</v>
      </c>
    </row>
    <row r="777" spans="1:14" x14ac:dyDescent="0.25">
      <c r="A777" s="2" t="s">
        <v>148</v>
      </c>
      <c r="B777" s="2" t="s">
        <v>149</v>
      </c>
      <c r="C777" s="3">
        <v>60</v>
      </c>
      <c r="D777" s="4">
        <v>546.6</v>
      </c>
      <c r="E777" s="4">
        <v>243</v>
      </c>
      <c r="F777" s="4">
        <f t="shared" si="57"/>
        <v>303.60000000000002</v>
      </c>
      <c r="G777" s="5">
        <f t="shared" si="58"/>
        <v>0.55543358946212951</v>
      </c>
      <c r="H777" s="2" t="s">
        <v>617</v>
      </c>
      <c r="I777" s="6" t="s">
        <v>25</v>
      </c>
      <c r="J777" s="2" t="s">
        <v>618</v>
      </c>
      <c r="K777" s="2" t="s">
        <v>619</v>
      </c>
      <c r="L777" s="2" t="s">
        <v>28</v>
      </c>
      <c r="M777" s="2" t="s">
        <v>5</v>
      </c>
      <c r="N777" s="4">
        <v>9422.74</v>
      </c>
    </row>
    <row r="778" spans="1:14" x14ac:dyDescent="0.25">
      <c r="A778" s="2" t="s">
        <v>203</v>
      </c>
      <c r="B778" s="2" t="s">
        <v>204</v>
      </c>
      <c r="C778" s="3">
        <v>31.11</v>
      </c>
      <c r="D778" s="4">
        <v>466.65</v>
      </c>
      <c r="E778" s="4">
        <v>155.55000000000001</v>
      </c>
      <c r="F778" s="4">
        <f t="shared" si="57"/>
        <v>311.09999999999997</v>
      </c>
      <c r="G778" s="5">
        <f t="shared" si="58"/>
        <v>0.66666666666666663</v>
      </c>
      <c r="H778" s="2" t="s">
        <v>617</v>
      </c>
      <c r="I778" s="6" t="s">
        <v>25</v>
      </c>
      <c r="J778" s="2" t="s">
        <v>618</v>
      </c>
      <c r="K778" s="2" t="s">
        <v>619</v>
      </c>
      <c r="L778" s="2" t="s">
        <v>28</v>
      </c>
      <c r="M778" s="2" t="s">
        <v>5</v>
      </c>
      <c r="N778" s="4">
        <v>9422.74</v>
      </c>
    </row>
    <row r="779" spans="1:14" x14ac:dyDescent="0.25">
      <c r="A779" s="2" t="s">
        <v>118</v>
      </c>
      <c r="B779" s="2" t="s">
        <v>119</v>
      </c>
      <c r="C779" s="3">
        <v>60</v>
      </c>
      <c r="D779" s="4">
        <v>910.8</v>
      </c>
      <c r="E779" s="4">
        <v>450</v>
      </c>
      <c r="F779" s="4">
        <f t="shared" si="57"/>
        <v>460.79999999999995</v>
      </c>
      <c r="G779" s="5">
        <f t="shared" si="58"/>
        <v>0.50592885375494068</v>
      </c>
      <c r="H779" s="2" t="s">
        <v>617</v>
      </c>
      <c r="I779" s="6" t="s">
        <v>25</v>
      </c>
      <c r="J779" s="2" t="s">
        <v>618</v>
      </c>
      <c r="K779" s="2" t="s">
        <v>619</v>
      </c>
      <c r="L779" s="2" t="s">
        <v>28</v>
      </c>
      <c r="M779" s="2" t="s">
        <v>5</v>
      </c>
      <c r="N779" s="4">
        <v>9422.74</v>
      </c>
    </row>
    <row r="780" spans="1:14" x14ac:dyDescent="0.25">
      <c r="A780" s="2" t="s">
        <v>620</v>
      </c>
      <c r="B780" s="2" t="s">
        <v>621</v>
      </c>
      <c r="C780" s="3">
        <v>16.37</v>
      </c>
      <c r="D780" s="4">
        <v>156.6609</v>
      </c>
      <c r="E780" s="4">
        <v>163.69999999999999</v>
      </c>
      <c r="F780" s="4">
        <f t="shared" si="57"/>
        <v>-7.0390999999999906</v>
      </c>
      <c r="G780" s="5">
        <f t="shared" si="58"/>
        <v>-4.4932079414837976E-2</v>
      </c>
      <c r="H780" s="2" t="s">
        <v>617</v>
      </c>
      <c r="I780" s="6" t="s">
        <v>25</v>
      </c>
      <c r="J780" s="2" t="s">
        <v>618</v>
      </c>
      <c r="K780" s="2" t="s">
        <v>619</v>
      </c>
      <c r="L780" s="2" t="s">
        <v>28</v>
      </c>
      <c r="M780" s="2" t="s">
        <v>5</v>
      </c>
      <c r="N780" s="4">
        <v>9422.74</v>
      </c>
    </row>
    <row r="781" spans="1:14" x14ac:dyDescent="0.25">
      <c r="A781" s="2" t="s">
        <v>43</v>
      </c>
      <c r="B781" s="2" t="s">
        <v>44</v>
      </c>
      <c r="C781" s="3">
        <v>15.2</v>
      </c>
      <c r="D781" s="4">
        <v>138.32</v>
      </c>
      <c r="E781" s="4">
        <v>82.08</v>
      </c>
      <c r="F781" s="4">
        <f t="shared" si="57"/>
        <v>56.239999999999995</v>
      </c>
      <c r="G781" s="5">
        <f t="shared" si="58"/>
        <v>0.40659340659340659</v>
      </c>
      <c r="H781" s="2" t="s">
        <v>617</v>
      </c>
      <c r="I781" s="6" t="s">
        <v>25</v>
      </c>
      <c r="J781" s="2" t="s">
        <v>618</v>
      </c>
      <c r="K781" s="2" t="s">
        <v>619</v>
      </c>
      <c r="L781" s="2" t="s">
        <v>28</v>
      </c>
      <c r="M781" s="2" t="s">
        <v>5</v>
      </c>
      <c r="N781" s="4">
        <v>9422.74</v>
      </c>
    </row>
    <row r="782" spans="1:14" x14ac:dyDescent="0.25">
      <c r="A782" s="2" t="s">
        <v>211</v>
      </c>
      <c r="B782" s="2" t="s">
        <v>212</v>
      </c>
      <c r="C782" s="3">
        <v>53.43</v>
      </c>
      <c r="D782" s="4">
        <v>238.8321</v>
      </c>
      <c r="E782" s="4">
        <v>133.57499999999999</v>
      </c>
      <c r="F782" s="4">
        <f t="shared" si="57"/>
        <v>105.25710000000001</v>
      </c>
      <c r="G782" s="5">
        <f t="shared" si="58"/>
        <v>0.44071588366890385</v>
      </c>
      <c r="H782" s="2" t="s">
        <v>617</v>
      </c>
      <c r="I782" s="6" t="s">
        <v>25</v>
      </c>
      <c r="J782" s="2" t="s">
        <v>618</v>
      </c>
      <c r="K782" s="2" t="s">
        <v>619</v>
      </c>
      <c r="L782" s="2" t="s">
        <v>28</v>
      </c>
      <c r="M782" s="2" t="s">
        <v>5</v>
      </c>
      <c r="N782" s="4">
        <v>9422.74</v>
      </c>
    </row>
    <row r="783" spans="1:14" x14ac:dyDescent="0.25">
      <c r="A783" s="2" t="s">
        <v>156</v>
      </c>
      <c r="B783" s="2" t="s">
        <v>157</v>
      </c>
      <c r="C783" s="3">
        <v>40</v>
      </c>
      <c r="D783" s="4">
        <v>468.8</v>
      </c>
      <c r="E783" s="4">
        <v>360</v>
      </c>
      <c r="F783" s="4">
        <f t="shared" si="57"/>
        <v>108.80000000000001</v>
      </c>
      <c r="G783" s="5">
        <f t="shared" si="58"/>
        <v>0.23208191126279865</v>
      </c>
      <c r="H783" s="2" t="s">
        <v>617</v>
      </c>
      <c r="I783" s="6" t="s">
        <v>25</v>
      </c>
      <c r="J783" s="2" t="s">
        <v>618</v>
      </c>
      <c r="K783" s="2" t="s">
        <v>619</v>
      </c>
      <c r="L783" s="2" t="s">
        <v>28</v>
      </c>
      <c r="M783" s="2" t="s">
        <v>5</v>
      </c>
      <c r="N783" s="4">
        <v>9422.74</v>
      </c>
    </row>
    <row r="784" spans="1:14" x14ac:dyDescent="0.25">
      <c r="A784" s="2" t="s">
        <v>622</v>
      </c>
      <c r="B784" s="2" t="s">
        <v>623</v>
      </c>
      <c r="C784" s="3">
        <v>16</v>
      </c>
      <c r="D784" s="4">
        <v>339.52</v>
      </c>
      <c r="E784" s="4">
        <v>224</v>
      </c>
      <c r="F784" s="4">
        <f t="shared" si="57"/>
        <v>115.51999999999998</v>
      </c>
      <c r="G784" s="5">
        <f t="shared" si="58"/>
        <v>0.34024505183788872</v>
      </c>
      <c r="H784" s="2" t="s">
        <v>617</v>
      </c>
      <c r="I784" s="6" t="s">
        <v>25</v>
      </c>
      <c r="J784" s="2" t="s">
        <v>618</v>
      </c>
      <c r="K784" s="2" t="s">
        <v>619</v>
      </c>
      <c r="L784" s="2" t="s">
        <v>28</v>
      </c>
      <c r="M784" s="2" t="s">
        <v>5</v>
      </c>
      <c r="N784" s="4">
        <v>9422.74</v>
      </c>
    </row>
    <row r="785" spans="1:14" x14ac:dyDescent="0.25">
      <c r="A785" s="2" t="s">
        <v>603</v>
      </c>
      <c r="B785" s="2" t="s">
        <v>604</v>
      </c>
      <c r="C785" s="3">
        <v>40.92</v>
      </c>
      <c r="D785" s="4">
        <v>740.65200000000004</v>
      </c>
      <c r="E785" s="4">
        <v>474.67200000000003</v>
      </c>
      <c r="F785" s="4">
        <f t="shared" si="57"/>
        <v>265.98</v>
      </c>
      <c r="G785" s="5">
        <f t="shared" si="58"/>
        <v>0.35911602209944754</v>
      </c>
      <c r="H785" s="2" t="s">
        <v>617</v>
      </c>
      <c r="I785" s="6" t="s">
        <v>25</v>
      </c>
      <c r="J785" s="2" t="s">
        <v>618</v>
      </c>
      <c r="K785" s="2" t="s">
        <v>619</v>
      </c>
      <c r="L785" s="2" t="s">
        <v>28</v>
      </c>
      <c r="M785" s="2" t="s">
        <v>5</v>
      </c>
      <c r="N785" s="4">
        <v>9422.74</v>
      </c>
    </row>
    <row r="786" spans="1:14" x14ac:dyDescent="0.25">
      <c r="A786" s="2" t="s">
        <v>51</v>
      </c>
      <c r="B786" s="2" t="s">
        <v>52</v>
      </c>
      <c r="C786" s="3">
        <v>86.16</v>
      </c>
      <c r="D786" s="4">
        <v>1472.4744000000001</v>
      </c>
      <c r="E786" s="4">
        <v>1421.64</v>
      </c>
      <c r="F786" s="4">
        <f t="shared" si="57"/>
        <v>50.83439999999996</v>
      </c>
      <c r="G786" s="5">
        <f t="shared" si="58"/>
        <v>3.4523112931538882E-2</v>
      </c>
      <c r="H786" s="2" t="s">
        <v>617</v>
      </c>
      <c r="I786" s="6" t="s">
        <v>25</v>
      </c>
      <c r="J786" s="2" t="s">
        <v>618</v>
      </c>
      <c r="K786" s="2" t="s">
        <v>619</v>
      </c>
      <c r="L786" s="2" t="s">
        <v>28</v>
      </c>
      <c r="M786" s="2" t="s">
        <v>5</v>
      </c>
      <c r="N786" s="4">
        <v>9422.74</v>
      </c>
    </row>
    <row r="787" spans="1:14" x14ac:dyDescent="0.25">
      <c r="A787" s="2" t="s">
        <v>624</v>
      </c>
      <c r="B787" s="2" t="s">
        <v>625</v>
      </c>
      <c r="C787" s="3">
        <v>30.84</v>
      </c>
      <c r="D787" s="4">
        <v>347.25839999999999</v>
      </c>
      <c r="E787" s="4">
        <v>231.3</v>
      </c>
      <c r="F787" s="4">
        <f t="shared" si="57"/>
        <v>115.95839999999998</v>
      </c>
      <c r="G787" s="5">
        <f t="shared" si="58"/>
        <v>0.33392539964476015</v>
      </c>
      <c r="H787" s="2" t="s">
        <v>617</v>
      </c>
      <c r="I787" s="6" t="s">
        <v>25</v>
      </c>
      <c r="J787" s="2" t="s">
        <v>618</v>
      </c>
      <c r="K787" s="2" t="s">
        <v>619</v>
      </c>
      <c r="L787" s="2" t="s">
        <v>28</v>
      </c>
      <c r="M787" s="2" t="s">
        <v>5</v>
      </c>
      <c r="N787" s="4">
        <v>9422.74</v>
      </c>
    </row>
    <row r="788" spans="1:14" x14ac:dyDescent="0.25">
      <c r="A788" s="2" t="s">
        <v>626</v>
      </c>
      <c r="B788" s="2" t="s">
        <v>627</v>
      </c>
      <c r="C788" s="3">
        <v>14.91</v>
      </c>
      <c r="D788" s="4">
        <v>0</v>
      </c>
      <c r="E788" s="4">
        <v>208.74</v>
      </c>
      <c r="F788" s="4">
        <f t="shared" si="57"/>
        <v>-208.74</v>
      </c>
      <c r="G788" s="5">
        <f t="shared" si="58"/>
        <v>0</v>
      </c>
      <c r="H788" s="2" t="s">
        <v>617</v>
      </c>
      <c r="I788" s="6" t="s">
        <v>25</v>
      </c>
      <c r="J788" s="2" t="s">
        <v>618</v>
      </c>
      <c r="K788" s="2" t="s">
        <v>619</v>
      </c>
      <c r="L788" s="2" t="s">
        <v>28</v>
      </c>
      <c r="M788" s="2" t="s">
        <v>5</v>
      </c>
      <c r="N788" s="4">
        <v>9422.74</v>
      </c>
    </row>
    <row r="789" spans="1:14" x14ac:dyDescent="0.25">
      <c r="A789" s="2" t="s">
        <v>589</v>
      </c>
      <c r="B789" s="2" t="s">
        <v>590</v>
      </c>
      <c r="C789" s="3">
        <v>104.32</v>
      </c>
      <c r="D789" s="4">
        <v>1894.4512</v>
      </c>
      <c r="E789" s="4">
        <v>1434.4</v>
      </c>
      <c r="F789" s="4">
        <f t="shared" si="57"/>
        <v>460.05119999999988</v>
      </c>
      <c r="G789" s="5">
        <f t="shared" si="58"/>
        <v>0.2428414096916299</v>
      </c>
      <c r="H789" s="2" t="s">
        <v>617</v>
      </c>
      <c r="I789" s="6" t="s">
        <v>25</v>
      </c>
      <c r="J789" s="2" t="s">
        <v>618</v>
      </c>
      <c r="K789" s="2" t="s">
        <v>619</v>
      </c>
      <c r="L789" s="2" t="s">
        <v>28</v>
      </c>
      <c r="M789" s="2" t="s">
        <v>5</v>
      </c>
      <c r="N789" s="4">
        <v>9422.74</v>
      </c>
    </row>
    <row r="790" spans="1:14" x14ac:dyDescent="0.25">
      <c r="A790" s="2" t="s">
        <v>250</v>
      </c>
      <c r="B790" s="2" t="s">
        <v>251</v>
      </c>
      <c r="C790" s="3">
        <v>41.4</v>
      </c>
      <c r="D790" s="4">
        <v>510.46199999999999</v>
      </c>
      <c r="E790" s="4">
        <v>351.9</v>
      </c>
      <c r="F790" s="4">
        <f t="shared" si="57"/>
        <v>158.56200000000001</v>
      </c>
      <c r="G790" s="5">
        <f t="shared" si="58"/>
        <v>0.31062449310624496</v>
      </c>
      <c r="H790" s="2" t="s">
        <v>617</v>
      </c>
      <c r="I790" s="6" t="s">
        <v>25</v>
      </c>
      <c r="J790" s="2" t="s">
        <v>618</v>
      </c>
      <c r="K790" s="2" t="s">
        <v>619</v>
      </c>
      <c r="L790" s="2" t="s">
        <v>28</v>
      </c>
      <c r="M790" s="2" t="s">
        <v>5</v>
      </c>
      <c r="N790" s="4">
        <v>9422.74</v>
      </c>
    </row>
    <row r="791" spans="1:14" x14ac:dyDescent="0.25">
      <c r="A791" s="2" t="s">
        <v>593</v>
      </c>
      <c r="B791" s="2" t="s">
        <v>594</v>
      </c>
      <c r="C791" s="3">
        <v>42.454999999999998</v>
      </c>
      <c r="D791" s="4">
        <v>406.29435000000001</v>
      </c>
      <c r="E791" s="4">
        <v>246.239</v>
      </c>
      <c r="F791" s="4">
        <f t="shared" si="57"/>
        <v>160.05535</v>
      </c>
      <c r="G791" s="5">
        <f t="shared" si="58"/>
        <v>0.39393939393939392</v>
      </c>
      <c r="H791" s="2" t="s">
        <v>617</v>
      </c>
      <c r="I791" s="6" t="s">
        <v>25</v>
      </c>
      <c r="J791" s="2" t="s">
        <v>618</v>
      </c>
      <c r="K791" s="2" t="s">
        <v>619</v>
      </c>
      <c r="L791" s="2" t="s">
        <v>28</v>
      </c>
      <c r="M791" s="2" t="s">
        <v>5</v>
      </c>
      <c r="N791" s="4">
        <v>9422.74</v>
      </c>
    </row>
    <row r="793" spans="1:14" x14ac:dyDescent="0.25">
      <c r="A793" s="13" t="s">
        <v>59</v>
      </c>
      <c r="B793" s="21"/>
      <c r="C793" s="22">
        <f>SUM(C773:C792)</f>
        <v>714.44</v>
      </c>
      <c r="D793" s="23">
        <f>SUM(D773:D792)</f>
        <v>9422.735349999999</v>
      </c>
      <c r="E793" s="23">
        <f>SUM(E773:E792)</f>
        <v>6794.0459999999985</v>
      </c>
      <c r="F793" s="23">
        <f>D793-E793</f>
        <v>2628.6893500000006</v>
      </c>
      <c r="G793" s="24">
        <f>IF(((D793)=0),0,(D793-E793)/ D793)</f>
        <v>0.27897306380360143</v>
      </c>
      <c r="H793" s="21"/>
      <c r="I793" s="21"/>
      <c r="J793" s="21"/>
      <c r="K793" s="21"/>
      <c r="L793" s="21"/>
      <c r="M793" s="21"/>
      <c r="N793" s="21"/>
    </row>
    <row r="795" spans="1:14" s="17" customFormat="1" ht="18.75" x14ac:dyDescent="0.3"/>
    <row r="796" spans="1:14" s="7" customFormat="1" x14ac:dyDescent="0.25">
      <c r="A796" s="13" t="s">
        <v>628</v>
      </c>
      <c r="B796" s="18" t="s">
        <v>629</v>
      </c>
      <c r="C796" s="19"/>
      <c r="D796" s="20" t="s">
        <v>5</v>
      </c>
      <c r="E796" s="19"/>
      <c r="F796" s="19"/>
      <c r="G796" s="19"/>
      <c r="H796" s="19"/>
      <c r="I796" s="19"/>
      <c r="J796" s="19"/>
      <c r="K796" s="19"/>
      <c r="L796" s="19"/>
      <c r="M796" s="19"/>
      <c r="N796" s="19"/>
    </row>
    <row r="798" spans="1:14" x14ac:dyDescent="0.25">
      <c r="A798" s="2" t="s">
        <v>53</v>
      </c>
      <c r="B798" s="2" t="s">
        <v>54</v>
      </c>
      <c r="C798" s="3">
        <v>4.1050000000000004</v>
      </c>
      <c r="D798" s="4">
        <v>48.192700000000002</v>
      </c>
      <c r="E798" s="4">
        <v>29.9665</v>
      </c>
      <c r="F798" s="4">
        <f>D798-E798</f>
        <v>18.226200000000002</v>
      </c>
      <c r="G798" s="5">
        <f>IF(((D798)=0),0,(D798-E798)/ D798)</f>
        <v>0.37819420783645658</v>
      </c>
      <c r="H798" s="2" t="s">
        <v>630</v>
      </c>
      <c r="I798" s="6" t="s">
        <v>32</v>
      </c>
      <c r="J798" s="2" t="s">
        <v>631</v>
      </c>
      <c r="K798" s="2" t="s">
        <v>5</v>
      </c>
      <c r="L798" s="2" t="s">
        <v>28</v>
      </c>
      <c r="M798" s="2" t="s">
        <v>5</v>
      </c>
      <c r="N798" s="4">
        <v>603.91999999999996</v>
      </c>
    </row>
    <row r="799" spans="1:14" x14ac:dyDescent="0.25">
      <c r="A799" s="2" t="s">
        <v>632</v>
      </c>
      <c r="B799" s="2" t="s">
        <v>633</v>
      </c>
      <c r="C799" s="3">
        <v>3.3079999999999998</v>
      </c>
      <c r="D799" s="4">
        <v>53.060319999999997</v>
      </c>
      <c r="E799" s="4">
        <v>41.019199999999998</v>
      </c>
      <c r="F799" s="4">
        <f>D799-E799</f>
        <v>12.041119999999999</v>
      </c>
      <c r="G799" s="5">
        <f>IF(((D799)=0),0,(D799-E799)/ D799)</f>
        <v>0.22693266832917705</v>
      </c>
      <c r="H799" s="2" t="s">
        <v>630</v>
      </c>
      <c r="I799" s="6" t="s">
        <v>32</v>
      </c>
      <c r="J799" s="2" t="s">
        <v>631</v>
      </c>
      <c r="K799" s="2" t="s">
        <v>5</v>
      </c>
      <c r="L799" s="2" t="s">
        <v>28</v>
      </c>
      <c r="M799" s="2" t="s">
        <v>5</v>
      </c>
      <c r="N799" s="4">
        <v>603.91999999999996</v>
      </c>
    </row>
    <row r="800" spans="1:14" x14ac:dyDescent="0.25">
      <c r="A800" s="2" t="s">
        <v>634</v>
      </c>
      <c r="B800" s="2" t="s">
        <v>635</v>
      </c>
      <c r="C800" s="3">
        <v>9.8949999999999996</v>
      </c>
      <c r="D800" s="4">
        <v>158.5179</v>
      </c>
      <c r="E800" s="4">
        <v>123.6875</v>
      </c>
      <c r="F800" s="4">
        <f>D800-E800</f>
        <v>34.830399999999997</v>
      </c>
      <c r="G800" s="5">
        <f>IF(((D800)=0),0,(D800-E800)/ D800)</f>
        <v>0.21972534332084892</v>
      </c>
      <c r="H800" s="2" t="s">
        <v>630</v>
      </c>
      <c r="I800" s="6" t="s">
        <v>32</v>
      </c>
      <c r="J800" s="2" t="s">
        <v>631</v>
      </c>
      <c r="K800" s="2" t="s">
        <v>5</v>
      </c>
      <c r="L800" s="2" t="s">
        <v>28</v>
      </c>
      <c r="M800" s="2" t="s">
        <v>5</v>
      </c>
      <c r="N800" s="4">
        <v>603.91999999999996</v>
      </c>
    </row>
    <row r="801" spans="1:14" x14ac:dyDescent="0.25">
      <c r="A801" s="2" t="s">
        <v>250</v>
      </c>
      <c r="B801" s="2" t="s">
        <v>251</v>
      </c>
      <c r="C801" s="3">
        <v>23.8</v>
      </c>
      <c r="D801" s="4">
        <v>344.14800000000002</v>
      </c>
      <c r="E801" s="4">
        <v>202.3</v>
      </c>
      <c r="F801" s="4">
        <f>D801-E801</f>
        <v>141.84800000000001</v>
      </c>
      <c r="G801" s="5">
        <f>IF(((D801)=0),0,(D801-E801)/ D801)</f>
        <v>0.41217150760719229</v>
      </c>
      <c r="H801" s="2" t="s">
        <v>630</v>
      </c>
      <c r="I801" s="6" t="s">
        <v>32</v>
      </c>
      <c r="J801" s="2" t="s">
        <v>631</v>
      </c>
      <c r="K801" s="2" t="s">
        <v>5</v>
      </c>
      <c r="L801" s="2" t="s">
        <v>28</v>
      </c>
      <c r="M801" s="2" t="s">
        <v>5</v>
      </c>
      <c r="N801" s="4">
        <v>603.91999999999996</v>
      </c>
    </row>
    <row r="803" spans="1:14" x14ac:dyDescent="0.25">
      <c r="A803" s="13" t="s">
        <v>59</v>
      </c>
      <c r="B803" s="21"/>
      <c r="C803" s="22">
        <f>SUM(C795:C802)</f>
        <v>41.108000000000004</v>
      </c>
      <c r="D803" s="23">
        <f>SUM(D795:D802)</f>
        <v>603.91892000000007</v>
      </c>
      <c r="E803" s="23">
        <f>SUM(E795:E802)</f>
        <v>396.97320000000002</v>
      </c>
      <c r="F803" s="23">
        <f>D803-E803</f>
        <v>206.94572000000005</v>
      </c>
      <c r="G803" s="24">
        <f>IF(((D803)=0),0,(D803-E803)/ D803)</f>
        <v>0.34267136389765701</v>
      </c>
      <c r="H803" s="21"/>
      <c r="I803" s="21"/>
      <c r="J803" s="21"/>
      <c r="K803" s="21"/>
      <c r="L803" s="21"/>
      <c r="M803" s="21"/>
      <c r="N803" s="21"/>
    </row>
    <row r="805" spans="1:14" s="17" customFormat="1" ht="18.75" x14ac:dyDescent="0.3"/>
    <row r="806" spans="1:14" s="7" customFormat="1" x14ac:dyDescent="0.25">
      <c r="A806" s="13" t="s">
        <v>636</v>
      </c>
      <c r="B806" s="18" t="s">
        <v>637</v>
      </c>
      <c r="C806" s="19"/>
      <c r="D806" s="20" t="s">
        <v>5</v>
      </c>
      <c r="E806" s="19"/>
      <c r="F806" s="19"/>
      <c r="G806" s="19"/>
      <c r="H806" s="19"/>
      <c r="I806" s="19"/>
      <c r="J806" s="19"/>
      <c r="K806" s="19"/>
      <c r="L806" s="19"/>
      <c r="M806" s="19"/>
      <c r="N806" s="19"/>
    </row>
    <row r="808" spans="1:14" x14ac:dyDescent="0.25">
      <c r="A808" s="2" t="s">
        <v>246</v>
      </c>
      <c r="B808" s="2" t="s">
        <v>247</v>
      </c>
      <c r="C808" s="3">
        <v>20.48</v>
      </c>
      <c r="D808" s="4">
        <v>471.04</v>
      </c>
      <c r="E808" s="4">
        <v>332.8</v>
      </c>
      <c r="F808" s="4">
        <f>D808-E808</f>
        <v>138.24</v>
      </c>
      <c r="G808" s="5">
        <f>IF(((D808)=0),0,(D808-E808)/ D808)</f>
        <v>0.29347826086956524</v>
      </c>
      <c r="H808" s="2" t="s">
        <v>638</v>
      </c>
      <c r="I808" s="6" t="s">
        <v>69</v>
      </c>
      <c r="J808" s="2" t="s">
        <v>639</v>
      </c>
      <c r="K808" s="2" t="s">
        <v>5</v>
      </c>
      <c r="L808" s="2" t="s">
        <v>28</v>
      </c>
      <c r="M808" s="2" t="s">
        <v>5</v>
      </c>
      <c r="N808" s="4">
        <v>471.04</v>
      </c>
    </row>
    <row r="810" spans="1:14" x14ac:dyDescent="0.25">
      <c r="A810" s="13" t="s">
        <v>59</v>
      </c>
      <c r="B810" s="21"/>
      <c r="C810" s="22">
        <f>SUM(C805:C809)</f>
        <v>20.48</v>
      </c>
      <c r="D810" s="23">
        <f>SUM(D805:D809)</f>
        <v>471.04</v>
      </c>
      <c r="E810" s="23">
        <f>SUM(E805:E809)</f>
        <v>332.8</v>
      </c>
      <c r="F810" s="23">
        <f>D810-E810</f>
        <v>138.24</v>
      </c>
      <c r="G810" s="24">
        <f>IF(((D810)=0),0,(D810-E810)/ D810)</f>
        <v>0.29347826086956524</v>
      </c>
      <c r="H810" s="21"/>
      <c r="I810" s="21"/>
      <c r="J810" s="21"/>
      <c r="K810" s="21"/>
      <c r="L810" s="21"/>
      <c r="M810" s="21"/>
      <c r="N810" s="21"/>
    </row>
    <row r="812" spans="1:14" s="17" customFormat="1" ht="18.75" x14ac:dyDescent="0.3"/>
    <row r="813" spans="1:14" s="7" customFormat="1" x14ac:dyDescent="0.25">
      <c r="A813" s="13" t="s">
        <v>640</v>
      </c>
      <c r="B813" s="18" t="s">
        <v>641</v>
      </c>
      <c r="C813" s="19"/>
      <c r="D813" s="20" t="s">
        <v>5</v>
      </c>
      <c r="E813" s="19"/>
      <c r="F813" s="19"/>
      <c r="G813" s="19"/>
      <c r="H813" s="19"/>
      <c r="I813" s="19"/>
      <c r="J813" s="19"/>
      <c r="K813" s="19"/>
      <c r="L813" s="19"/>
      <c r="M813" s="19"/>
      <c r="N813" s="19"/>
    </row>
    <row r="815" spans="1:14" x14ac:dyDescent="0.25">
      <c r="A815" s="2" t="s">
        <v>566</v>
      </c>
      <c r="B815" s="2" t="s">
        <v>567</v>
      </c>
      <c r="C815" s="3">
        <v>60.94</v>
      </c>
      <c r="D815" s="4">
        <v>1029.886</v>
      </c>
      <c r="E815" s="4">
        <v>694.71600000000001</v>
      </c>
      <c r="F815" s="4">
        <f>D815-E815</f>
        <v>335.16999999999996</v>
      </c>
      <c r="G815" s="5">
        <f>IF(((D815)=0),0,(D815-E815)/ D815)</f>
        <v>0.32544378698224852</v>
      </c>
      <c r="H815" s="2" t="s">
        <v>642</v>
      </c>
      <c r="I815" s="6" t="s">
        <v>69</v>
      </c>
      <c r="J815" s="2" t="s">
        <v>643</v>
      </c>
      <c r="K815" s="2" t="s">
        <v>5</v>
      </c>
      <c r="L815" s="2" t="s">
        <v>28</v>
      </c>
      <c r="M815" s="2" t="s">
        <v>5</v>
      </c>
      <c r="N815" s="4">
        <v>4291.76</v>
      </c>
    </row>
    <row r="816" spans="1:14" x14ac:dyDescent="0.25">
      <c r="A816" s="2" t="s">
        <v>611</v>
      </c>
      <c r="B816" s="2" t="s">
        <v>612</v>
      </c>
      <c r="C816" s="3">
        <v>45.52</v>
      </c>
      <c r="D816" s="4">
        <v>273.12</v>
      </c>
      <c r="E816" s="4">
        <v>163.87200000000001</v>
      </c>
      <c r="F816" s="4">
        <f>D816-E816</f>
        <v>109.24799999999999</v>
      </c>
      <c r="G816" s="5">
        <f>IF(((D816)=0),0,(D816-E816)/ D816)</f>
        <v>0.39999999999999997</v>
      </c>
      <c r="H816" s="2" t="s">
        <v>644</v>
      </c>
      <c r="I816" s="6" t="s">
        <v>32</v>
      </c>
      <c r="J816" s="2" t="s">
        <v>645</v>
      </c>
      <c r="K816" s="2" t="s">
        <v>5</v>
      </c>
      <c r="L816" s="2" t="s">
        <v>28</v>
      </c>
      <c r="M816" s="2" t="s">
        <v>5</v>
      </c>
      <c r="N816" s="4">
        <v>2883.78</v>
      </c>
    </row>
    <row r="817" spans="1:14" x14ac:dyDescent="0.25">
      <c r="A817" s="2" t="s">
        <v>646</v>
      </c>
      <c r="B817" s="2" t="s">
        <v>647</v>
      </c>
      <c r="C817" s="3">
        <v>16.760000000000002</v>
      </c>
      <c r="D817" s="4">
        <v>681.29399999999998</v>
      </c>
      <c r="E817" s="4">
        <v>519.55999999999995</v>
      </c>
      <c r="F817" s="4">
        <f>D817-E817</f>
        <v>161.73400000000004</v>
      </c>
      <c r="G817" s="5">
        <f>IF(((D817)=0),0,(D817-E817)/ D817)</f>
        <v>0.2373923739237393</v>
      </c>
      <c r="H817" s="2" t="s">
        <v>642</v>
      </c>
      <c r="I817" s="6" t="s">
        <v>69</v>
      </c>
      <c r="J817" s="2" t="s">
        <v>643</v>
      </c>
      <c r="K817" s="2" t="s">
        <v>5</v>
      </c>
      <c r="L817" s="2" t="s">
        <v>28</v>
      </c>
      <c r="M817" s="2" t="s">
        <v>5</v>
      </c>
      <c r="N817" s="4">
        <v>4291.76</v>
      </c>
    </row>
    <row r="818" spans="1:14" x14ac:dyDescent="0.25">
      <c r="A818" s="2" t="s">
        <v>589</v>
      </c>
      <c r="B818" s="2" t="s">
        <v>590</v>
      </c>
      <c r="C818" s="3">
        <v>118.375</v>
      </c>
      <c r="D818" s="4">
        <v>2580.5749999999998</v>
      </c>
      <c r="E818" s="4">
        <v>1627.65625</v>
      </c>
      <c r="F818" s="4">
        <f>D818-E818</f>
        <v>952.91874999999982</v>
      </c>
      <c r="G818" s="5">
        <f>IF(((D818)=0),0,(D818-E818)/ D818)</f>
        <v>0.36926605504587151</v>
      </c>
      <c r="H818" s="2" t="s">
        <v>642</v>
      </c>
      <c r="I818" s="6" t="s">
        <v>69</v>
      </c>
      <c r="J818" s="2" t="s">
        <v>643</v>
      </c>
      <c r="K818" s="2" t="s">
        <v>5</v>
      </c>
      <c r="L818" s="2" t="s">
        <v>28</v>
      </c>
      <c r="M818" s="2" t="s">
        <v>5</v>
      </c>
      <c r="N818" s="4">
        <v>4291.76</v>
      </c>
    </row>
    <row r="819" spans="1:14" x14ac:dyDescent="0.25">
      <c r="A819" s="2" t="s">
        <v>589</v>
      </c>
      <c r="B819" s="2" t="s">
        <v>590</v>
      </c>
      <c r="C819" s="3">
        <v>119.755</v>
      </c>
      <c r="D819" s="4">
        <v>2610.6590000000001</v>
      </c>
      <c r="E819" s="4">
        <v>1646.6312499999999</v>
      </c>
      <c r="F819" s="4">
        <f>D819-E819</f>
        <v>964.0277500000002</v>
      </c>
      <c r="G819" s="5">
        <f>IF(((D819)=0),0,(D819-E819)/ D819)</f>
        <v>0.36926605504587162</v>
      </c>
      <c r="H819" s="2" t="s">
        <v>644</v>
      </c>
      <c r="I819" s="6" t="s">
        <v>32</v>
      </c>
      <c r="J819" s="2" t="s">
        <v>645</v>
      </c>
      <c r="K819" s="2" t="s">
        <v>5</v>
      </c>
      <c r="L819" s="2" t="s">
        <v>28</v>
      </c>
      <c r="M819" s="2" t="s">
        <v>5</v>
      </c>
      <c r="N819" s="4">
        <v>2883.78</v>
      </c>
    </row>
    <row r="821" spans="1:14" x14ac:dyDescent="0.25">
      <c r="A821" s="13" t="s">
        <v>59</v>
      </c>
      <c r="B821" s="21"/>
      <c r="C821" s="22">
        <f>SUM(C812:C820)</f>
        <v>361.35</v>
      </c>
      <c r="D821" s="23">
        <f>SUM(D812:D820)</f>
        <v>7175.5339999999997</v>
      </c>
      <c r="E821" s="23">
        <f>SUM(E812:E820)</f>
        <v>4652.4354999999996</v>
      </c>
      <c r="F821" s="23">
        <f>D821-E821</f>
        <v>2523.0985000000001</v>
      </c>
      <c r="G821" s="24">
        <f>IF(((D821)=0),0,(D821-E821)/ D821)</f>
        <v>0.3516251891496856</v>
      </c>
      <c r="H821" s="21"/>
      <c r="I821" s="21"/>
      <c r="J821" s="21"/>
      <c r="K821" s="21"/>
      <c r="L821" s="21"/>
      <c r="M821" s="21"/>
      <c r="N821" s="21"/>
    </row>
    <row r="823" spans="1:14" s="17" customFormat="1" ht="18.75" x14ac:dyDescent="0.3"/>
    <row r="824" spans="1:14" s="7" customFormat="1" x14ac:dyDescent="0.25">
      <c r="A824" s="13" t="s">
        <v>648</v>
      </c>
      <c r="B824" s="18" t="s">
        <v>649</v>
      </c>
      <c r="C824" s="19"/>
      <c r="D824" s="20" t="s">
        <v>5</v>
      </c>
      <c r="E824" s="19"/>
      <c r="F824" s="19"/>
      <c r="G824" s="19"/>
      <c r="H824" s="19"/>
      <c r="I824" s="19"/>
      <c r="J824" s="19"/>
      <c r="K824" s="19"/>
      <c r="L824" s="19"/>
      <c r="M824" s="19"/>
      <c r="N824" s="19"/>
    </row>
    <row r="826" spans="1:14" x14ac:dyDescent="0.25">
      <c r="A826" s="2" t="s">
        <v>650</v>
      </c>
      <c r="B826" s="2" t="s">
        <v>651</v>
      </c>
      <c r="C826" s="3">
        <v>14.8</v>
      </c>
      <c r="D826" s="4">
        <v>404.63200000000001</v>
      </c>
      <c r="E826" s="4">
        <v>294.52</v>
      </c>
      <c r="F826" s="4">
        <f t="shared" ref="F826:F845" si="59">D826-E826</f>
        <v>110.11200000000002</v>
      </c>
      <c r="G826" s="5">
        <f t="shared" ref="G826:G845" si="60">IF(((D826)=0),0,(D826-E826)/ D826)</f>
        <v>0.27212874908558893</v>
      </c>
      <c r="H826" s="2" t="s">
        <v>652</v>
      </c>
      <c r="I826" s="6" t="s">
        <v>39</v>
      </c>
      <c r="J826" s="2" t="s">
        <v>653</v>
      </c>
      <c r="K826" s="2" t="s">
        <v>654</v>
      </c>
      <c r="L826" s="2" t="s">
        <v>28</v>
      </c>
      <c r="M826" s="2" t="s">
        <v>5</v>
      </c>
      <c r="N826" s="4">
        <v>1842.33</v>
      </c>
    </row>
    <row r="827" spans="1:14" x14ac:dyDescent="0.25">
      <c r="A827" s="2" t="s">
        <v>29</v>
      </c>
      <c r="B827" s="2" t="s">
        <v>30</v>
      </c>
      <c r="C827" s="3">
        <v>4.07</v>
      </c>
      <c r="D827" s="4">
        <v>62.352400000000003</v>
      </c>
      <c r="E827" s="4">
        <v>40.700000000000003</v>
      </c>
      <c r="F827" s="4">
        <f t="shared" si="59"/>
        <v>21.6524</v>
      </c>
      <c r="G827" s="5">
        <f t="shared" si="60"/>
        <v>0.34725848563968664</v>
      </c>
      <c r="H827" s="2" t="s">
        <v>655</v>
      </c>
      <c r="I827" s="6" t="s">
        <v>32</v>
      </c>
      <c r="J827" s="2" t="s">
        <v>656</v>
      </c>
      <c r="K827" s="2" t="s">
        <v>657</v>
      </c>
      <c r="L827" s="2" t="s">
        <v>28</v>
      </c>
      <c r="M827" s="2" t="s">
        <v>5</v>
      </c>
      <c r="N827" s="4">
        <v>1373.14</v>
      </c>
    </row>
    <row r="828" spans="1:14" x14ac:dyDescent="0.25">
      <c r="A828" s="2" t="s">
        <v>658</v>
      </c>
      <c r="B828" s="2" t="s">
        <v>659</v>
      </c>
      <c r="C828" s="3">
        <v>7.7</v>
      </c>
      <c r="D828" s="4">
        <v>134.75</v>
      </c>
      <c r="E828" s="4">
        <v>42.35</v>
      </c>
      <c r="F828" s="4">
        <f t="shared" si="59"/>
        <v>92.4</v>
      </c>
      <c r="G828" s="5">
        <f t="shared" si="60"/>
        <v>0.68571428571428572</v>
      </c>
      <c r="H828" s="2" t="s">
        <v>652</v>
      </c>
      <c r="I828" s="6" t="s">
        <v>39</v>
      </c>
      <c r="J828" s="2" t="s">
        <v>653</v>
      </c>
      <c r="K828" s="2" t="s">
        <v>654</v>
      </c>
      <c r="L828" s="2" t="s">
        <v>28</v>
      </c>
      <c r="M828" s="2" t="s">
        <v>5</v>
      </c>
      <c r="N828" s="4">
        <v>1842.33</v>
      </c>
    </row>
    <row r="829" spans="1:14" x14ac:dyDescent="0.25">
      <c r="A829" s="2" t="s">
        <v>660</v>
      </c>
      <c r="B829" s="2" t="s">
        <v>661</v>
      </c>
      <c r="C829" s="3">
        <v>19.914999999999999</v>
      </c>
      <c r="D829" s="4">
        <v>305.09780000000001</v>
      </c>
      <c r="E829" s="4">
        <v>137.4135</v>
      </c>
      <c r="F829" s="4">
        <f t="shared" si="59"/>
        <v>167.68430000000001</v>
      </c>
      <c r="G829" s="5">
        <f t="shared" si="60"/>
        <v>0.54960835509138384</v>
      </c>
      <c r="H829" s="2" t="s">
        <v>662</v>
      </c>
      <c r="I829" s="6" t="s">
        <v>25</v>
      </c>
      <c r="J829" s="2" t="s">
        <v>663</v>
      </c>
      <c r="K829" s="2" t="s">
        <v>664</v>
      </c>
      <c r="L829" s="2" t="s">
        <v>28</v>
      </c>
      <c r="M829" s="2" t="s">
        <v>5</v>
      </c>
      <c r="N829" s="4">
        <v>843.38</v>
      </c>
    </row>
    <row r="830" spans="1:14" x14ac:dyDescent="0.25">
      <c r="A830" s="2" t="s">
        <v>660</v>
      </c>
      <c r="B830" s="2" t="s">
        <v>661</v>
      </c>
      <c r="C830" s="3">
        <v>20.254999999999999</v>
      </c>
      <c r="D830" s="4">
        <v>310.3066</v>
      </c>
      <c r="E830" s="4">
        <v>139.7595</v>
      </c>
      <c r="F830" s="4">
        <f t="shared" si="59"/>
        <v>170.5471</v>
      </c>
      <c r="G830" s="5">
        <f t="shared" si="60"/>
        <v>0.54960835509138384</v>
      </c>
      <c r="H830" s="2" t="s">
        <v>652</v>
      </c>
      <c r="I830" s="6" t="s">
        <v>39</v>
      </c>
      <c r="J830" s="2" t="s">
        <v>653</v>
      </c>
      <c r="K830" s="2" t="s">
        <v>654</v>
      </c>
      <c r="L830" s="2" t="s">
        <v>28</v>
      </c>
      <c r="M830" s="2" t="s">
        <v>5</v>
      </c>
      <c r="N830" s="4">
        <v>1842.33</v>
      </c>
    </row>
    <row r="831" spans="1:14" x14ac:dyDescent="0.25">
      <c r="A831" s="2" t="s">
        <v>660</v>
      </c>
      <c r="B831" s="2" t="s">
        <v>661</v>
      </c>
      <c r="C831" s="3">
        <v>20.2</v>
      </c>
      <c r="D831" s="4">
        <v>309.464</v>
      </c>
      <c r="E831" s="4">
        <v>139.38</v>
      </c>
      <c r="F831" s="4">
        <f t="shared" si="59"/>
        <v>170.084</v>
      </c>
      <c r="G831" s="5">
        <f t="shared" si="60"/>
        <v>0.54960835509138384</v>
      </c>
      <c r="H831" s="2" t="s">
        <v>655</v>
      </c>
      <c r="I831" s="6" t="s">
        <v>32</v>
      </c>
      <c r="J831" s="2" t="s">
        <v>656</v>
      </c>
      <c r="K831" s="2" t="s">
        <v>657</v>
      </c>
      <c r="L831" s="2" t="s">
        <v>28</v>
      </c>
      <c r="M831" s="2" t="s">
        <v>5</v>
      </c>
      <c r="N831" s="4">
        <v>1373.14</v>
      </c>
    </row>
    <row r="832" spans="1:14" x14ac:dyDescent="0.25">
      <c r="A832" s="2" t="s">
        <v>45</v>
      </c>
      <c r="B832" s="2" t="s">
        <v>46</v>
      </c>
      <c r="C832" s="3">
        <v>15</v>
      </c>
      <c r="D832" s="4">
        <v>201.3</v>
      </c>
      <c r="E832" s="4">
        <v>109.5</v>
      </c>
      <c r="F832" s="4">
        <f t="shared" si="59"/>
        <v>91.800000000000011</v>
      </c>
      <c r="G832" s="5">
        <f t="shared" si="60"/>
        <v>0.45603576751117736</v>
      </c>
      <c r="H832" s="2" t="s">
        <v>662</v>
      </c>
      <c r="I832" s="6" t="s">
        <v>25</v>
      </c>
      <c r="J832" s="2" t="s">
        <v>663</v>
      </c>
      <c r="K832" s="2" t="s">
        <v>664</v>
      </c>
      <c r="L832" s="2" t="s">
        <v>28</v>
      </c>
      <c r="M832" s="2" t="s">
        <v>5</v>
      </c>
      <c r="N832" s="4">
        <v>843.38</v>
      </c>
    </row>
    <row r="833" spans="1:14" x14ac:dyDescent="0.25">
      <c r="A833" s="2" t="s">
        <v>152</v>
      </c>
      <c r="B833" s="2" t="s">
        <v>153</v>
      </c>
      <c r="C833" s="3">
        <v>11.62</v>
      </c>
      <c r="D833" s="4">
        <v>190.8004</v>
      </c>
      <c r="E833" s="4">
        <v>80.177999999999997</v>
      </c>
      <c r="F833" s="4">
        <f t="shared" si="59"/>
        <v>110.6224</v>
      </c>
      <c r="G833" s="5">
        <f t="shared" si="60"/>
        <v>0.57978075517661387</v>
      </c>
      <c r="H833" s="2" t="s">
        <v>665</v>
      </c>
      <c r="I833" s="6" t="s">
        <v>69</v>
      </c>
      <c r="J833" s="2" t="s">
        <v>666</v>
      </c>
      <c r="K833" s="2" t="s">
        <v>667</v>
      </c>
      <c r="L833" s="2" t="s">
        <v>28</v>
      </c>
      <c r="M833" s="2" t="s">
        <v>5</v>
      </c>
      <c r="N833" s="4">
        <v>1025.51</v>
      </c>
    </row>
    <row r="834" spans="1:14" x14ac:dyDescent="0.25">
      <c r="A834" s="2" t="s">
        <v>581</v>
      </c>
      <c r="B834" s="2" t="s">
        <v>582</v>
      </c>
      <c r="C834" s="3">
        <v>21.14</v>
      </c>
      <c r="D834" s="4">
        <v>323.8648</v>
      </c>
      <c r="E834" s="4">
        <v>183.91800000000001</v>
      </c>
      <c r="F834" s="4">
        <f t="shared" si="59"/>
        <v>139.9468</v>
      </c>
      <c r="G834" s="5">
        <f t="shared" si="60"/>
        <v>0.43211488250652741</v>
      </c>
      <c r="H834" s="2" t="s">
        <v>652</v>
      </c>
      <c r="I834" s="6" t="s">
        <v>39</v>
      </c>
      <c r="J834" s="2" t="s">
        <v>653</v>
      </c>
      <c r="K834" s="2" t="s">
        <v>654</v>
      </c>
      <c r="L834" s="2" t="s">
        <v>28</v>
      </c>
      <c r="M834" s="2" t="s">
        <v>5</v>
      </c>
      <c r="N834" s="4">
        <v>1842.33</v>
      </c>
    </row>
    <row r="835" spans="1:14" x14ac:dyDescent="0.25">
      <c r="A835" s="2" t="s">
        <v>668</v>
      </c>
      <c r="B835" s="2" t="s">
        <v>669</v>
      </c>
      <c r="C835" s="3">
        <v>11.33</v>
      </c>
      <c r="D835" s="4">
        <v>234.98419999999999</v>
      </c>
      <c r="E835" s="4">
        <v>183.54599999999999</v>
      </c>
      <c r="F835" s="4">
        <f t="shared" si="59"/>
        <v>51.438199999999995</v>
      </c>
      <c r="G835" s="5">
        <f t="shared" si="60"/>
        <v>0.21890067502410798</v>
      </c>
      <c r="H835" s="2" t="s">
        <v>665</v>
      </c>
      <c r="I835" s="6" t="s">
        <v>69</v>
      </c>
      <c r="J835" s="2" t="s">
        <v>666</v>
      </c>
      <c r="K835" s="2" t="s">
        <v>667</v>
      </c>
      <c r="L835" s="2" t="s">
        <v>28</v>
      </c>
      <c r="M835" s="2" t="s">
        <v>5</v>
      </c>
      <c r="N835" s="4">
        <v>1025.51</v>
      </c>
    </row>
    <row r="836" spans="1:14" x14ac:dyDescent="0.25">
      <c r="A836" s="2" t="s">
        <v>215</v>
      </c>
      <c r="B836" s="2" t="s">
        <v>216</v>
      </c>
      <c r="C836" s="3">
        <v>13.78</v>
      </c>
      <c r="D836" s="4">
        <v>285.79719999999998</v>
      </c>
      <c r="E836" s="4">
        <v>210.14500000000001</v>
      </c>
      <c r="F836" s="4">
        <f t="shared" si="59"/>
        <v>75.652199999999965</v>
      </c>
      <c r="G836" s="5">
        <f t="shared" si="60"/>
        <v>0.26470588235294107</v>
      </c>
      <c r="H836" s="2" t="s">
        <v>652</v>
      </c>
      <c r="I836" s="6" t="s">
        <v>39</v>
      </c>
      <c r="J836" s="2" t="s">
        <v>653</v>
      </c>
      <c r="K836" s="2" t="s">
        <v>654</v>
      </c>
      <c r="L836" s="2" t="s">
        <v>28</v>
      </c>
      <c r="M836" s="2" t="s">
        <v>5</v>
      </c>
      <c r="N836" s="4">
        <v>1842.33</v>
      </c>
    </row>
    <row r="837" spans="1:14" x14ac:dyDescent="0.25">
      <c r="A837" s="2" t="s">
        <v>215</v>
      </c>
      <c r="B837" s="2" t="s">
        <v>216</v>
      </c>
      <c r="C837" s="3">
        <v>13.14</v>
      </c>
      <c r="D837" s="4">
        <v>272.52359999999999</v>
      </c>
      <c r="E837" s="4">
        <v>200.38499999999999</v>
      </c>
      <c r="F837" s="4">
        <f t="shared" si="59"/>
        <v>72.138599999999997</v>
      </c>
      <c r="G837" s="5">
        <f t="shared" si="60"/>
        <v>0.26470588235294118</v>
      </c>
      <c r="H837" s="2" t="s">
        <v>665</v>
      </c>
      <c r="I837" s="6" t="s">
        <v>69</v>
      </c>
      <c r="J837" s="2" t="s">
        <v>666</v>
      </c>
      <c r="K837" s="2" t="s">
        <v>667</v>
      </c>
      <c r="L837" s="2" t="s">
        <v>28</v>
      </c>
      <c r="M837" s="2" t="s">
        <v>5</v>
      </c>
      <c r="N837" s="4">
        <v>1025.51</v>
      </c>
    </row>
    <row r="838" spans="1:14" x14ac:dyDescent="0.25">
      <c r="A838" s="2" t="s">
        <v>53</v>
      </c>
      <c r="B838" s="2" t="s">
        <v>54</v>
      </c>
      <c r="C838" s="3">
        <v>14.39</v>
      </c>
      <c r="D838" s="4">
        <v>173.11170000000001</v>
      </c>
      <c r="E838" s="4">
        <v>105.047</v>
      </c>
      <c r="F838" s="4">
        <f t="shared" si="59"/>
        <v>68.064700000000016</v>
      </c>
      <c r="G838" s="5">
        <f t="shared" si="60"/>
        <v>0.39318370739817132</v>
      </c>
      <c r="H838" s="2" t="s">
        <v>662</v>
      </c>
      <c r="I838" s="6" t="s">
        <v>25</v>
      </c>
      <c r="J838" s="2" t="s">
        <v>663</v>
      </c>
      <c r="K838" s="2" t="s">
        <v>664</v>
      </c>
      <c r="L838" s="2" t="s">
        <v>28</v>
      </c>
      <c r="M838" s="2" t="s">
        <v>5</v>
      </c>
      <c r="N838" s="4">
        <v>843.38</v>
      </c>
    </row>
    <row r="839" spans="1:14" x14ac:dyDescent="0.25">
      <c r="A839" s="2" t="s">
        <v>53</v>
      </c>
      <c r="B839" s="2" t="s">
        <v>54</v>
      </c>
      <c r="C839" s="3">
        <v>7.73</v>
      </c>
      <c r="D839" s="4">
        <v>92.991900000000001</v>
      </c>
      <c r="E839" s="4">
        <v>56.429000000000002</v>
      </c>
      <c r="F839" s="4">
        <f t="shared" si="59"/>
        <v>36.562899999999999</v>
      </c>
      <c r="G839" s="5">
        <f t="shared" si="60"/>
        <v>0.39318370739817121</v>
      </c>
      <c r="H839" s="2" t="s">
        <v>652</v>
      </c>
      <c r="I839" s="6" t="s">
        <v>39</v>
      </c>
      <c r="J839" s="2" t="s">
        <v>653</v>
      </c>
      <c r="K839" s="2" t="s">
        <v>654</v>
      </c>
      <c r="L839" s="2" t="s">
        <v>28</v>
      </c>
      <c r="M839" s="2" t="s">
        <v>5</v>
      </c>
      <c r="N839" s="4">
        <v>1842.33</v>
      </c>
    </row>
    <row r="840" spans="1:14" x14ac:dyDescent="0.25">
      <c r="A840" s="2" t="s">
        <v>670</v>
      </c>
      <c r="B840" s="2" t="s">
        <v>671</v>
      </c>
      <c r="C840" s="3">
        <v>31.245000000000001</v>
      </c>
      <c r="D840" s="4">
        <v>840.4905</v>
      </c>
      <c r="E840" s="4">
        <v>453.05250000000001</v>
      </c>
      <c r="F840" s="4">
        <f t="shared" si="59"/>
        <v>387.43799999999999</v>
      </c>
      <c r="G840" s="5">
        <f t="shared" si="60"/>
        <v>0.46096654275092935</v>
      </c>
      <c r="H840" s="2" t="s">
        <v>655</v>
      </c>
      <c r="I840" s="6" t="s">
        <v>32</v>
      </c>
      <c r="J840" s="2" t="s">
        <v>656</v>
      </c>
      <c r="K840" s="2" t="s">
        <v>657</v>
      </c>
      <c r="L840" s="2" t="s">
        <v>28</v>
      </c>
      <c r="M840" s="2" t="s">
        <v>5</v>
      </c>
      <c r="N840" s="4">
        <v>1373.14</v>
      </c>
    </row>
    <row r="841" spans="1:14" x14ac:dyDescent="0.25">
      <c r="A841" s="2" t="s">
        <v>634</v>
      </c>
      <c r="B841" s="2" t="s">
        <v>635</v>
      </c>
      <c r="C841" s="3">
        <v>9.02</v>
      </c>
      <c r="D841" s="4">
        <v>148.10839999999999</v>
      </c>
      <c r="E841" s="4">
        <v>112.75</v>
      </c>
      <c r="F841" s="4">
        <f t="shared" si="59"/>
        <v>35.358399999999989</v>
      </c>
      <c r="G841" s="5">
        <f t="shared" si="60"/>
        <v>0.23873325213154684</v>
      </c>
      <c r="H841" s="2" t="s">
        <v>652</v>
      </c>
      <c r="I841" s="6" t="s">
        <v>39</v>
      </c>
      <c r="J841" s="2" t="s">
        <v>653</v>
      </c>
      <c r="K841" s="2" t="s">
        <v>654</v>
      </c>
      <c r="L841" s="2" t="s">
        <v>28</v>
      </c>
      <c r="M841" s="2" t="s">
        <v>5</v>
      </c>
      <c r="N841" s="4">
        <v>1842.33</v>
      </c>
    </row>
    <row r="842" spans="1:14" x14ac:dyDescent="0.25">
      <c r="A842" s="2" t="s">
        <v>634</v>
      </c>
      <c r="B842" s="2" t="s">
        <v>635</v>
      </c>
      <c r="C842" s="3">
        <v>9.7949999999999999</v>
      </c>
      <c r="D842" s="4">
        <v>160.8339</v>
      </c>
      <c r="E842" s="4">
        <v>122.4375</v>
      </c>
      <c r="F842" s="4">
        <f t="shared" si="59"/>
        <v>38.3964</v>
      </c>
      <c r="G842" s="5">
        <f t="shared" si="60"/>
        <v>0.23873325213154689</v>
      </c>
      <c r="H842" s="2" t="s">
        <v>655</v>
      </c>
      <c r="I842" s="6" t="s">
        <v>32</v>
      </c>
      <c r="J842" s="2" t="s">
        <v>656</v>
      </c>
      <c r="K842" s="2" t="s">
        <v>657</v>
      </c>
      <c r="L842" s="2" t="s">
        <v>28</v>
      </c>
      <c r="M842" s="2" t="s">
        <v>5</v>
      </c>
      <c r="N842" s="4">
        <v>1373.14</v>
      </c>
    </row>
    <row r="843" spans="1:14" x14ac:dyDescent="0.25">
      <c r="A843" s="2" t="s">
        <v>634</v>
      </c>
      <c r="B843" s="2" t="s">
        <v>635</v>
      </c>
      <c r="C843" s="3">
        <v>9.98</v>
      </c>
      <c r="D843" s="4">
        <v>163.8716</v>
      </c>
      <c r="E843" s="4">
        <v>124.75</v>
      </c>
      <c r="F843" s="4">
        <f t="shared" si="59"/>
        <v>39.121600000000001</v>
      </c>
      <c r="G843" s="5">
        <f t="shared" si="60"/>
        <v>0.23873325213154689</v>
      </c>
      <c r="H843" s="2" t="s">
        <v>662</v>
      </c>
      <c r="I843" s="6" t="s">
        <v>25</v>
      </c>
      <c r="J843" s="2" t="s">
        <v>663</v>
      </c>
      <c r="K843" s="2" t="s">
        <v>664</v>
      </c>
      <c r="L843" s="2" t="s">
        <v>28</v>
      </c>
      <c r="M843" s="2" t="s">
        <v>5</v>
      </c>
      <c r="N843" s="4">
        <v>843.38</v>
      </c>
    </row>
    <row r="844" spans="1:14" x14ac:dyDescent="0.25">
      <c r="A844" s="2" t="s">
        <v>672</v>
      </c>
      <c r="B844" s="2" t="s">
        <v>673</v>
      </c>
      <c r="C844" s="3">
        <v>5.18</v>
      </c>
      <c r="D844" s="4">
        <v>141.8802</v>
      </c>
      <c r="E844" s="4">
        <v>81.584999999999994</v>
      </c>
      <c r="F844" s="4">
        <f t="shared" si="59"/>
        <v>60.295200000000008</v>
      </c>
      <c r="G844" s="5">
        <f t="shared" si="60"/>
        <v>0.42497261774370215</v>
      </c>
      <c r="H844" s="2" t="s">
        <v>652</v>
      </c>
      <c r="I844" s="6" t="s">
        <v>39</v>
      </c>
      <c r="J844" s="2" t="s">
        <v>653</v>
      </c>
      <c r="K844" s="2" t="s">
        <v>654</v>
      </c>
      <c r="L844" s="2" t="s">
        <v>28</v>
      </c>
      <c r="M844" s="2" t="s">
        <v>5</v>
      </c>
      <c r="N844" s="4">
        <v>1842.33</v>
      </c>
    </row>
    <row r="845" spans="1:14" x14ac:dyDescent="0.25">
      <c r="A845" s="2" t="s">
        <v>124</v>
      </c>
      <c r="B845" s="2" t="s">
        <v>125</v>
      </c>
      <c r="C845" s="3">
        <v>10.105</v>
      </c>
      <c r="D845" s="4">
        <v>327.19990000000001</v>
      </c>
      <c r="E845" s="4">
        <v>219.78375</v>
      </c>
      <c r="F845" s="4">
        <f t="shared" si="59"/>
        <v>107.41615000000002</v>
      </c>
      <c r="G845" s="5">
        <f t="shared" si="60"/>
        <v>0.32828906732550961</v>
      </c>
      <c r="H845" s="2" t="s">
        <v>665</v>
      </c>
      <c r="I845" s="6" t="s">
        <v>69</v>
      </c>
      <c r="J845" s="2" t="s">
        <v>666</v>
      </c>
      <c r="K845" s="2" t="s">
        <v>667</v>
      </c>
      <c r="L845" s="2" t="s">
        <v>28</v>
      </c>
      <c r="M845" s="2" t="s">
        <v>5</v>
      </c>
      <c r="N845" s="4">
        <v>1025.51</v>
      </c>
    </row>
    <row r="847" spans="1:14" x14ac:dyDescent="0.25">
      <c r="A847" s="13" t="s">
        <v>59</v>
      </c>
      <c r="B847" s="21"/>
      <c r="C847" s="22">
        <f>SUM(C823:C846)</f>
        <v>270.39499999999998</v>
      </c>
      <c r="D847" s="23">
        <f>SUM(D823:D846)</f>
        <v>5084.3610999999992</v>
      </c>
      <c r="E847" s="23">
        <f>SUM(E823:E846)</f>
        <v>3037.6297500000005</v>
      </c>
      <c r="F847" s="23">
        <f>D847-E847</f>
        <v>2046.7313499999987</v>
      </c>
      <c r="G847" s="24">
        <f>IF(((D847)=0),0,(D847-E847)/ D847)</f>
        <v>0.40255428553255179</v>
      </c>
      <c r="H847" s="21"/>
      <c r="I847" s="21"/>
      <c r="J847" s="21"/>
      <c r="K847" s="21"/>
      <c r="L847" s="21"/>
      <c r="M847" s="21"/>
      <c r="N847" s="21"/>
    </row>
    <row r="849" spans="1:14" s="17" customFormat="1" ht="18.75" x14ac:dyDescent="0.3"/>
    <row r="850" spans="1:14" s="7" customFormat="1" x14ac:dyDescent="0.25">
      <c r="A850" s="13" t="s">
        <v>674</v>
      </c>
      <c r="B850" s="18" t="s">
        <v>675</v>
      </c>
      <c r="C850" s="19"/>
      <c r="D850" s="20" t="s">
        <v>5</v>
      </c>
      <c r="E850" s="19"/>
      <c r="F850" s="19"/>
      <c r="G850" s="19"/>
      <c r="H850" s="19"/>
      <c r="I850" s="19"/>
      <c r="J850" s="19"/>
      <c r="K850" s="19"/>
      <c r="L850" s="19"/>
      <c r="M850" s="19"/>
      <c r="N850" s="19"/>
    </row>
    <row r="852" spans="1:14" x14ac:dyDescent="0.25">
      <c r="A852" s="2" t="s">
        <v>29</v>
      </c>
      <c r="B852" s="2" t="s">
        <v>30</v>
      </c>
      <c r="C852" s="3">
        <v>14.285</v>
      </c>
      <c r="D852" s="4">
        <v>218.84620000000001</v>
      </c>
      <c r="E852" s="4">
        <v>142.85</v>
      </c>
      <c r="F852" s="4">
        <f t="shared" ref="F852:F869" si="61">D852-E852</f>
        <v>75.996200000000016</v>
      </c>
      <c r="G852" s="5">
        <f t="shared" ref="G852:G869" si="62">IF(((D852)=0),0,(D852-E852)/ D852)</f>
        <v>0.34725848563968675</v>
      </c>
      <c r="H852" s="2" t="s">
        <v>676</v>
      </c>
      <c r="I852" s="6" t="s">
        <v>69</v>
      </c>
      <c r="J852" s="2" t="s">
        <v>677</v>
      </c>
      <c r="K852" s="2" t="s">
        <v>5</v>
      </c>
      <c r="L852" s="2" t="s">
        <v>28</v>
      </c>
      <c r="M852" s="2" t="s">
        <v>5</v>
      </c>
      <c r="N852" s="4">
        <v>2098.87</v>
      </c>
    </row>
    <row r="853" spans="1:14" x14ac:dyDescent="0.25">
      <c r="A853" s="2" t="s">
        <v>29</v>
      </c>
      <c r="B853" s="2" t="s">
        <v>30</v>
      </c>
      <c r="C853" s="3">
        <v>8.0749999999999993</v>
      </c>
      <c r="D853" s="4">
        <v>123.709</v>
      </c>
      <c r="E853" s="4">
        <v>80.75</v>
      </c>
      <c r="F853" s="4">
        <f t="shared" si="61"/>
        <v>42.959000000000003</v>
      </c>
      <c r="G853" s="5">
        <f t="shared" si="62"/>
        <v>0.3472584856396867</v>
      </c>
      <c r="H853" s="2" t="s">
        <v>678</v>
      </c>
      <c r="I853" s="6" t="s">
        <v>32</v>
      </c>
      <c r="J853" s="2" t="s">
        <v>679</v>
      </c>
      <c r="K853" s="2" t="s">
        <v>5</v>
      </c>
      <c r="L853" s="2" t="s">
        <v>28</v>
      </c>
      <c r="M853" s="2" t="s">
        <v>5</v>
      </c>
      <c r="N853" s="4">
        <v>1639.97</v>
      </c>
    </row>
    <row r="854" spans="1:14" x14ac:dyDescent="0.25">
      <c r="A854" s="2" t="s">
        <v>680</v>
      </c>
      <c r="B854" s="2" t="s">
        <v>681</v>
      </c>
      <c r="C854" s="3">
        <v>11.08</v>
      </c>
      <c r="D854" s="4">
        <v>77.892399999999995</v>
      </c>
      <c r="E854" s="4">
        <v>29.916</v>
      </c>
      <c r="F854" s="4">
        <f t="shared" si="61"/>
        <v>47.976399999999998</v>
      </c>
      <c r="G854" s="5">
        <f t="shared" si="62"/>
        <v>0.61593172119487916</v>
      </c>
      <c r="H854" s="2" t="s">
        <v>676</v>
      </c>
      <c r="I854" s="6" t="s">
        <v>69</v>
      </c>
      <c r="J854" s="2" t="s">
        <v>677</v>
      </c>
      <c r="K854" s="2" t="s">
        <v>5</v>
      </c>
      <c r="L854" s="2" t="s">
        <v>28</v>
      </c>
      <c r="M854" s="2" t="s">
        <v>5</v>
      </c>
      <c r="N854" s="4">
        <v>2098.87</v>
      </c>
    </row>
    <row r="855" spans="1:14" x14ac:dyDescent="0.25">
      <c r="A855" s="2" t="s">
        <v>680</v>
      </c>
      <c r="B855" s="2" t="s">
        <v>681</v>
      </c>
      <c r="C855" s="3">
        <v>12.37</v>
      </c>
      <c r="D855" s="4">
        <v>86.961100000000002</v>
      </c>
      <c r="E855" s="4">
        <v>33.399000000000001</v>
      </c>
      <c r="F855" s="4">
        <f t="shared" si="61"/>
        <v>53.562100000000001</v>
      </c>
      <c r="G855" s="5">
        <f t="shared" si="62"/>
        <v>0.61593172119487904</v>
      </c>
      <c r="H855" s="2" t="s">
        <v>678</v>
      </c>
      <c r="I855" s="6" t="s">
        <v>32</v>
      </c>
      <c r="J855" s="2" t="s">
        <v>679</v>
      </c>
      <c r="K855" s="2" t="s">
        <v>5</v>
      </c>
      <c r="L855" s="2" t="s">
        <v>28</v>
      </c>
      <c r="M855" s="2" t="s">
        <v>5</v>
      </c>
      <c r="N855" s="4">
        <v>1639.97</v>
      </c>
    </row>
    <row r="856" spans="1:14" x14ac:dyDescent="0.25">
      <c r="A856" s="2" t="s">
        <v>682</v>
      </c>
      <c r="B856" s="2" t="s">
        <v>683</v>
      </c>
      <c r="C856" s="3">
        <v>5</v>
      </c>
      <c r="D856" s="4">
        <v>76.599999999999994</v>
      </c>
      <c r="E856" s="4">
        <v>34.75</v>
      </c>
      <c r="F856" s="4">
        <f t="shared" si="61"/>
        <v>41.849999999999994</v>
      </c>
      <c r="G856" s="5">
        <f t="shared" si="62"/>
        <v>0.54634464751958223</v>
      </c>
      <c r="H856" s="2" t="s">
        <v>676</v>
      </c>
      <c r="I856" s="6" t="s">
        <v>69</v>
      </c>
      <c r="J856" s="2" t="s">
        <v>677</v>
      </c>
      <c r="K856" s="2" t="s">
        <v>5</v>
      </c>
      <c r="L856" s="2" t="s">
        <v>28</v>
      </c>
      <c r="M856" s="2" t="s">
        <v>5</v>
      </c>
      <c r="N856" s="4">
        <v>2098.87</v>
      </c>
    </row>
    <row r="857" spans="1:14" x14ac:dyDescent="0.25">
      <c r="A857" s="2" t="s">
        <v>682</v>
      </c>
      <c r="B857" s="2" t="s">
        <v>683</v>
      </c>
      <c r="C857" s="3">
        <v>5</v>
      </c>
      <c r="D857" s="4">
        <v>76.599999999999994</v>
      </c>
      <c r="E857" s="4">
        <v>34.75</v>
      </c>
      <c r="F857" s="4">
        <f t="shared" si="61"/>
        <v>41.849999999999994</v>
      </c>
      <c r="G857" s="5">
        <f t="shared" si="62"/>
        <v>0.54634464751958223</v>
      </c>
      <c r="H857" s="2" t="s">
        <v>678</v>
      </c>
      <c r="I857" s="6" t="s">
        <v>32</v>
      </c>
      <c r="J857" s="2" t="s">
        <v>679</v>
      </c>
      <c r="K857" s="2" t="s">
        <v>5</v>
      </c>
      <c r="L857" s="2" t="s">
        <v>28</v>
      </c>
      <c r="M857" s="2" t="s">
        <v>5</v>
      </c>
      <c r="N857" s="4">
        <v>1639.97</v>
      </c>
    </row>
    <row r="858" spans="1:14" x14ac:dyDescent="0.25">
      <c r="A858" s="2" t="s">
        <v>684</v>
      </c>
      <c r="B858" s="2" t="s">
        <v>685</v>
      </c>
      <c r="C858" s="3">
        <v>12.61</v>
      </c>
      <c r="D858" s="4">
        <v>40.856400000000001</v>
      </c>
      <c r="E858" s="4">
        <v>22.698</v>
      </c>
      <c r="F858" s="4">
        <f t="shared" si="61"/>
        <v>18.1584</v>
      </c>
      <c r="G858" s="5">
        <f t="shared" si="62"/>
        <v>0.44444444444444442</v>
      </c>
      <c r="H858" s="2" t="s">
        <v>676</v>
      </c>
      <c r="I858" s="6" t="s">
        <v>69</v>
      </c>
      <c r="J858" s="2" t="s">
        <v>677</v>
      </c>
      <c r="K858" s="2" t="s">
        <v>5</v>
      </c>
      <c r="L858" s="2" t="s">
        <v>28</v>
      </c>
      <c r="M858" s="2" t="s">
        <v>5</v>
      </c>
      <c r="N858" s="4">
        <v>2098.87</v>
      </c>
    </row>
    <row r="859" spans="1:14" x14ac:dyDescent="0.25">
      <c r="A859" s="2" t="s">
        <v>684</v>
      </c>
      <c r="B859" s="2" t="s">
        <v>685</v>
      </c>
      <c r="C859" s="3">
        <v>28.66</v>
      </c>
      <c r="D859" s="4">
        <v>92.858400000000003</v>
      </c>
      <c r="E859" s="4">
        <v>51.588000000000001</v>
      </c>
      <c r="F859" s="4">
        <f t="shared" si="61"/>
        <v>41.270400000000002</v>
      </c>
      <c r="G859" s="5">
        <f t="shared" si="62"/>
        <v>0.44444444444444448</v>
      </c>
      <c r="H859" s="2" t="s">
        <v>678</v>
      </c>
      <c r="I859" s="6" t="s">
        <v>32</v>
      </c>
      <c r="J859" s="2" t="s">
        <v>679</v>
      </c>
      <c r="K859" s="2" t="s">
        <v>5</v>
      </c>
      <c r="L859" s="2" t="s">
        <v>28</v>
      </c>
      <c r="M859" s="2" t="s">
        <v>5</v>
      </c>
      <c r="N859" s="4">
        <v>1639.97</v>
      </c>
    </row>
    <row r="860" spans="1:14" x14ac:dyDescent="0.25">
      <c r="A860" s="2" t="s">
        <v>686</v>
      </c>
      <c r="B860" s="2" t="s">
        <v>687</v>
      </c>
      <c r="C860" s="3">
        <v>9.9879999999999995</v>
      </c>
      <c r="D860" s="4">
        <v>427.08688000000001</v>
      </c>
      <c r="E860" s="4">
        <v>207.75040000000001</v>
      </c>
      <c r="F860" s="4">
        <f t="shared" si="61"/>
        <v>219.33647999999999</v>
      </c>
      <c r="G860" s="5">
        <f t="shared" si="62"/>
        <v>0.51356407857811037</v>
      </c>
      <c r="H860" s="2" t="s">
        <v>676</v>
      </c>
      <c r="I860" s="6" t="s">
        <v>69</v>
      </c>
      <c r="J860" s="2" t="s">
        <v>677</v>
      </c>
      <c r="K860" s="2" t="s">
        <v>5</v>
      </c>
      <c r="L860" s="2" t="s">
        <v>28</v>
      </c>
      <c r="M860" s="2" t="s">
        <v>5</v>
      </c>
      <c r="N860" s="4">
        <v>2098.87</v>
      </c>
    </row>
    <row r="861" spans="1:14" x14ac:dyDescent="0.25">
      <c r="A861" s="2" t="s">
        <v>686</v>
      </c>
      <c r="B861" s="2" t="s">
        <v>687</v>
      </c>
      <c r="C861" s="3">
        <v>11.045</v>
      </c>
      <c r="D861" s="4">
        <v>472.2842</v>
      </c>
      <c r="E861" s="4">
        <v>229.73599999999999</v>
      </c>
      <c r="F861" s="4">
        <f t="shared" si="61"/>
        <v>242.54820000000001</v>
      </c>
      <c r="G861" s="5">
        <f t="shared" si="62"/>
        <v>0.51356407857811037</v>
      </c>
      <c r="H861" s="2" t="s">
        <v>678</v>
      </c>
      <c r="I861" s="6" t="s">
        <v>32</v>
      </c>
      <c r="J861" s="2" t="s">
        <v>679</v>
      </c>
      <c r="K861" s="2" t="s">
        <v>5</v>
      </c>
      <c r="L861" s="2" t="s">
        <v>28</v>
      </c>
      <c r="M861" s="2" t="s">
        <v>5</v>
      </c>
      <c r="N861" s="4">
        <v>1639.97</v>
      </c>
    </row>
    <row r="862" spans="1:14" x14ac:dyDescent="0.25">
      <c r="A862" s="2" t="s">
        <v>688</v>
      </c>
      <c r="B862" s="2" t="s">
        <v>689</v>
      </c>
      <c r="C862" s="3">
        <v>11.85</v>
      </c>
      <c r="D862" s="4">
        <v>467.71949999999998</v>
      </c>
      <c r="E862" s="4">
        <v>278.47500000000002</v>
      </c>
      <c r="F862" s="4">
        <f t="shared" si="61"/>
        <v>189.24449999999996</v>
      </c>
      <c r="G862" s="5">
        <f t="shared" si="62"/>
        <v>0.40461109703572329</v>
      </c>
      <c r="H862" s="2" t="s">
        <v>678</v>
      </c>
      <c r="I862" s="6" t="s">
        <v>32</v>
      </c>
      <c r="J862" s="2" t="s">
        <v>679</v>
      </c>
      <c r="K862" s="2" t="s">
        <v>5</v>
      </c>
      <c r="L862" s="2" t="s">
        <v>28</v>
      </c>
      <c r="M862" s="2" t="s">
        <v>5</v>
      </c>
      <c r="N862" s="4">
        <v>1639.97</v>
      </c>
    </row>
    <row r="863" spans="1:14" x14ac:dyDescent="0.25">
      <c r="A863" s="2" t="s">
        <v>688</v>
      </c>
      <c r="B863" s="2" t="s">
        <v>689</v>
      </c>
      <c r="C863" s="3">
        <v>16.579999999999998</v>
      </c>
      <c r="D863" s="4">
        <v>654.4126</v>
      </c>
      <c r="E863" s="4">
        <v>389.63</v>
      </c>
      <c r="F863" s="4">
        <f t="shared" si="61"/>
        <v>264.7826</v>
      </c>
      <c r="G863" s="5">
        <f t="shared" si="62"/>
        <v>0.40461109703572334</v>
      </c>
      <c r="H863" s="2" t="s">
        <v>676</v>
      </c>
      <c r="I863" s="6" t="s">
        <v>69</v>
      </c>
      <c r="J863" s="2" t="s">
        <v>677</v>
      </c>
      <c r="K863" s="2" t="s">
        <v>5</v>
      </c>
      <c r="L863" s="2" t="s">
        <v>28</v>
      </c>
      <c r="M863" s="2" t="s">
        <v>5</v>
      </c>
      <c r="N863" s="4">
        <v>2098.87</v>
      </c>
    </row>
    <row r="864" spans="1:14" x14ac:dyDescent="0.25">
      <c r="A864" s="2" t="s">
        <v>690</v>
      </c>
      <c r="B864" s="2" t="s">
        <v>691</v>
      </c>
      <c r="C864" s="3">
        <v>2.0499999999999998</v>
      </c>
      <c r="D864" s="4">
        <v>35.895499999999998</v>
      </c>
      <c r="E864" s="4">
        <v>11.89</v>
      </c>
      <c r="F864" s="4">
        <f t="shared" si="61"/>
        <v>24.005499999999998</v>
      </c>
      <c r="G864" s="5">
        <f t="shared" si="62"/>
        <v>0.66876070816676181</v>
      </c>
      <c r="H864" s="2" t="s">
        <v>678</v>
      </c>
      <c r="I864" s="6" t="s">
        <v>32</v>
      </c>
      <c r="J864" s="2" t="s">
        <v>679</v>
      </c>
      <c r="K864" s="2" t="s">
        <v>5</v>
      </c>
      <c r="L864" s="2" t="s">
        <v>28</v>
      </c>
      <c r="M864" s="2" t="s">
        <v>5</v>
      </c>
      <c r="N864" s="4">
        <v>1639.97</v>
      </c>
    </row>
    <row r="865" spans="1:14" x14ac:dyDescent="0.25">
      <c r="A865" s="2" t="s">
        <v>690</v>
      </c>
      <c r="B865" s="2" t="s">
        <v>691</v>
      </c>
      <c r="C865" s="3">
        <v>2.1949999999999998</v>
      </c>
      <c r="D865" s="4">
        <v>38.434449999999998</v>
      </c>
      <c r="E865" s="4">
        <v>12.731</v>
      </c>
      <c r="F865" s="4">
        <f t="shared" si="61"/>
        <v>25.703449999999997</v>
      </c>
      <c r="G865" s="5">
        <f t="shared" si="62"/>
        <v>0.66876070816676181</v>
      </c>
      <c r="H865" s="2" t="s">
        <v>676</v>
      </c>
      <c r="I865" s="6" t="s">
        <v>69</v>
      </c>
      <c r="J865" s="2" t="s">
        <v>677</v>
      </c>
      <c r="K865" s="2" t="s">
        <v>5</v>
      </c>
      <c r="L865" s="2" t="s">
        <v>28</v>
      </c>
      <c r="M865" s="2" t="s">
        <v>5</v>
      </c>
      <c r="N865" s="4">
        <v>2098.87</v>
      </c>
    </row>
    <row r="866" spans="1:14" x14ac:dyDescent="0.25">
      <c r="A866" s="2" t="s">
        <v>692</v>
      </c>
      <c r="B866" s="2" t="s">
        <v>693</v>
      </c>
      <c r="C866" s="3">
        <v>8.375</v>
      </c>
      <c r="D866" s="4">
        <v>201.83750000000001</v>
      </c>
      <c r="E866" s="4">
        <v>104.6875</v>
      </c>
      <c r="F866" s="4">
        <f t="shared" si="61"/>
        <v>97.15</v>
      </c>
      <c r="G866" s="5">
        <f t="shared" si="62"/>
        <v>0.48132780082987553</v>
      </c>
      <c r="H866" s="2" t="s">
        <v>678</v>
      </c>
      <c r="I866" s="6" t="s">
        <v>32</v>
      </c>
      <c r="J866" s="2" t="s">
        <v>679</v>
      </c>
      <c r="K866" s="2" t="s">
        <v>5</v>
      </c>
      <c r="L866" s="2" t="s">
        <v>28</v>
      </c>
      <c r="M866" s="2" t="s">
        <v>5</v>
      </c>
      <c r="N866" s="4">
        <v>1639.97</v>
      </c>
    </row>
    <row r="867" spans="1:14" x14ac:dyDescent="0.25">
      <c r="A867" s="2" t="s">
        <v>692</v>
      </c>
      <c r="B867" s="2" t="s">
        <v>693</v>
      </c>
      <c r="C867" s="3">
        <v>16.62</v>
      </c>
      <c r="D867" s="4">
        <v>400.54199999999997</v>
      </c>
      <c r="E867" s="4">
        <v>207.75</v>
      </c>
      <c r="F867" s="4">
        <f t="shared" si="61"/>
        <v>192.79199999999997</v>
      </c>
      <c r="G867" s="5">
        <f t="shared" si="62"/>
        <v>0.48132780082987547</v>
      </c>
      <c r="H867" s="2" t="s">
        <v>676</v>
      </c>
      <c r="I867" s="6" t="s">
        <v>69</v>
      </c>
      <c r="J867" s="2" t="s">
        <v>677</v>
      </c>
      <c r="K867" s="2" t="s">
        <v>5</v>
      </c>
      <c r="L867" s="2" t="s">
        <v>28</v>
      </c>
      <c r="M867" s="2" t="s">
        <v>5</v>
      </c>
      <c r="N867" s="4">
        <v>2098.87</v>
      </c>
    </row>
    <row r="868" spans="1:14" x14ac:dyDescent="0.25">
      <c r="A868" s="2" t="s">
        <v>694</v>
      </c>
      <c r="B868" s="2" t="s">
        <v>695</v>
      </c>
      <c r="C868" s="3">
        <v>10</v>
      </c>
      <c r="D868" s="4">
        <v>164.2</v>
      </c>
      <c r="E868" s="4">
        <v>91</v>
      </c>
      <c r="F868" s="4">
        <f t="shared" si="61"/>
        <v>73.199999999999989</v>
      </c>
      <c r="G868" s="5">
        <f t="shared" si="62"/>
        <v>0.44579780755176612</v>
      </c>
      <c r="H868" s="2" t="s">
        <v>676</v>
      </c>
      <c r="I868" s="6" t="s">
        <v>69</v>
      </c>
      <c r="J868" s="2" t="s">
        <v>677</v>
      </c>
      <c r="K868" s="2" t="s">
        <v>5</v>
      </c>
      <c r="L868" s="2" t="s">
        <v>28</v>
      </c>
      <c r="M868" s="2" t="s">
        <v>5</v>
      </c>
      <c r="N868" s="4">
        <v>2098.87</v>
      </c>
    </row>
    <row r="869" spans="1:14" x14ac:dyDescent="0.25">
      <c r="A869" s="2" t="s">
        <v>694</v>
      </c>
      <c r="B869" s="2" t="s">
        <v>695</v>
      </c>
      <c r="C869" s="3">
        <v>5</v>
      </c>
      <c r="D869" s="4">
        <v>82.1</v>
      </c>
      <c r="E869" s="4">
        <v>45.5</v>
      </c>
      <c r="F869" s="4">
        <f t="shared" si="61"/>
        <v>36.599999999999994</v>
      </c>
      <c r="G869" s="5">
        <f t="shared" si="62"/>
        <v>0.44579780755176612</v>
      </c>
      <c r="H869" s="2" t="s">
        <v>678</v>
      </c>
      <c r="I869" s="6" t="s">
        <v>32</v>
      </c>
      <c r="J869" s="2" t="s">
        <v>679</v>
      </c>
      <c r="K869" s="2" t="s">
        <v>5</v>
      </c>
      <c r="L869" s="2" t="s">
        <v>28</v>
      </c>
      <c r="M869" s="2" t="s">
        <v>5</v>
      </c>
      <c r="N869" s="4">
        <v>1639.97</v>
      </c>
    </row>
    <row r="871" spans="1:14" x14ac:dyDescent="0.25">
      <c r="A871" s="13" t="s">
        <v>59</v>
      </c>
      <c r="B871" s="21"/>
      <c r="C871" s="22">
        <f>SUM(C849:C870)</f>
        <v>190.78300000000002</v>
      </c>
      <c r="D871" s="23">
        <f>SUM(D849:D870)</f>
        <v>3738.8361300000001</v>
      </c>
      <c r="E871" s="23">
        <f>SUM(E849:E870)</f>
        <v>2009.8508999999999</v>
      </c>
      <c r="F871" s="23">
        <f>D871-E871</f>
        <v>1728.9852300000002</v>
      </c>
      <c r="G871" s="24">
        <f>IF(((D871)=0),0,(D871-E871)/ D871)</f>
        <v>0.46243942496618595</v>
      </c>
      <c r="H871" s="21"/>
      <c r="I871" s="21"/>
      <c r="J871" s="21"/>
      <c r="K871" s="21"/>
      <c r="L871" s="21"/>
      <c r="M871" s="21"/>
      <c r="N871" s="21"/>
    </row>
    <row r="873" spans="1:14" s="17" customFormat="1" ht="18.75" x14ac:dyDescent="0.3"/>
    <row r="874" spans="1:14" s="7" customFormat="1" x14ac:dyDescent="0.25">
      <c r="A874" s="13" t="s">
        <v>696</v>
      </c>
      <c r="B874" s="18" t="s">
        <v>697</v>
      </c>
      <c r="C874" s="19"/>
      <c r="D874" s="20" t="s">
        <v>5</v>
      </c>
      <c r="E874" s="19"/>
      <c r="F874" s="19"/>
      <c r="G874" s="19"/>
      <c r="H874" s="19"/>
      <c r="I874" s="19"/>
      <c r="J874" s="19"/>
      <c r="K874" s="19"/>
      <c r="L874" s="19"/>
      <c r="M874" s="19"/>
      <c r="N874" s="19"/>
    </row>
    <row r="876" spans="1:14" x14ac:dyDescent="0.25">
      <c r="A876" s="2" t="s">
        <v>698</v>
      </c>
      <c r="B876" s="2" t="s">
        <v>699</v>
      </c>
      <c r="C876" s="3">
        <v>100</v>
      </c>
      <c r="D876" s="4">
        <v>1243</v>
      </c>
      <c r="E876" s="4">
        <v>1000</v>
      </c>
      <c r="F876" s="4">
        <f t="shared" ref="F876:F903" si="63">D876-E876</f>
        <v>243</v>
      </c>
      <c r="G876" s="5">
        <f t="shared" ref="G876:G903" si="64">IF(((D876)=0),0,(D876-E876)/ D876)</f>
        <v>0.19549477071600965</v>
      </c>
      <c r="H876" s="2" t="s">
        <v>700</v>
      </c>
      <c r="I876" s="6" t="s">
        <v>74</v>
      </c>
      <c r="J876" s="2" t="s">
        <v>701</v>
      </c>
      <c r="K876" s="2" t="s">
        <v>702</v>
      </c>
      <c r="L876" s="2" t="s">
        <v>28</v>
      </c>
      <c r="M876" s="2" t="s">
        <v>5</v>
      </c>
      <c r="N876" s="4">
        <v>15808.85</v>
      </c>
    </row>
    <row r="877" spans="1:14" x14ac:dyDescent="0.25">
      <c r="A877" s="2" t="s">
        <v>566</v>
      </c>
      <c r="B877" s="2" t="s">
        <v>567</v>
      </c>
      <c r="C877" s="3">
        <v>45.36</v>
      </c>
      <c r="D877" s="4">
        <v>760.23360000000002</v>
      </c>
      <c r="E877" s="4">
        <v>517.10400000000004</v>
      </c>
      <c r="F877" s="4">
        <f t="shared" si="63"/>
        <v>243.12959999999998</v>
      </c>
      <c r="G877" s="5">
        <f t="shared" si="64"/>
        <v>0.31980906921241048</v>
      </c>
      <c r="H877" s="2" t="s">
        <v>700</v>
      </c>
      <c r="I877" s="6" t="s">
        <v>74</v>
      </c>
      <c r="J877" s="2" t="s">
        <v>701</v>
      </c>
      <c r="K877" s="2" t="s">
        <v>702</v>
      </c>
      <c r="L877" s="2" t="s">
        <v>28</v>
      </c>
      <c r="M877" s="2" t="s">
        <v>5</v>
      </c>
      <c r="N877" s="4">
        <v>15808.85</v>
      </c>
    </row>
    <row r="878" spans="1:14" x14ac:dyDescent="0.25">
      <c r="A878" s="2" t="s">
        <v>658</v>
      </c>
      <c r="B878" s="2" t="s">
        <v>659</v>
      </c>
      <c r="C878" s="3">
        <v>79.3</v>
      </c>
      <c r="D878" s="4">
        <v>1096.7190000000001</v>
      </c>
      <c r="E878" s="4">
        <v>436.15</v>
      </c>
      <c r="F878" s="4">
        <f t="shared" si="63"/>
        <v>660.56900000000007</v>
      </c>
      <c r="G878" s="5">
        <f t="shared" si="64"/>
        <v>0.6023138105567607</v>
      </c>
      <c r="H878" s="2" t="s">
        <v>700</v>
      </c>
      <c r="I878" s="6" t="s">
        <v>74</v>
      </c>
      <c r="J878" s="2" t="s">
        <v>701</v>
      </c>
      <c r="K878" s="2" t="s">
        <v>702</v>
      </c>
      <c r="L878" s="2" t="s">
        <v>28</v>
      </c>
      <c r="M878" s="2" t="s">
        <v>5</v>
      </c>
      <c r="N878" s="4">
        <v>15808.85</v>
      </c>
    </row>
    <row r="879" spans="1:14" x14ac:dyDescent="0.25">
      <c r="A879" s="2" t="s">
        <v>146</v>
      </c>
      <c r="B879" s="2" t="s">
        <v>147</v>
      </c>
      <c r="C879" s="3">
        <v>71.8</v>
      </c>
      <c r="D879" s="4">
        <v>971.45399999999995</v>
      </c>
      <c r="E879" s="4">
        <v>811.34</v>
      </c>
      <c r="F879" s="4">
        <f t="shared" si="63"/>
        <v>160.11399999999992</v>
      </c>
      <c r="G879" s="5">
        <f t="shared" si="64"/>
        <v>0.16481892091648181</v>
      </c>
      <c r="H879" s="2" t="s">
        <v>700</v>
      </c>
      <c r="I879" s="6" t="s">
        <v>74</v>
      </c>
      <c r="J879" s="2" t="s">
        <v>701</v>
      </c>
      <c r="K879" s="2" t="s">
        <v>702</v>
      </c>
      <c r="L879" s="2" t="s">
        <v>28</v>
      </c>
      <c r="M879" s="2" t="s">
        <v>5</v>
      </c>
      <c r="N879" s="4">
        <v>15808.85</v>
      </c>
    </row>
    <row r="880" spans="1:14" x14ac:dyDescent="0.25">
      <c r="A880" s="2" t="s">
        <v>41</v>
      </c>
      <c r="B880" s="2" t="s">
        <v>42</v>
      </c>
      <c r="C880" s="3">
        <v>25.5</v>
      </c>
      <c r="D880" s="4">
        <v>417.18</v>
      </c>
      <c r="E880" s="4">
        <v>299.625</v>
      </c>
      <c r="F880" s="4">
        <f t="shared" si="63"/>
        <v>117.55500000000001</v>
      </c>
      <c r="G880" s="5">
        <f t="shared" si="64"/>
        <v>0.28178484107579466</v>
      </c>
      <c r="H880" s="2" t="s">
        <v>700</v>
      </c>
      <c r="I880" s="6" t="s">
        <v>74</v>
      </c>
      <c r="J880" s="2" t="s">
        <v>701</v>
      </c>
      <c r="K880" s="2" t="s">
        <v>702</v>
      </c>
      <c r="L880" s="2" t="s">
        <v>28</v>
      </c>
      <c r="M880" s="2" t="s">
        <v>5</v>
      </c>
      <c r="N880" s="4">
        <v>15808.85</v>
      </c>
    </row>
    <row r="881" spans="1:14" x14ac:dyDescent="0.25">
      <c r="A881" s="2" t="s">
        <v>703</v>
      </c>
      <c r="B881" s="2" t="s">
        <v>704</v>
      </c>
      <c r="C881" s="3">
        <v>48</v>
      </c>
      <c r="D881" s="4">
        <v>297.60000000000002</v>
      </c>
      <c r="E881" s="4">
        <v>228</v>
      </c>
      <c r="F881" s="4">
        <f t="shared" si="63"/>
        <v>69.600000000000023</v>
      </c>
      <c r="G881" s="5">
        <f t="shared" si="64"/>
        <v>0.23387096774193555</v>
      </c>
      <c r="H881" s="2" t="s">
        <v>700</v>
      </c>
      <c r="I881" s="6" t="s">
        <v>74</v>
      </c>
      <c r="J881" s="2" t="s">
        <v>701</v>
      </c>
      <c r="K881" s="2" t="s">
        <v>702</v>
      </c>
      <c r="L881" s="2" t="s">
        <v>28</v>
      </c>
      <c r="M881" s="2" t="s">
        <v>5</v>
      </c>
      <c r="N881" s="4">
        <v>15808.85</v>
      </c>
    </row>
    <row r="882" spans="1:14" x14ac:dyDescent="0.25">
      <c r="A882" s="2" t="s">
        <v>611</v>
      </c>
      <c r="B882" s="2" t="s">
        <v>612</v>
      </c>
      <c r="C882" s="3">
        <v>39.74</v>
      </c>
      <c r="D882" s="4">
        <v>210.22460000000001</v>
      </c>
      <c r="E882" s="4">
        <v>143.06399999999999</v>
      </c>
      <c r="F882" s="4">
        <f t="shared" si="63"/>
        <v>67.160600000000017</v>
      </c>
      <c r="G882" s="5">
        <f t="shared" si="64"/>
        <v>0.3194706994328923</v>
      </c>
      <c r="H882" s="2" t="s">
        <v>700</v>
      </c>
      <c r="I882" s="6" t="s">
        <v>74</v>
      </c>
      <c r="J882" s="2" t="s">
        <v>701</v>
      </c>
      <c r="K882" s="2" t="s">
        <v>702</v>
      </c>
      <c r="L882" s="2" t="s">
        <v>28</v>
      </c>
      <c r="M882" s="2" t="s">
        <v>5</v>
      </c>
      <c r="N882" s="4">
        <v>15808.85</v>
      </c>
    </row>
    <row r="883" spans="1:14" x14ac:dyDescent="0.25">
      <c r="A883" s="2" t="s">
        <v>203</v>
      </c>
      <c r="B883" s="2" t="s">
        <v>204</v>
      </c>
      <c r="C883" s="3">
        <v>46.185000000000002</v>
      </c>
      <c r="D883" s="4">
        <v>600.40499999999997</v>
      </c>
      <c r="E883" s="4">
        <v>230.92500000000001</v>
      </c>
      <c r="F883" s="4">
        <f t="shared" si="63"/>
        <v>369.47999999999996</v>
      </c>
      <c r="G883" s="5">
        <f t="shared" si="64"/>
        <v>0.61538461538461531</v>
      </c>
      <c r="H883" s="2" t="s">
        <v>700</v>
      </c>
      <c r="I883" s="6" t="s">
        <v>74</v>
      </c>
      <c r="J883" s="2" t="s">
        <v>701</v>
      </c>
      <c r="K883" s="2" t="s">
        <v>702</v>
      </c>
      <c r="L883" s="2" t="s">
        <v>28</v>
      </c>
      <c r="M883" s="2" t="s">
        <v>5</v>
      </c>
      <c r="N883" s="4">
        <v>15808.85</v>
      </c>
    </row>
    <row r="884" spans="1:14" x14ac:dyDescent="0.25">
      <c r="A884" s="2" t="s">
        <v>118</v>
      </c>
      <c r="B884" s="2" t="s">
        <v>119</v>
      </c>
      <c r="C884" s="3">
        <v>48</v>
      </c>
      <c r="D884" s="4">
        <v>504</v>
      </c>
      <c r="E884" s="4">
        <v>360</v>
      </c>
      <c r="F884" s="4">
        <f t="shared" si="63"/>
        <v>144</v>
      </c>
      <c r="G884" s="5">
        <f t="shared" si="64"/>
        <v>0.2857142857142857</v>
      </c>
      <c r="H884" s="2" t="s">
        <v>700</v>
      </c>
      <c r="I884" s="6" t="s">
        <v>74</v>
      </c>
      <c r="J884" s="2" t="s">
        <v>701</v>
      </c>
      <c r="K884" s="2" t="s">
        <v>702</v>
      </c>
      <c r="L884" s="2" t="s">
        <v>28</v>
      </c>
      <c r="M884" s="2" t="s">
        <v>5</v>
      </c>
      <c r="N884" s="4">
        <v>15808.85</v>
      </c>
    </row>
    <row r="885" spans="1:14" x14ac:dyDescent="0.25">
      <c r="A885" s="2" t="s">
        <v>207</v>
      </c>
      <c r="B885" s="2" t="s">
        <v>208</v>
      </c>
      <c r="C885" s="3">
        <v>15</v>
      </c>
      <c r="D885" s="4">
        <v>238.35</v>
      </c>
      <c r="E885" s="4">
        <v>192.3</v>
      </c>
      <c r="F885" s="4">
        <f t="shared" si="63"/>
        <v>46.049999999999983</v>
      </c>
      <c r="G885" s="5">
        <f t="shared" si="64"/>
        <v>0.19320327249842661</v>
      </c>
      <c r="H885" s="2" t="s">
        <v>700</v>
      </c>
      <c r="I885" s="6" t="s">
        <v>74</v>
      </c>
      <c r="J885" s="2" t="s">
        <v>701</v>
      </c>
      <c r="K885" s="2" t="s">
        <v>702</v>
      </c>
      <c r="L885" s="2" t="s">
        <v>28</v>
      </c>
      <c r="M885" s="2" t="s">
        <v>5</v>
      </c>
      <c r="N885" s="4">
        <v>15808.85</v>
      </c>
    </row>
    <row r="886" spans="1:14" x14ac:dyDescent="0.25">
      <c r="A886" s="2" t="s">
        <v>705</v>
      </c>
      <c r="B886" s="2" t="s">
        <v>706</v>
      </c>
      <c r="C886" s="3">
        <v>60</v>
      </c>
      <c r="D886" s="4">
        <v>765.6</v>
      </c>
      <c r="E886" s="4">
        <v>450</v>
      </c>
      <c r="F886" s="4">
        <f t="shared" si="63"/>
        <v>315.60000000000002</v>
      </c>
      <c r="G886" s="5">
        <f t="shared" si="64"/>
        <v>0.41222570532915365</v>
      </c>
      <c r="H886" s="2" t="s">
        <v>700</v>
      </c>
      <c r="I886" s="6" t="s">
        <v>74</v>
      </c>
      <c r="J886" s="2" t="s">
        <v>701</v>
      </c>
      <c r="K886" s="2" t="s">
        <v>702</v>
      </c>
      <c r="L886" s="2" t="s">
        <v>28</v>
      </c>
      <c r="M886" s="2" t="s">
        <v>5</v>
      </c>
      <c r="N886" s="4">
        <v>15808.85</v>
      </c>
    </row>
    <row r="887" spans="1:14" x14ac:dyDescent="0.25">
      <c r="A887" s="2" t="s">
        <v>601</v>
      </c>
      <c r="B887" s="2" t="s">
        <v>602</v>
      </c>
      <c r="C887" s="3">
        <v>25.484999999999999</v>
      </c>
      <c r="D887" s="4">
        <v>138.12870000000001</v>
      </c>
      <c r="E887" s="4">
        <v>91.745999999999995</v>
      </c>
      <c r="F887" s="4">
        <f t="shared" si="63"/>
        <v>46.382700000000014</v>
      </c>
      <c r="G887" s="5">
        <f t="shared" si="64"/>
        <v>0.33579335793357939</v>
      </c>
      <c r="H887" s="2" t="s">
        <v>700</v>
      </c>
      <c r="I887" s="6" t="s">
        <v>74</v>
      </c>
      <c r="J887" s="2" t="s">
        <v>701</v>
      </c>
      <c r="K887" s="2" t="s">
        <v>702</v>
      </c>
      <c r="L887" s="2" t="s">
        <v>28</v>
      </c>
      <c r="M887" s="2" t="s">
        <v>5</v>
      </c>
      <c r="N887" s="4">
        <v>15808.85</v>
      </c>
    </row>
    <row r="888" spans="1:14" x14ac:dyDescent="0.25">
      <c r="A888" s="2" t="s">
        <v>211</v>
      </c>
      <c r="B888" s="2" t="s">
        <v>212</v>
      </c>
      <c r="C888" s="3">
        <v>44.16</v>
      </c>
      <c r="D888" s="4">
        <v>176.19839999999999</v>
      </c>
      <c r="E888" s="4">
        <v>110.4</v>
      </c>
      <c r="F888" s="4">
        <f t="shared" si="63"/>
        <v>65.798399999999987</v>
      </c>
      <c r="G888" s="5">
        <f t="shared" si="64"/>
        <v>0.37343358395989967</v>
      </c>
      <c r="H888" s="2" t="s">
        <v>700</v>
      </c>
      <c r="I888" s="6" t="s">
        <v>74</v>
      </c>
      <c r="J888" s="2" t="s">
        <v>701</v>
      </c>
      <c r="K888" s="2" t="s">
        <v>702</v>
      </c>
      <c r="L888" s="2" t="s">
        <v>28</v>
      </c>
      <c r="M888" s="2" t="s">
        <v>5</v>
      </c>
      <c r="N888" s="4">
        <v>15808.85</v>
      </c>
    </row>
    <row r="889" spans="1:14" x14ac:dyDescent="0.25">
      <c r="A889" s="2" t="s">
        <v>707</v>
      </c>
      <c r="B889" s="2" t="s">
        <v>708</v>
      </c>
      <c r="C889" s="3">
        <v>19.46</v>
      </c>
      <c r="D889" s="4">
        <v>213.47620000000001</v>
      </c>
      <c r="E889" s="4">
        <v>161.32339999999999</v>
      </c>
      <c r="F889" s="4">
        <f t="shared" si="63"/>
        <v>52.152800000000013</v>
      </c>
      <c r="G889" s="5">
        <f t="shared" si="64"/>
        <v>0.24430264357338199</v>
      </c>
      <c r="H889" s="2" t="s">
        <v>700</v>
      </c>
      <c r="I889" s="6" t="s">
        <v>74</v>
      </c>
      <c r="J889" s="2" t="s">
        <v>701</v>
      </c>
      <c r="K889" s="2" t="s">
        <v>702</v>
      </c>
      <c r="L889" s="2" t="s">
        <v>28</v>
      </c>
      <c r="M889" s="2" t="s">
        <v>5</v>
      </c>
      <c r="N889" s="4">
        <v>15808.85</v>
      </c>
    </row>
    <row r="890" spans="1:14" x14ac:dyDescent="0.25">
      <c r="A890" s="2" t="s">
        <v>709</v>
      </c>
      <c r="B890" s="2" t="s">
        <v>710</v>
      </c>
      <c r="C890" s="3">
        <v>10.4</v>
      </c>
      <c r="D890" s="4">
        <v>148.19999999999999</v>
      </c>
      <c r="E890" s="4">
        <v>107.64</v>
      </c>
      <c r="F890" s="4">
        <f t="shared" si="63"/>
        <v>40.559999999999988</v>
      </c>
      <c r="G890" s="5">
        <f t="shared" si="64"/>
        <v>0.27368421052631575</v>
      </c>
      <c r="H890" s="2" t="s">
        <v>700</v>
      </c>
      <c r="I890" s="6" t="s">
        <v>74</v>
      </c>
      <c r="J890" s="2" t="s">
        <v>701</v>
      </c>
      <c r="K890" s="2" t="s">
        <v>702</v>
      </c>
      <c r="L890" s="2" t="s">
        <v>28</v>
      </c>
      <c r="M890" s="2" t="s">
        <v>5</v>
      </c>
      <c r="N890" s="4">
        <v>15808.85</v>
      </c>
    </row>
    <row r="891" spans="1:14" x14ac:dyDescent="0.25">
      <c r="A891" s="2" t="s">
        <v>622</v>
      </c>
      <c r="B891" s="2" t="s">
        <v>623</v>
      </c>
      <c r="C891" s="3">
        <v>32</v>
      </c>
      <c r="D891" s="4">
        <v>593.6</v>
      </c>
      <c r="E891" s="4">
        <v>448</v>
      </c>
      <c r="F891" s="4">
        <f t="shared" si="63"/>
        <v>145.60000000000002</v>
      </c>
      <c r="G891" s="5">
        <f t="shared" si="64"/>
        <v>0.24528301886792456</v>
      </c>
      <c r="H891" s="2" t="s">
        <v>700</v>
      </c>
      <c r="I891" s="6" t="s">
        <v>74</v>
      </c>
      <c r="J891" s="2" t="s">
        <v>701</v>
      </c>
      <c r="K891" s="2" t="s">
        <v>702</v>
      </c>
      <c r="L891" s="2" t="s">
        <v>28</v>
      </c>
      <c r="M891" s="2" t="s">
        <v>5</v>
      </c>
      <c r="N891" s="4">
        <v>15808.85</v>
      </c>
    </row>
    <row r="892" spans="1:14" x14ac:dyDescent="0.25">
      <c r="A892" s="2" t="s">
        <v>51</v>
      </c>
      <c r="B892" s="2" t="s">
        <v>52</v>
      </c>
      <c r="C892" s="3">
        <v>63.5</v>
      </c>
      <c r="D892" s="4">
        <v>1038.8599999999999</v>
      </c>
      <c r="E892" s="4">
        <v>1047.75</v>
      </c>
      <c r="F892" s="4">
        <f t="shared" si="63"/>
        <v>-8.8900000000001</v>
      </c>
      <c r="G892" s="5">
        <f t="shared" si="64"/>
        <v>-8.5574572127140331E-3</v>
      </c>
      <c r="H892" s="2" t="s">
        <v>700</v>
      </c>
      <c r="I892" s="6" t="s">
        <v>74</v>
      </c>
      <c r="J892" s="2" t="s">
        <v>701</v>
      </c>
      <c r="K892" s="2" t="s">
        <v>702</v>
      </c>
      <c r="L892" s="2" t="s">
        <v>28</v>
      </c>
      <c r="M892" s="2" t="s">
        <v>5</v>
      </c>
      <c r="N892" s="4">
        <v>15808.85</v>
      </c>
    </row>
    <row r="893" spans="1:14" x14ac:dyDescent="0.25">
      <c r="A893" s="2" t="s">
        <v>711</v>
      </c>
      <c r="B893" s="2" t="s">
        <v>712</v>
      </c>
      <c r="C893" s="3">
        <v>28.25</v>
      </c>
      <c r="D893" s="4">
        <v>365.83749999999998</v>
      </c>
      <c r="E893" s="4">
        <v>240.125</v>
      </c>
      <c r="F893" s="4">
        <f t="shared" si="63"/>
        <v>125.71249999999998</v>
      </c>
      <c r="G893" s="5">
        <f t="shared" si="64"/>
        <v>0.34362934362934361</v>
      </c>
      <c r="H893" s="2" t="s">
        <v>700</v>
      </c>
      <c r="I893" s="6" t="s">
        <v>74</v>
      </c>
      <c r="J893" s="2" t="s">
        <v>701</v>
      </c>
      <c r="K893" s="2" t="s">
        <v>702</v>
      </c>
      <c r="L893" s="2" t="s">
        <v>28</v>
      </c>
      <c r="M893" s="2" t="s">
        <v>5</v>
      </c>
      <c r="N893" s="4">
        <v>15808.85</v>
      </c>
    </row>
    <row r="894" spans="1:14" x14ac:dyDescent="0.25">
      <c r="A894" s="2" t="s">
        <v>215</v>
      </c>
      <c r="B894" s="2" t="s">
        <v>216</v>
      </c>
      <c r="C894" s="3">
        <v>57.44</v>
      </c>
      <c r="D894" s="4">
        <v>1205.6656</v>
      </c>
      <c r="E894" s="4">
        <v>875.96</v>
      </c>
      <c r="F894" s="4">
        <f t="shared" si="63"/>
        <v>329.7056</v>
      </c>
      <c r="G894" s="5">
        <f t="shared" si="64"/>
        <v>0.27346355407336825</v>
      </c>
      <c r="H894" s="2" t="s">
        <v>700</v>
      </c>
      <c r="I894" s="6" t="s">
        <v>74</v>
      </c>
      <c r="J894" s="2" t="s">
        <v>701</v>
      </c>
      <c r="K894" s="2" t="s">
        <v>702</v>
      </c>
      <c r="L894" s="2" t="s">
        <v>28</v>
      </c>
      <c r="M894" s="2" t="s">
        <v>5</v>
      </c>
      <c r="N894" s="4">
        <v>15808.85</v>
      </c>
    </row>
    <row r="895" spans="1:14" x14ac:dyDescent="0.25">
      <c r="A895" s="2" t="s">
        <v>713</v>
      </c>
      <c r="B895" s="2" t="s">
        <v>714</v>
      </c>
      <c r="C895" s="3">
        <v>19.899999999999999</v>
      </c>
      <c r="D895" s="4">
        <v>208.35300000000001</v>
      </c>
      <c r="E895" s="4">
        <v>174.125</v>
      </c>
      <c r="F895" s="4">
        <f t="shared" si="63"/>
        <v>34.228000000000009</v>
      </c>
      <c r="G895" s="5">
        <f t="shared" si="64"/>
        <v>0.16427889207258839</v>
      </c>
      <c r="H895" s="2" t="s">
        <v>700</v>
      </c>
      <c r="I895" s="6" t="s">
        <v>74</v>
      </c>
      <c r="J895" s="2" t="s">
        <v>701</v>
      </c>
      <c r="K895" s="2" t="s">
        <v>702</v>
      </c>
      <c r="L895" s="2" t="s">
        <v>28</v>
      </c>
      <c r="M895" s="2" t="s">
        <v>5</v>
      </c>
      <c r="N895" s="4">
        <v>15808.85</v>
      </c>
    </row>
    <row r="896" spans="1:14" x14ac:dyDescent="0.25">
      <c r="A896" s="2" t="s">
        <v>624</v>
      </c>
      <c r="B896" s="2" t="s">
        <v>625</v>
      </c>
      <c r="C896" s="3">
        <v>57.92</v>
      </c>
      <c r="D896" s="4">
        <v>694.46079999999995</v>
      </c>
      <c r="E896" s="4">
        <v>434.4</v>
      </c>
      <c r="F896" s="4">
        <f t="shared" si="63"/>
        <v>260.06079999999997</v>
      </c>
      <c r="G896" s="5">
        <f t="shared" si="64"/>
        <v>0.37447873227689737</v>
      </c>
      <c r="H896" s="2" t="s">
        <v>700</v>
      </c>
      <c r="I896" s="6" t="s">
        <v>74</v>
      </c>
      <c r="J896" s="2" t="s">
        <v>701</v>
      </c>
      <c r="K896" s="2" t="s">
        <v>702</v>
      </c>
      <c r="L896" s="2" t="s">
        <v>28</v>
      </c>
      <c r="M896" s="2" t="s">
        <v>5</v>
      </c>
      <c r="N896" s="4">
        <v>15808.85</v>
      </c>
    </row>
    <row r="897" spans="1:14" x14ac:dyDescent="0.25">
      <c r="A897" s="2" t="s">
        <v>583</v>
      </c>
      <c r="B897" s="2" t="s">
        <v>584</v>
      </c>
      <c r="C897" s="3">
        <v>68.66</v>
      </c>
      <c r="D897" s="4">
        <v>714.06399999999996</v>
      </c>
      <c r="E897" s="4">
        <v>514.95000000000005</v>
      </c>
      <c r="F897" s="4">
        <f t="shared" si="63"/>
        <v>199.11399999999992</v>
      </c>
      <c r="G897" s="5">
        <f t="shared" si="64"/>
        <v>0.27884615384615374</v>
      </c>
      <c r="H897" s="2" t="s">
        <v>700</v>
      </c>
      <c r="I897" s="6" t="s">
        <v>74</v>
      </c>
      <c r="J897" s="2" t="s">
        <v>701</v>
      </c>
      <c r="K897" s="2" t="s">
        <v>702</v>
      </c>
      <c r="L897" s="2" t="s">
        <v>28</v>
      </c>
      <c r="M897" s="2" t="s">
        <v>5</v>
      </c>
      <c r="N897" s="4">
        <v>15808.85</v>
      </c>
    </row>
    <row r="898" spans="1:14" x14ac:dyDescent="0.25">
      <c r="A898" s="2" t="s">
        <v>715</v>
      </c>
      <c r="B898" s="2" t="s">
        <v>716</v>
      </c>
      <c r="C898" s="3">
        <v>50.844999999999999</v>
      </c>
      <c r="D898" s="4">
        <v>594.88649999999996</v>
      </c>
      <c r="E898" s="4">
        <v>416.92899999999997</v>
      </c>
      <c r="F898" s="4">
        <f t="shared" si="63"/>
        <v>177.95749999999998</v>
      </c>
      <c r="G898" s="5">
        <f t="shared" si="64"/>
        <v>0.29914529914529914</v>
      </c>
      <c r="H898" s="2" t="s">
        <v>700</v>
      </c>
      <c r="I898" s="6" t="s">
        <v>74</v>
      </c>
      <c r="J898" s="2" t="s">
        <v>701</v>
      </c>
      <c r="K898" s="2" t="s">
        <v>702</v>
      </c>
      <c r="L898" s="2" t="s">
        <v>28</v>
      </c>
      <c r="M898" s="2" t="s">
        <v>5</v>
      </c>
      <c r="N898" s="4">
        <v>15808.85</v>
      </c>
    </row>
    <row r="899" spans="1:14" x14ac:dyDescent="0.25">
      <c r="A899" s="2" t="s">
        <v>690</v>
      </c>
      <c r="B899" s="2" t="s">
        <v>691</v>
      </c>
      <c r="C899" s="3">
        <v>40.74</v>
      </c>
      <c r="D899" s="4">
        <v>655.91399999999999</v>
      </c>
      <c r="E899" s="4">
        <v>236.292</v>
      </c>
      <c r="F899" s="4">
        <f t="shared" si="63"/>
        <v>419.62199999999996</v>
      </c>
      <c r="G899" s="5">
        <f t="shared" si="64"/>
        <v>0.63975155279503104</v>
      </c>
      <c r="H899" s="2" t="s">
        <v>700</v>
      </c>
      <c r="I899" s="6" t="s">
        <v>74</v>
      </c>
      <c r="J899" s="2" t="s">
        <v>701</v>
      </c>
      <c r="K899" s="2" t="s">
        <v>702</v>
      </c>
      <c r="L899" s="2" t="s">
        <v>28</v>
      </c>
      <c r="M899" s="2" t="s">
        <v>5</v>
      </c>
      <c r="N899" s="4">
        <v>15808.85</v>
      </c>
    </row>
    <row r="900" spans="1:14" x14ac:dyDescent="0.25">
      <c r="A900" s="2" t="s">
        <v>256</v>
      </c>
      <c r="B900" s="2" t="s">
        <v>257</v>
      </c>
      <c r="C900" s="3">
        <v>8</v>
      </c>
      <c r="D900" s="4">
        <v>195.84</v>
      </c>
      <c r="E900" s="4">
        <v>129.12</v>
      </c>
      <c r="F900" s="4">
        <f t="shared" si="63"/>
        <v>66.72</v>
      </c>
      <c r="G900" s="5">
        <f t="shared" si="64"/>
        <v>0.34068627450980393</v>
      </c>
      <c r="H900" s="2" t="s">
        <v>700</v>
      </c>
      <c r="I900" s="6" t="s">
        <v>74</v>
      </c>
      <c r="J900" s="2" t="s">
        <v>701</v>
      </c>
      <c r="K900" s="2" t="s">
        <v>702</v>
      </c>
      <c r="L900" s="2" t="s">
        <v>28</v>
      </c>
      <c r="M900" s="2" t="s">
        <v>5</v>
      </c>
      <c r="N900" s="4">
        <v>15808.85</v>
      </c>
    </row>
    <row r="901" spans="1:14" x14ac:dyDescent="0.25">
      <c r="A901" s="2" t="s">
        <v>694</v>
      </c>
      <c r="B901" s="2" t="s">
        <v>695</v>
      </c>
      <c r="C901" s="3">
        <v>40</v>
      </c>
      <c r="D901" s="4">
        <v>656.8</v>
      </c>
      <c r="E901" s="4">
        <v>364</v>
      </c>
      <c r="F901" s="4">
        <f t="shared" si="63"/>
        <v>292.79999999999995</v>
      </c>
      <c r="G901" s="5">
        <f t="shared" si="64"/>
        <v>0.44579780755176612</v>
      </c>
      <c r="H901" s="2" t="s">
        <v>700</v>
      </c>
      <c r="I901" s="6" t="s">
        <v>74</v>
      </c>
      <c r="J901" s="2" t="s">
        <v>701</v>
      </c>
      <c r="K901" s="2" t="s">
        <v>702</v>
      </c>
      <c r="L901" s="2" t="s">
        <v>28</v>
      </c>
      <c r="M901" s="2" t="s">
        <v>5</v>
      </c>
      <c r="N901" s="4">
        <v>15808.85</v>
      </c>
    </row>
    <row r="902" spans="1:14" x14ac:dyDescent="0.25">
      <c r="A902" s="2" t="s">
        <v>250</v>
      </c>
      <c r="B902" s="2" t="s">
        <v>251</v>
      </c>
      <c r="C902" s="3">
        <v>45</v>
      </c>
      <c r="D902" s="4">
        <v>566.54999999999995</v>
      </c>
      <c r="E902" s="4">
        <v>382.5</v>
      </c>
      <c r="F902" s="4">
        <f t="shared" si="63"/>
        <v>184.04999999999995</v>
      </c>
      <c r="G902" s="5">
        <f t="shared" si="64"/>
        <v>0.3248610007942811</v>
      </c>
      <c r="H902" s="2" t="s">
        <v>700</v>
      </c>
      <c r="I902" s="6" t="s">
        <v>74</v>
      </c>
      <c r="J902" s="2" t="s">
        <v>701</v>
      </c>
      <c r="K902" s="2" t="s">
        <v>702</v>
      </c>
      <c r="L902" s="2" t="s">
        <v>28</v>
      </c>
      <c r="M902" s="2" t="s">
        <v>5</v>
      </c>
      <c r="N902" s="4">
        <v>15808.85</v>
      </c>
    </row>
    <row r="903" spans="1:14" x14ac:dyDescent="0.25">
      <c r="A903" s="2" t="s">
        <v>595</v>
      </c>
      <c r="B903" s="2" t="s">
        <v>596</v>
      </c>
      <c r="C903" s="3">
        <v>27.88</v>
      </c>
      <c r="D903" s="4">
        <v>537.24760000000003</v>
      </c>
      <c r="E903" s="4">
        <v>416.80599999999998</v>
      </c>
      <c r="F903" s="4">
        <f t="shared" si="63"/>
        <v>120.44160000000005</v>
      </c>
      <c r="G903" s="5">
        <f t="shared" si="64"/>
        <v>0.22418266735858855</v>
      </c>
      <c r="H903" s="2" t="s">
        <v>700</v>
      </c>
      <c r="I903" s="6" t="s">
        <v>74</v>
      </c>
      <c r="J903" s="2" t="s">
        <v>701</v>
      </c>
      <c r="K903" s="2" t="s">
        <v>702</v>
      </c>
      <c r="L903" s="2" t="s">
        <v>28</v>
      </c>
      <c r="M903" s="2" t="s">
        <v>5</v>
      </c>
      <c r="N903" s="4">
        <v>15808.85</v>
      </c>
    </row>
    <row r="905" spans="1:14" x14ac:dyDescent="0.25">
      <c r="A905" s="13" t="s">
        <v>59</v>
      </c>
      <c r="B905" s="21"/>
      <c r="C905" s="22">
        <f>SUM(C873:C904)</f>
        <v>1218.5249999999999</v>
      </c>
      <c r="D905" s="23">
        <f>SUM(D873:D904)</f>
        <v>15808.848500000002</v>
      </c>
      <c r="E905" s="23">
        <f>SUM(E873:E904)</f>
        <v>10820.574400000001</v>
      </c>
      <c r="F905" s="23">
        <f>D905-E905</f>
        <v>4988.2741000000005</v>
      </c>
      <c r="G905" s="24">
        <f>IF(((D905)=0),0,(D905-E905)/ D905)</f>
        <v>0.31553684001715876</v>
      </c>
      <c r="H905" s="21"/>
      <c r="I905" s="21"/>
      <c r="J905" s="21"/>
      <c r="K905" s="21"/>
      <c r="L905" s="21"/>
      <c r="M905" s="21"/>
      <c r="N905" s="21"/>
    </row>
    <row r="907" spans="1:14" s="17" customFormat="1" ht="18.75" x14ac:dyDescent="0.3"/>
    <row r="908" spans="1:14" s="7" customFormat="1" x14ac:dyDescent="0.25">
      <c r="A908" s="13" t="s">
        <v>717</v>
      </c>
      <c r="B908" s="18" t="s">
        <v>718</v>
      </c>
      <c r="C908" s="19"/>
      <c r="D908" s="20" t="s">
        <v>5</v>
      </c>
      <c r="E908" s="19"/>
      <c r="F908" s="19"/>
      <c r="G908" s="19"/>
      <c r="H908" s="19"/>
      <c r="I908" s="19"/>
      <c r="J908" s="19"/>
      <c r="K908" s="19"/>
      <c r="L908" s="19"/>
      <c r="M908" s="19"/>
      <c r="N908" s="19"/>
    </row>
    <row r="910" spans="1:14" x14ac:dyDescent="0.25">
      <c r="A910" s="2" t="s">
        <v>719</v>
      </c>
      <c r="B910" s="2" t="s">
        <v>720</v>
      </c>
      <c r="C910" s="3">
        <v>2</v>
      </c>
      <c r="D910" s="4">
        <v>26.1</v>
      </c>
      <c r="E910" s="4">
        <v>14.4</v>
      </c>
      <c r="F910" s="4">
        <f t="shared" ref="F910:F953" si="65">D910-E910</f>
        <v>11.700000000000001</v>
      </c>
      <c r="G910" s="5">
        <f t="shared" ref="G910:G953" si="66">IF(((D910)=0),0,(D910-E910)/ D910)</f>
        <v>0.44827586206896552</v>
      </c>
      <c r="H910" s="2" t="s">
        <v>721</v>
      </c>
      <c r="I910" s="6" t="s">
        <v>69</v>
      </c>
      <c r="J910" s="2" t="s">
        <v>722</v>
      </c>
      <c r="K910" s="2" t="s">
        <v>5</v>
      </c>
      <c r="L910" s="2" t="s">
        <v>28</v>
      </c>
      <c r="M910" s="2" t="s">
        <v>5</v>
      </c>
      <c r="N910" s="4">
        <v>1646.39</v>
      </c>
    </row>
    <row r="911" spans="1:14" x14ac:dyDescent="0.25">
      <c r="A911" s="2" t="s">
        <v>719</v>
      </c>
      <c r="B911" s="2" t="s">
        <v>720</v>
      </c>
      <c r="C911" s="3">
        <v>4</v>
      </c>
      <c r="D911" s="4">
        <v>52.2</v>
      </c>
      <c r="E911" s="4">
        <v>28.8</v>
      </c>
      <c r="F911" s="4">
        <f t="shared" si="65"/>
        <v>23.400000000000002</v>
      </c>
      <c r="G911" s="5">
        <f t="shared" si="66"/>
        <v>0.44827586206896552</v>
      </c>
      <c r="H911" s="2" t="s">
        <v>723</v>
      </c>
      <c r="I911" s="6" t="s">
        <v>25</v>
      </c>
      <c r="J911" s="2" t="s">
        <v>724</v>
      </c>
      <c r="K911" s="2" t="s">
        <v>5</v>
      </c>
      <c r="L911" s="2" t="s">
        <v>28</v>
      </c>
      <c r="M911" s="2" t="s">
        <v>5</v>
      </c>
      <c r="N911" s="4">
        <v>659.12</v>
      </c>
    </row>
    <row r="912" spans="1:14" x14ac:dyDescent="0.25">
      <c r="A912" s="2" t="s">
        <v>719</v>
      </c>
      <c r="B912" s="2" t="s">
        <v>720</v>
      </c>
      <c r="C912" s="3">
        <v>4</v>
      </c>
      <c r="D912" s="4">
        <v>52.2</v>
      </c>
      <c r="E912" s="4">
        <v>28.8</v>
      </c>
      <c r="F912" s="4">
        <f t="shared" si="65"/>
        <v>23.400000000000002</v>
      </c>
      <c r="G912" s="5">
        <f t="shared" si="66"/>
        <v>0.44827586206896552</v>
      </c>
      <c r="H912" s="2" t="s">
        <v>725</v>
      </c>
      <c r="I912" s="6" t="s">
        <v>39</v>
      </c>
      <c r="J912" s="2" t="s">
        <v>726</v>
      </c>
      <c r="K912" s="2" t="s">
        <v>5</v>
      </c>
      <c r="L912" s="2" t="s">
        <v>28</v>
      </c>
      <c r="M912" s="2" t="s">
        <v>5</v>
      </c>
      <c r="N912" s="4">
        <v>2520.25</v>
      </c>
    </row>
    <row r="913" spans="1:14" x14ac:dyDescent="0.25">
      <c r="A913" s="2" t="s">
        <v>128</v>
      </c>
      <c r="B913" s="2" t="s">
        <v>129</v>
      </c>
      <c r="C913" s="3">
        <v>2.5</v>
      </c>
      <c r="D913" s="4">
        <v>38.299999999999997</v>
      </c>
      <c r="E913" s="4">
        <v>27.45</v>
      </c>
      <c r="F913" s="4">
        <f t="shared" si="65"/>
        <v>10.849999999999998</v>
      </c>
      <c r="G913" s="5">
        <f t="shared" si="66"/>
        <v>0.28328981723237595</v>
      </c>
      <c r="H913" s="2" t="s">
        <v>721</v>
      </c>
      <c r="I913" s="6" t="s">
        <v>69</v>
      </c>
      <c r="J913" s="2" t="s">
        <v>722</v>
      </c>
      <c r="K913" s="2" t="s">
        <v>5</v>
      </c>
      <c r="L913" s="2" t="s">
        <v>28</v>
      </c>
      <c r="M913" s="2" t="s">
        <v>5</v>
      </c>
      <c r="N913" s="4">
        <v>1646.39</v>
      </c>
    </row>
    <row r="914" spans="1:14" x14ac:dyDescent="0.25">
      <c r="A914" s="2" t="s">
        <v>128</v>
      </c>
      <c r="B914" s="2" t="s">
        <v>129</v>
      </c>
      <c r="C914" s="3">
        <v>20</v>
      </c>
      <c r="D914" s="4">
        <v>306.39999999999998</v>
      </c>
      <c r="E914" s="4">
        <v>219.6</v>
      </c>
      <c r="F914" s="4">
        <f t="shared" si="65"/>
        <v>86.799999999999983</v>
      </c>
      <c r="G914" s="5">
        <f t="shared" si="66"/>
        <v>0.28328981723237595</v>
      </c>
      <c r="H914" s="2" t="s">
        <v>727</v>
      </c>
      <c r="I914" s="6" t="s">
        <v>32</v>
      </c>
      <c r="J914" s="2" t="s">
        <v>728</v>
      </c>
      <c r="K914" s="2" t="s">
        <v>5</v>
      </c>
      <c r="L914" s="2" t="s">
        <v>28</v>
      </c>
      <c r="M914" s="2" t="s">
        <v>5</v>
      </c>
      <c r="N914" s="4">
        <v>906.9</v>
      </c>
    </row>
    <row r="915" spans="1:14" x14ac:dyDescent="0.25">
      <c r="A915" s="2" t="s">
        <v>29</v>
      </c>
      <c r="B915" s="2" t="s">
        <v>30</v>
      </c>
      <c r="C915" s="3">
        <v>15.359</v>
      </c>
      <c r="D915" s="4">
        <v>235.29988</v>
      </c>
      <c r="E915" s="4">
        <v>153.59</v>
      </c>
      <c r="F915" s="4">
        <f t="shared" si="65"/>
        <v>81.709879999999998</v>
      </c>
      <c r="G915" s="5">
        <f t="shared" si="66"/>
        <v>0.3472584856396867</v>
      </c>
      <c r="H915" s="2" t="s">
        <v>721</v>
      </c>
      <c r="I915" s="6" t="s">
        <v>69</v>
      </c>
      <c r="J915" s="2" t="s">
        <v>722</v>
      </c>
      <c r="K915" s="2" t="s">
        <v>5</v>
      </c>
      <c r="L915" s="2" t="s">
        <v>28</v>
      </c>
      <c r="M915" s="2" t="s">
        <v>5</v>
      </c>
      <c r="N915" s="4">
        <v>1646.39</v>
      </c>
    </row>
    <row r="916" spans="1:14" x14ac:dyDescent="0.25">
      <c r="A916" s="2" t="s">
        <v>152</v>
      </c>
      <c r="B916" s="2" t="s">
        <v>153</v>
      </c>
      <c r="C916" s="3">
        <v>15.26</v>
      </c>
      <c r="D916" s="4">
        <v>250.5692</v>
      </c>
      <c r="E916" s="4">
        <v>105.294</v>
      </c>
      <c r="F916" s="4">
        <f t="shared" si="65"/>
        <v>145.27519999999998</v>
      </c>
      <c r="G916" s="5">
        <f t="shared" si="66"/>
        <v>0.57978075517661387</v>
      </c>
      <c r="H916" s="2" t="s">
        <v>725</v>
      </c>
      <c r="I916" s="6" t="s">
        <v>39</v>
      </c>
      <c r="J916" s="2" t="s">
        <v>726</v>
      </c>
      <c r="K916" s="2" t="s">
        <v>5</v>
      </c>
      <c r="L916" s="2" t="s">
        <v>28</v>
      </c>
      <c r="M916" s="2" t="s">
        <v>5</v>
      </c>
      <c r="N916" s="4">
        <v>2520.25</v>
      </c>
    </row>
    <row r="917" spans="1:14" x14ac:dyDescent="0.25">
      <c r="A917" s="2" t="s">
        <v>152</v>
      </c>
      <c r="B917" s="2" t="s">
        <v>153</v>
      </c>
      <c r="C917" s="3">
        <v>3.944</v>
      </c>
      <c r="D917" s="4">
        <v>64.760480000000001</v>
      </c>
      <c r="E917" s="4">
        <v>27.2136</v>
      </c>
      <c r="F917" s="4">
        <f t="shared" si="65"/>
        <v>37.546880000000002</v>
      </c>
      <c r="G917" s="5">
        <f t="shared" si="66"/>
        <v>0.57978075517661387</v>
      </c>
      <c r="H917" s="2" t="s">
        <v>729</v>
      </c>
      <c r="I917" s="6" t="s">
        <v>32</v>
      </c>
      <c r="J917" s="2" t="s">
        <v>730</v>
      </c>
      <c r="K917" s="2" t="s">
        <v>5</v>
      </c>
      <c r="L917" s="2" t="s">
        <v>28</v>
      </c>
      <c r="M917" s="2" t="s">
        <v>5</v>
      </c>
      <c r="N917" s="4">
        <v>1514.63</v>
      </c>
    </row>
    <row r="918" spans="1:14" x14ac:dyDescent="0.25">
      <c r="A918" s="2" t="s">
        <v>152</v>
      </c>
      <c r="B918" s="2" t="s">
        <v>153</v>
      </c>
      <c r="C918" s="3">
        <v>2.02</v>
      </c>
      <c r="D918" s="4">
        <v>33.168399999999998</v>
      </c>
      <c r="E918" s="4">
        <v>13.938000000000001</v>
      </c>
      <c r="F918" s="4">
        <f t="shared" si="65"/>
        <v>19.230399999999996</v>
      </c>
      <c r="G918" s="5">
        <f t="shared" si="66"/>
        <v>0.57978075517661376</v>
      </c>
      <c r="H918" s="2" t="s">
        <v>721</v>
      </c>
      <c r="I918" s="6" t="s">
        <v>69</v>
      </c>
      <c r="J918" s="2" t="s">
        <v>722</v>
      </c>
      <c r="K918" s="2" t="s">
        <v>5</v>
      </c>
      <c r="L918" s="2" t="s">
        <v>28</v>
      </c>
      <c r="M918" s="2" t="s">
        <v>5</v>
      </c>
      <c r="N918" s="4">
        <v>1646.39</v>
      </c>
    </row>
    <row r="919" spans="1:14" x14ac:dyDescent="0.25">
      <c r="A919" s="2" t="s">
        <v>312</v>
      </c>
      <c r="B919" s="2" t="s">
        <v>313</v>
      </c>
      <c r="C919" s="3">
        <v>5.1360000000000001</v>
      </c>
      <c r="D919" s="4">
        <v>84.333119999999994</v>
      </c>
      <c r="E919" s="4">
        <v>35.438400000000001</v>
      </c>
      <c r="F919" s="4">
        <f t="shared" si="65"/>
        <v>48.894719999999992</v>
      </c>
      <c r="G919" s="5">
        <f t="shared" si="66"/>
        <v>0.57978075517661387</v>
      </c>
      <c r="H919" s="2" t="s">
        <v>725</v>
      </c>
      <c r="I919" s="6" t="s">
        <v>39</v>
      </c>
      <c r="J919" s="2" t="s">
        <v>726</v>
      </c>
      <c r="K919" s="2" t="s">
        <v>5</v>
      </c>
      <c r="L919" s="2" t="s">
        <v>28</v>
      </c>
      <c r="M919" s="2" t="s">
        <v>5</v>
      </c>
      <c r="N919" s="4">
        <v>2520.25</v>
      </c>
    </row>
    <row r="920" spans="1:14" x14ac:dyDescent="0.25">
      <c r="A920" s="2" t="s">
        <v>312</v>
      </c>
      <c r="B920" s="2" t="s">
        <v>313</v>
      </c>
      <c r="C920" s="3">
        <v>2.5099999999999998</v>
      </c>
      <c r="D920" s="4">
        <v>41.214199999999998</v>
      </c>
      <c r="E920" s="4">
        <v>17.318999999999999</v>
      </c>
      <c r="F920" s="4">
        <f t="shared" si="65"/>
        <v>23.895199999999999</v>
      </c>
      <c r="G920" s="5">
        <f t="shared" si="66"/>
        <v>0.57978075517661387</v>
      </c>
      <c r="H920" s="2" t="s">
        <v>721</v>
      </c>
      <c r="I920" s="6" t="s">
        <v>69</v>
      </c>
      <c r="J920" s="2" t="s">
        <v>722</v>
      </c>
      <c r="K920" s="2" t="s">
        <v>5</v>
      </c>
      <c r="L920" s="2" t="s">
        <v>28</v>
      </c>
      <c r="M920" s="2" t="s">
        <v>5</v>
      </c>
      <c r="N920" s="4">
        <v>1646.39</v>
      </c>
    </row>
    <row r="921" spans="1:14" x14ac:dyDescent="0.25">
      <c r="A921" s="2" t="s">
        <v>211</v>
      </c>
      <c r="B921" s="2" t="s">
        <v>212</v>
      </c>
      <c r="C921" s="3">
        <v>14.99</v>
      </c>
      <c r="D921" s="4">
        <v>75.249799999999993</v>
      </c>
      <c r="E921" s="4">
        <v>37.475000000000001</v>
      </c>
      <c r="F921" s="4">
        <f t="shared" si="65"/>
        <v>37.774799999999992</v>
      </c>
      <c r="G921" s="5">
        <f t="shared" si="66"/>
        <v>0.50199203187250985</v>
      </c>
      <c r="H921" s="2" t="s">
        <v>721</v>
      </c>
      <c r="I921" s="6" t="s">
        <v>69</v>
      </c>
      <c r="J921" s="2" t="s">
        <v>722</v>
      </c>
      <c r="K921" s="2" t="s">
        <v>5</v>
      </c>
      <c r="L921" s="2" t="s">
        <v>28</v>
      </c>
      <c r="M921" s="2" t="s">
        <v>5</v>
      </c>
      <c r="N921" s="4">
        <v>1646.39</v>
      </c>
    </row>
    <row r="922" spans="1:14" x14ac:dyDescent="0.25">
      <c r="A922" s="2" t="s">
        <v>211</v>
      </c>
      <c r="B922" s="2" t="s">
        <v>212</v>
      </c>
      <c r="C922" s="3">
        <v>14.984999999999999</v>
      </c>
      <c r="D922" s="4">
        <v>75.224699999999999</v>
      </c>
      <c r="E922" s="4">
        <v>37.462499999999999</v>
      </c>
      <c r="F922" s="4">
        <f t="shared" si="65"/>
        <v>37.7622</v>
      </c>
      <c r="G922" s="5">
        <f t="shared" si="66"/>
        <v>0.50199203187250996</v>
      </c>
      <c r="H922" s="2" t="s">
        <v>729</v>
      </c>
      <c r="I922" s="6" t="s">
        <v>32</v>
      </c>
      <c r="J922" s="2" t="s">
        <v>730</v>
      </c>
      <c r="K922" s="2" t="s">
        <v>5</v>
      </c>
      <c r="L922" s="2" t="s">
        <v>28</v>
      </c>
      <c r="M922" s="2" t="s">
        <v>5</v>
      </c>
      <c r="N922" s="4">
        <v>1514.63</v>
      </c>
    </row>
    <row r="923" spans="1:14" x14ac:dyDescent="0.25">
      <c r="A923" s="2" t="s">
        <v>731</v>
      </c>
      <c r="B923" s="2" t="s">
        <v>732</v>
      </c>
      <c r="C923" s="3">
        <v>2.044</v>
      </c>
      <c r="D923" s="4">
        <v>98.623000000000005</v>
      </c>
      <c r="E923" s="4">
        <v>57.231999999999999</v>
      </c>
      <c r="F923" s="4">
        <f t="shared" si="65"/>
        <v>41.391000000000005</v>
      </c>
      <c r="G923" s="5">
        <f t="shared" si="66"/>
        <v>0.4196891191709845</v>
      </c>
      <c r="H923" s="2" t="s">
        <v>725</v>
      </c>
      <c r="I923" s="6" t="s">
        <v>39</v>
      </c>
      <c r="J923" s="2" t="s">
        <v>726</v>
      </c>
      <c r="K923" s="2" t="s">
        <v>5</v>
      </c>
      <c r="L923" s="2" t="s">
        <v>28</v>
      </c>
      <c r="M923" s="2" t="s">
        <v>5</v>
      </c>
      <c r="N923" s="4">
        <v>2520.25</v>
      </c>
    </row>
    <row r="924" spans="1:14" x14ac:dyDescent="0.25">
      <c r="A924" s="2" t="s">
        <v>733</v>
      </c>
      <c r="B924" s="2" t="s">
        <v>734</v>
      </c>
      <c r="C924" s="3">
        <v>13.1</v>
      </c>
      <c r="D924" s="4">
        <v>600.50400000000002</v>
      </c>
      <c r="E924" s="4">
        <v>366.8</v>
      </c>
      <c r="F924" s="4">
        <f t="shared" si="65"/>
        <v>233.70400000000001</v>
      </c>
      <c r="G924" s="5">
        <f t="shared" si="66"/>
        <v>0.38917975567190227</v>
      </c>
      <c r="H924" s="2" t="s">
        <v>727</v>
      </c>
      <c r="I924" s="6" t="s">
        <v>32</v>
      </c>
      <c r="J924" s="2" t="s">
        <v>728</v>
      </c>
      <c r="K924" s="2" t="s">
        <v>5</v>
      </c>
      <c r="L924" s="2" t="s">
        <v>28</v>
      </c>
      <c r="M924" s="2" t="s">
        <v>5</v>
      </c>
      <c r="N924" s="4">
        <v>906.9</v>
      </c>
    </row>
    <row r="925" spans="1:14" x14ac:dyDescent="0.25">
      <c r="A925" s="2" t="s">
        <v>163</v>
      </c>
      <c r="B925" s="2" t="s">
        <v>164</v>
      </c>
      <c r="C925" s="3">
        <v>4</v>
      </c>
      <c r="D925" s="4">
        <v>46.6</v>
      </c>
      <c r="E925" s="4">
        <v>27.96</v>
      </c>
      <c r="F925" s="4">
        <f t="shared" si="65"/>
        <v>18.64</v>
      </c>
      <c r="G925" s="5">
        <f t="shared" si="66"/>
        <v>0.4</v>
      </c>
      <c r="H925" s="2" t="s">
        <v>723</v>
      </c>
      <c r="I925" s="6" t="s">
        <v>25</v>
      </c>
      <c r="J925" s="2" t="s">
        <v>724</v>
      </c>
      <c r="K925" s="2" t="s">
        <v>5</v>
      </c>
      <c r="L925" s="2" t="s">
        <v>28</v>
      </c>
      <c r="M925" s="2" t="s">
        <v>5</v>
      </c>
      <c r="N925" s="4">
        <v>659.12</v>
      </c>
    </row>
    <row r="926" spans="1:14" x14ac:dyDescent="0.25">
      <c r="A926" s="2" t="s">
        <v>163</v>
      </c>
      <c r="B926" s="2" t="s">
        <v>164</v>
      </c>
      <c r="C926" s="3">
        <v>4</v>
      </c>
      <c r="D926" s="4">
        <v>46.6</v>
      </c>
      <c r="E926" s="4">
        <v>27.96</v>
      </c>
      <c r="F926" s="4">
        <f t="shared" si="65"/>
        <v>18.64</v>
      </c>
      <c r="G926" s="5">
        <f t="shared" si="66"/>
        <v>0.4</v>
      </c>
      <c r="H926" s="2" t="s">
        <v>725</v>
      </c>
      <c r="I926" s="6" t="s">
        <v>39</v>
      </c>
      <c r="J926" s="2" t="s">
        <v>726</v>
      </c>
      <c r="K926" s="2" t="s">
        <v>5</v>
      </c>
      <c r="L926" s="2" t="s">
        <v>28</v>
      </c>
      <c r="M926" s="2" t="s">
        <v>5</v>
      </c>
      <c r="N926" s="4">
        <v>2520.25</v>
      </c>
    </row>
    <row r="927" spans="1:14" x14ac:dyDescent="0.25">
      <c r="A927" s="2" t="s">
        <v>163</v>
      </c>
      <c r="B927" s="2" t="s">
        <v>164</v>
      </c>
      <c r="C927" s="3">
        <v>2</v>
      </c>
      <c r="D927" s="4">
        <v>23.3</v>
      </c>
      <c r="E927" s="4">
        <v>13.98</v>
      </c>
      <c r="F927" s="4">
        <f t="shared" si="65"/>
        <v>9.32</v>
      </c>
      <c r="G927" s="5">
        <f t="shared" si="66"/>
        <v>0.4</v>
      </c>
      <c r="H927" s="2" t="s">
        <v>721</v>
      </c>
      <c r="I927" s="6" t="s">
        <v>69</v>
      </c>
      <c r="J927" s="2" t="s">
        <v>722</v>
      </c>
      <c r="K927" s="2" t="s">
        <v>5</v>
      </c>
      <c r="L927" s="2" t="s">
        <v>28</v>
      </c>
      <c r="M927" s="2" t="s">
        <v>5</v>
      </c>
      <c r="N927" s="4">
        <v>1646.39</v>
      </c>
    </row>
    <row r="928" spans="1:14" x14ac:dyDescent="0.25">
      <c r="A928" s="2" t="s">
        <v>49</v>
      </c>
      <c r="B928" s="2" t="s">
        <v>50</v>
      </c>
      <c r="C928" s="3">
        <v>2</v>
      </c>
      <c r="D928" s="4">
        <v>37.22</v>
      </c>
      <c r="E928" s="4">
        <v>22.06</v>
      </c>
      <c r="F928" s="4">
        <f t="shared" si="65"/>
        <v>15.16</v>
      </c>
      <c r="G928" s="5">
        <f t="shared" si="66"/>
        <v>0.40730789897904351</v>
      </c>
      <c r="H928" s="2" t="s">
        <v>729</v>
      </c>
      <c r="I928" s="6" t="s">
        <v>32</v>
      </c>
      <c r="J928" s="2" t="s">
        <v>730</v>
      </c>
      <c r="K928" s="2" t="s">
        <v>5</v>
      </c>
      <c r="L928" s="2" t="s">
        <v>28</v>
      </c>
      <c r="M928" s="2" t="s">
        <v>5</v>
      </c>
      <c r="N928" s="4">
        <v>1514.63</v>
      </c>
    </row>
    <row r="929" spans="1:14" x14ac:dyDescent="0.25">
      <c r="A929" s="2" t="s">
        <v>49</v>
      </c>
      <c r="B929" s="2" t="s">
        <v>50</v>
      </c>
      <c r="C929" s="3">
        <v>4</v>
      </c>
      <c r="D929" s="4">
        <v>74.44</v>
      </c>
      <c r="E929" s="4">
        <v>44.12</v>
      </c>
      <c r="F929" s="4">
        <f t="shared" si="65"/>
        <v>30.32</v>
      </c>
      <c r="G929" s="5">
        <f t="shared" si="66"/>
        <v>0.40730789897904351</v>
      </c>
      <c r="H929" s="2" t="s">
        <v>725</v>
      </c>
      <c r="I929" s="6" t="s">
        <v>39</v>
      </c>
      <c r="J929" s="2" t="s">
        <v>726</v>
      </c>
      <c r="K929" s="2" t="s">
        <v>5</v>
      </c>
      <c r="L929" s="2" t="s">
        <v>28</v>
      </c>
      <c r="M929" s="2" t="s">
        <v>5</v>
      </c>
      <c r="N929" s="4">
        <v>2520.25</v>
      </c>
    </row>
    <row r="930" spans="1:14" x14ac:dyDescent="0.25">
      <c r="A930" s="2" t="s">
        <v>735</v>
      </c>
      <c r="B930" s="2" t="s">
        <v>736</v>
      </c>
      <c r="C930" s="3">
        <v>20.2</v>
      </c>
      <c r="D930" s="4">
        <v>393.69799999999998</v>
      </c>
      <c r="E930" s="4">
        <v>342.39</v>
      </c>
      <c r="F930" s="4">
        <f t="shared" si="65"/>
        <v>51.307999999999993</v>
      </c>
      <c r="G930" s="5">
        <f t="shared" si="66"/>
        <v>0.13032324268855822</v>
      </c>
      <c r="H930" s="2" t="s">
        <v>721</v>
      </c>
      <c r="I930" s="6" t="s">
        <v>69</v>
      </c>
      <c r="J930" s="2" t="s">
        <v>722</v>
      </c>
      <c r="K930" s="2" t="s">
        <v>5</v>
      </c>
      <c r="L930" s="2" t="s">
        <v>28</v>
      </c>
      <c r="M930" s="2" t="s">
        <v>5</v>
      </c>
      <c r="N930" s="4">
        <v>1646.39</v>
      </c>
    </row>
    <row r="931" spans="1:14" x14ac:dyDescent="0.25">
      <c r="A931" s="2" t="s">
        <v>713</v>
      </c>
      <c r="B931" s="2" t="s">
        <v>714</v>
      </c>
      <c r="C931" s="3">
        <v>2.4380000000000002</v>
      </c>
      <c r="D931" s="4">
        <v>34.131999999999998</v>
      </c>
      <c r="E931" s="4">
        <v>21.3325</v>
      </c>
      <c r="F931" s="4">
        <f t="shared" si="65"/>
        <v>12.799499999999998</v>
      </c>
      <c r="G931" s="5">
        <f t="shared" si="66"/>
        <v>0.375</v>
      </c>
      <c r="H931" s="2" t="s">
        <v>729</v>
      </c>
      <c r="I931" s="6" t="s">
        <v>32</v>
      </c>
      <c r="J931" s="2" t="s">
        <v>730</v>
      </c>
      <c r="K931" s="2" t="s">
        <v>5</v>
      </c>
      <c r="L931" s="2" t="s">
        <v>28</v>
      </c>
      <c r="M931" s="2" t="s">
        <v>5</v>
      </c>
      <c r="N931" s="4">
        <v>1514.63</v>
      </c>
    </row>
    <row r="932" spans="1:14" x14ac:dyDescent="0.25">
      <c r="A932" s="2" t="s">
        <v>713</v>
      </c>
      <c r="B932" s="2" t="s">
        <v>714</v>
      </c>
      <c r="C932" s="3">
        <v>2.0329999999999999</v>
      </c>
      <c r="D932" s="4">
        <v>28.462</v>
      </c>
      <c r="E932" s="4">
        <v>17.78875</v>
      </c>
      <c r="F932" s="4">
        <f t="shared" si="65"/>
        <v>10.673249999999999</v>
      </c>
      <c r="G932" s="5">
        <f t="shared" si="66"/>
        <v>0.375</v>
      </c>
      <c r="H932" s="2" t="s">
        <v>725</v>
      </c>
      <c r="I932" s="6" t="s">
        <v>39</v>
      </c>
      <c r="J932" s="2" t="s">
        <v>726</v>
      </c>
      <c r="K932" s="2" t="s">
        <v>5</v>
      </c>
      <c r="L932" s="2" t="s">
        <v>28</v>
      </c>
      <c r="M932" s="2" t="s">
        <v>5</v>
      </c>
      <c r="N932" s="4">
        <v>2520.25</v>
      </c>
    </row>
    <row r="933" spans="1:14" x14ac:dyDescent="0.25">
      <c r="A933" s="2" t="s">
        <v>316</v>
      </c>
      <c r="B933" s="2" t="s">
        <v>317</v>
      </c>
      <c r="C933" s="3">
        <v>7.07</v>
      </c>
      <c r="D933" s="4">
        <v>157.1661</v>
      </c>
      <c r="E933" s="4">
        <v>106.75700000000001</v>
      </c>
      <c r="F933" s="4">
        <f t="shared" si="65"/>
        <v>50.409099999999995</v>
      </c>
      <c r="G933" s="5">
        <f t="shared" si="66"/>
        <v>0.32073774179037334</v>
      </c>
      <c r="H933" s="2" t="s">
        <v>725</v>
      </c>
      <c r="I933" s="6" t="s">
        <v>39</v>
      </c>
      <c r="J933" s="2" t="s">
        <v>726</v>
      </c>
      <c r="K933" s="2" t="s">
        <v>5</v>
      </c>
      <c r="L933" s="2" t="s">
        <v>28</v>
      </c>
      <c r="M933" s="2" t="s">
        <v>5</v>
      </c>
      <c r="N933" s="4">
        <v>2520.25</v>
      </c>
    </row>
    <row r="934" spans="1:14" x14ac:dyDescent="0.25">
      <c r="A934" s="2" t="s">
        <v>53</v>
      </c>
      <c r="B934" s="2" t="s">
        <v>54</v>
      </c>
      <c r="C934" s="3">
        <v>32.42</v>
      </c>
      <c r="D934" s="4">
        <v>390.01260000000002</v>
      </c>
      <c r="E934" s="4">
        <v>236.666</v>
      </c>
      <c r="F934" s="4">
        <f t="shared" si="65"/>
        <v>153.34660000000002</v>
      </c>
      <c r="G934" s="5">
        <f t="shared" si="66"/>
        <v>0.39318370739817127</v>
      </c>
      <c r="H934" s="2" t="s">
        <v>729</v>
      </c>
      <c r="I934" s="6" t="s">
        <v>32</v>
      </c>
      <c r="J934" s="2" t="s">
        <v>730</v>
      </c>
      <c r="K934" s="2" t="s">
        <v>5</v>
      </c>
      <c r="L934" s="2" t="s">
        <v>28</v>
      </c>
      <c r="M934" s="2" t="s">
        <v>5</v>
      </c>
      <c r="N934" s="4">
        <v>1514.63</v>
      </c>
    </row>
    <row r="935" spans="1:14" x14ac:dyDescent="0.25">
      <c r="A935" s="2" t="s">
        <v>53</v>
      </c>
      <c r="B935" s="2" t="s">
        <v>54</v>
      </c>
      <c r="C935" s="3">
        <v>30.86</v>
      </c>
      <c r="D935" s="4">
        <v>371.24579999999997</v>
      </c>
      <c r="E935" s="4">
        <v>225.27799999999999</v>
      </c>
      <c r="F935" s="4">
        <f t="shared" si="65"/>
        <v>145.96779999999998</v>
      </c>
      <c r="G935" s="5">
        <f t="shared" si="66"/>
        <v>0.39318370739817121</v>
      </c>
      <c r="H935" s="2" t="s">
        <v>721</v>
      </c>
      <c r="I935" s="6" t="s">
        <v>69</v>
      </c>
      <c r="J935" s="2" t="s">
        <v>722</v>
      </c>
      <c r="K935" s="2" t="s">
        <v>5</v>
      </c>
      <c r="L935" s="2" t="s">
        <v>28</v>
      </c>
      <c r="M935" s="2" t="s">
        <v>5</v>
      </c>
      <c r="N935" s="4">
        <v>1646.39</v>
      </c>
    </row>
    <row r="936" spans="1:14" x14ac:dyDescent="0.25">
      <c r="A936" s="2" t="s">
        <v>53</v>
      </c>
      <c r="B936" s="2" t="s">
        <v>54</v>
      </c>
      <c r="C936" s="3">
        <v>40.79</v>
      </c>
      <c r="D936" s="4">
        <v>490.70370000000003</v>
      </c>
      <c r="E936" s="4">
        <v>297.767</v>
      </c>
      <c r="F936" s="4">
        <f t="shared" si="65"/>
        <v>192.93670000000003</v>
      </c>
      <c r="G936" s="5">
        <f t="shared" si="66"/>
        <v>0.39318370739817127</v>
      </c>
      <c r="H936" s="2" t="s">
        <v>725</v>
      </c>
      <c r="I936" s="6" t="s">
        <v>39</v>
      </c>
      <c r="J936" s="2" t="s">
        <v>726</v>
      </c>
      <c r="K936" s="2" t="s">
        <v>5</v>
      </c>
      <c r="L936" s="2" t="s">
        <v>28</v>
      </c>
      <c r="M936" s="2" t="s">
        <v>5</v>
      </c>
      <c r="N936" s="4">
        <v>2520.25</v>
      </c>
    </row>
    <row r="937" spans="1:14" x14ac:dyDescent="0.25">
      <c r="A937" s="2" t="s">
        <v>632</v>
      </c>
      <c r="B937" s="2" t="s">
        <v>633</v>
      </c>
      <c r="C937" s="3">
        <v>4.952</v>
      </c>
      <c r="D937" s="4">
        <v>81.410880000000006</v>
      </c>
      <c r="E937" s="4">
        <v>61.404800000000002</v>
      </c>
      <c r="F937" s="4">
        <f t="shared" si="65"/>
        <v>20.006080000000004</v>
      </c>
      <c r="G937" s="5">
        <f t="shared" si="66"/>
        <v>0.24574209245742096</v>
      </c>
      <c r="H937" s="2" t="s">
        <v>721</v>
      </c>
      <c r="I937" s="6" t="s">
        <v>69</v>
      </c>
      <c r="J937" s="2" t="s">
        <v>722</v>
      </c>
      <c r="K937" s="2" t="s">
        <v>5</v>
      </c>
      <c r="L937" s="2" t="s">
        <v>28</v>
      </c>
      <c r="M937" s="2" t="s">
        <v>5</v>
      </c>
      <c r="N937" s="4">
        <v>1646.39</v>
      </c>
    </row>
    <row r="938" spans="1:14" x14ac:dyDescent="0.25">
      <c r="A938" s="2" t="s">
        <v>737</v>
      </c>
      <c r="B938" s="2" t="s">
        <v>738</v>
      </c>
      <c r="C938" s="3">
        <v>3.6819999999999999</v>
      </c>
      <c r="D938" s="4">
        <v>193.85730000000001</v>
      </c>
      <c r="E938" s="4">
        <v>145.43899999999999</v>
      </c>
      <c r="F938" s="4">
        <f t="shared" si="65"/>
        <v>48.418300000000016</v>
      </c>
      <c r="G938" s="5">
        <f t="shared" si="66"/>
        <v>0.24976258309591651</v>
      </c>
      <c r="H938" s="2" t="s">
        <v>729</v>
      </c>
      <c r="I938" s="6" t="s">
        <v>32</v>
      </c>
      <c r="J938" s="2" t="s">
        <v>730</v>
      </c>
      <c r="K938" s="2" t="s">
        <v>5</v>
      </c>
      <c r="L938" s="2" t="s">
        <v>28</v>
      </c>
      <c r="M938" s="2" t="s">
        <v>5</v>
      </c>
      <c r="N938" s="4">
        <v>1514.63</v>
      </c>
    </row>
    <row r="939" spans="1:14" x14ac:dyDescent="0.25">
      <c r="A939" s="2" t="s">
        <v>739</v>
      </c>
      <c r="B939" s="2" t="s">
        <v>740</v>
      </c>
      <c r="C939" s="3">
        <v>16.204999999999998</v>
      </c>
      <c r="D939" s="4">
        <v>461.68045000000001</v>
      </c>
      <c r="E939" s="4">
        <v>239.02375000000001</v>
      </c>
      <c r="F939" s="4">
        <f t="shared" si="65"/>
        <v>222.6567</v>
      </c>
      <c r="G939" s="5">
        <f t="shared" si="66"/>
        <v>0.48227448227448227</v>
      </c>
      <c r="H939" s="2" t="s">
        <v>725</v>
      </c>
      <c r="I939" s="6" t="s">
        <v>39</v>
      </c>
      <c r="J939" s="2" t="s">
        <v>726</v>
      </c>
      <c r="K939" s="2" t="s">
        <v>5</v>
      </c>
      <c r="L939" s="2" t="s">
        <v>28</v>
      </c>
      <c r="M939" s="2" t="s">
        <v>5</v>
      </c>
      <c r="N939" s="4">
        <v>2520.25</v>
      </c>
    </row>
    <row r="940" spans="1:14" x14ac:dyDescent="0.25">
      <c r="A940" s="2" t="s">
        <v>739</v>
      </c>
      <c r="B940" s="2" t="s">
        <v>740</v>
      </c>
      <c r="C940" s="3">
        <v>14.96</v>
      </c>
      <c r="D940" s="4">
        <v>426.21039999999999</v>
      </c>
      <c r="E940" s="4">
        <v>220.66</v>
      </c>
      <c r="F940" s="4">
        <f t="shared" si="65"/>
        <v>205.5504</v>
      </c>
      <c r="G940" s="5">
        <f t="shared" si="66"/>
        <v>0.48227448227448227</v>
      </c>
      <c r="H940" s="2" t="s">
        <v>729</v>
      </c>
      <c r="I940" s="6" t="s">
        <v>32</v>
      </c>
      <c r="J940" s="2" t="s">
        <v>730</v>
      </c>
      <c r="K940" s="2" t="s">
        <v>5</v>
      </c>
      <c r="L940" s="2" t="s">
        <v>28</v>
      </c>
      <c r="M940" s="2" t="s">
        <v>5</v>
      </c>
      <c r="N940" s="4">
        <v>1514.63</v>
      </c>
    </row>
    <row r="941" spans="1:14" x14ac:dyDescent="0.25">
      <c r="A941" s="2" t="s">
        <v>739</v>
      </c>
      <c r="B941" s="2" t="s">
        <v>740</v>
      </c>
      <c r="C941" s="3">
        <v>6.29</v>
      </c>
      <c r="D941" s="4">
        <v>179.2021</v>
      </c>
      <c r="E941" s="4">
        <v>92.777500000000003</v>
      </c>
      <c r="F941" s="4">
        <f t="shared" si="65"/>
        <v>86.424599999999998</v>
      </c>
      <c r="G941" s="5">
        <f t="shared" si="66"/>
        <v>0.48227448227448227</v>
      </c>
      <c r="H941" s="2" t="s">
        <v>721</v>
      </c>
      <c r="I941" s="6" t="s">
        <v>69</v>
      </c>
      <c r="J941" s="2" t="s">
        <v>722</v>
      </c>
      <c r="K941" s="2" t="s">
        <v>5</v>
      </c>
      <c r="L941" s="2" t="s">
        <v>28</v>
      </c>
      <c r="M941" s="2" t="s">
        <v>5</v>
      </c>
      <c r="N941" s="4">
        <v>1646.39</v>
      </c>
    </row>
    <row r="942" spans="1:14" x14ac:dyDescent="0.25">
      <c r="A942" s="2" t="s">
        <v>739</v>
      </c>
      <c r="B942" s="2" t="s">
        <v>740</v>
      </c>
      <c r="C942" s="3">
        <v>1</v>
      </c>
      <c r="D942" s="4">
        <v>28.49</v>
      </c>
      <c r="E942" s="4">
        <v>14.75</v>
      </c>
      <c r="F942" s="4">
        <f t="shared" si="65"/>
        <v>13.739999999999998</v>
      </c>
      <c r="G942" s="5">
        <f t="shared" si="66"/>
        <v>0.48227448227448222</v>
      </c>
      <c r="H942" s="2" t="s">
        <v>723</v>
      </c>
      <c r="I942" s="6" t="s">
        <v>25</v>
      </c>
      <c r="J942" s="2" t="s">
        <v>724</v>
      </c>
      <c r="K942" s="2" t="s">
        <v>5</v>
      </c>
      <c r="L942" s="2" t="s">
        <v>28</v>
      </c>
      <c r="M942" s="2" t="s">
        <v>5</v>
      </c>
      <c r="N942" s="4">
        <v>659.12</v>
      </c>
    </row>
    <row r="943" spans="1:14" x14ac:dyDescent="0.25">
      <c r="A943" s="2" t="s">
        <v>741</v>
      </c>
      <c r="B943" s="2" t="s">
        <v>742</v>
      </c>
      <c r="C943" s="3">
        <v>1</v>
      </c>
      <c r="D943" s="4">
        <v>24.37</v>
      </c>
      <c r="E943" s="4">
        <v>15.25</v>
      </c>
      <c r="F943" s="4">
        <f t="shared" si="65"/>
        <v>9.120000000000001</v>
      </c>
      <c r="G943" s="5">
        <f t="shared" si="66"/>
        <v>0.37423061140746822</v>
      </c>
      <c r="H943" s="2" t="s">
        <v>729</v>
      </c>
      <c r="I943" s="6" t="s">
        <v>32</v>
      </c>
      <c r="J943" s="2" t="s">
        <v>730</v>
      </c>
      <c r="K943" s="2" t="s">
        <v>5</v>
      </c>
      <c r="L943" s="2" t="s">
        <v>28</v>
      </c>
      <c r="M943" s="2" t="s">
        <v>5</v>
      </c>
      <c r="N943" s="4">
        <v>1514.63</v>
      </c>
    </row>
    <row r="944" spans="1:14" x14ac:dyDescent="0.25">
      <c r="A944" s="2" t="s">
        <v>256</v>
      </c>
      <c r="B944" s="2" t="s">
        <v>257</v>
      </c>
      <c r="C944" s="3">
        <v>1</v>
      </c>
      <c r="D944" s="4">
        <v>25.84</v>
      </c>
      <c r="E944" s="4">
        <v>16.14</v>
      </c>
      <c r="F944" s="4">
        <f t="shared" si="65"/>
        <v>9.6999999999999993</v>
      </c>
      <c r="G944" s="5">
        <f t="shared" si="66"/>
        <v>0.37538699690402472</v>
      </c>
      <c r="H944" s="2" t="s">
        <v>729</v>
      </c>
      <c r="I944" s="6" t="s">
        <v>32</v>
      </c>
      <c r="J944" s="2" t="s">
        <v>730</v>
      </c>
      <c r="K944" s="2" t="s">
        <v>5</v>
      </c>
      <c r="L944" s="2" t="s">
        <v>28</v>
      </c>
      <c r="M944" s="2" t="s">
        <v>5</v>
      </c>
      <c r="N944" s="4">
        <v>1514.63</v>
      </c>
    </row>
    <row r="945" spans="1:14" x14ac:dyDescent="0.25">
      <c r="A945" s="2" t="s">
        <v>181</v>
      </c>
      <c r="B945" s="2" t="s">
        <v>182</v>
      </c>
      <c r="C945" s="3">
        <v>4.24</v>
      </c>
      <c r="D945" s="4">
        <v>153.4032</v>
      </c>
      <c r="E945" s="4">
        <v>93.28</v>
      </c>
      <c r="F945" s="4">
        <f t="shared" si="65"/>
        <v>60.123199999999997</v>
      </c>
      <c r="G945" s="5">
        <f t="shared" si="66"/>
        <v>0.39192924267551132</v>
      </c>
      <c r="H945" s="2" t="s">
        <v>723</v>
      </c>
      <c r="I945" s="6" t="s">
        <v>25</v>
      </c>
      <c r="J945" s="2" t="s">
        <v>724</v>
      </c>
      <c r="K945" s="2" t="s">
        <v>5</v>
      </c>
      <c r="L945" s="2" t="s">
        <v>28</v>
      </c>
      <c r="M945" s="2" t="s">
        <v>5</v>
      </c>
      <c r="N945" s="4">
        <v>659.12</v>
      </c>
    </row>
    <row r="946" spans="1:14" x14ac:dyDescent="0.25">
      <c r="A946" s="2" t="s">
        <v>743</v>
      </c>
      <c r="B946" s="2" t="s">
        <v>744</v>
      </c>
      <c r="C946" s="3">
        <v>10</v>
      </c>
      <c r="D946" s="4">
        <v>148.19999999999999</v>
      </c>
      <c r="E946" s="4">
        <v>105</v>
      </c>
      <c r="F946" s="4">
        <f t="shared" si="65"/>
        <v>43.199999999999989</v>
      </c>
      <c r="G946" s="5">
        <f t="shared" si="66"/>
        <v>0.29149797570850194</v>
      </c>
      <c r="H946" s="2" t="s">
        <v>725</v>
      </c>
      <c r="I946" s="6" t="s">
        <v>39</v>
      </c>
      <c r="J946" s="2" t="s">
        <v>726</v>
      </c>
      <c r="K946" s="2" t="s">
        <v>5</v>
      </c>
      <c r="L946" s="2" t="s">
        <v>28</v>
      </c>
      <c r="M946" s="2" t="s">
        <v>5</v>
      </c>
      <c r="N946" s="4">
        <v>2520.25</v>
      </c>
    </row>
    <row r="947" spans="1:14" x14ac:dyDescent="0.25">
      <c r="A947" s="2" t="s">
        <v>743</v>
      </c>
      <c r="B947" s="2" t="s">
        <v>744</v>
      </c>
      <c r="C947" s="3">
        <v>10</v>
      </c>
      <c r="D947" s="4">
        <v>148.19999999999999</v>
      </c>
      <c r="E947" s="4">
        <v>105</v>
      </c>
      <c r="F947" s="4">
        <f t="shared" si="65"/>
        <v>43.199999999999989</v>
      </c>
      <c r="G947" s="5">
        <f t="shared" si="66"/>
        <v>0.29149797570850194</v>
      </c>
      <c r="H947" s="2" t="s">
        <v>721</v>
      </c>
      <c r="I947" s="6" t="s">
        <v>69</v>
      </c>
      <c r="J947" s="2" t="s">
        <v>722</v>
      </c>
      <c r="K947" s="2" t="s">
        <v>5</v>
      </c>
      <c r="L947" s="2" t="s">
        <v>28</v>
      </c>
      <c r="M947" s="2" t="s">
        <v>5</v>
      </c>
      <c r="N947" s="4">
        <v>1646.39</v>
      </c>
    </row>
    <row r="948" spans="1:14" x14ac:dyDescent="0.25">
      <c r="A948" s="2" t="s">
        <v>743</v>
      </c>
      <c r="B948" s="2" t="s">
        <v>744</v>
      </c>
      <c r="C948" s="3">
        <v>10</v>
      </c>
      <c r="D948" s="4">
        <v>148.19999999999999</v>
      </c>
      <c r="E948" s="4">
        <v>105</v>
      </c>
      <c r="F948" s="4">
        <f t="shared" si="65"/>
        <v>43.199999999999989</v>
      </c>
      <c r="G948" s="5">
        <f t="shared" si="66"/>
        <v>0.29149797570850194</v>
      </c>
      <c r="H948" s="2" t="s">
        <v>723</v>
      </c>
      <c r="I948" s="6" t="s">
        <v>25</v>
      </c>
      <c r="J948" s="2" t="s">
        <v>724</v>
      </c>
      <c r="K948" s="2" t="s">
        <v>5</v>
      </c>
      <c r="L948" s="2" t="s">
        <v>28</v>
      </c>
      <c r="M948" s="2" t="s">
        <v>5</v>
      </c>
      <c r="N948" s="4">
        <v>659.12</v>
      </c>
    </row>
    <row r="949" spans="1:14" x14ac:dyDescent="0.25">
      <c r="A949" s="2" t="s">
        <v>124</v>
      </c>
      <c r="B949" s="2" t="s">
        <v>125</v>
      </c>
      <c r="C949" s="3">
        <v>17.331</v>
      </c>
      <c r="D949" s="4">
        <v>518.19690000000003</v>
      </c>
      <c r="E949" s="4">
        <v>376.94925000000001</v>
      </c>
      <c r="F949" s="4">
        <f t="shared" si="65"/>
        <v>141.24765000000002</v>
      </c>
      <c r="G949" s="5">
        <f t="shared" si="66"/>
        <v>0.27257525083612044</v>
      </c>
      <c r="H949" s="2" t="s">
        <v>725</v>
      </c>
      <c r="I949" s="6" t="s">
        <v>39</v>
      </c>
      <c r="J949" s="2" t="s">
        <v>726</v>
      </c>
      <c r="K949" s="2" t="s">
        <v>5</v>
      </c>
      <c r="L949" s="2" t="s">
        <v>28</v>
      </c>
      <c r="M949" s="2" t="s">
        <v>5</v>
      </c>
      <c r="N949" s="4">
        <v>2520.25</v>
      </c>
    </row>
    <row r="950" spans="1:14" x14ac:dyDescent="0.25">
      <c r="A950" s="2" t="s">
        <v>124</v>
      </c>
      <c r="B950" s="2" t="s">
        <v>125</v>
      </c>
      <c r="C950" s="3">
        <v>4.32</v>
      </c>
      <c r="D950" s="4">
        <v>129.16800000000001</v>
      </c>
      <c r="E950" s="4">
        <v>93.96</v>
      </c>
      <c r="F950" s="4">
        <f t="shared" si="65"/>
        <v>35.208000000000013</v>
      </c>
      <c r="G950" s="5">
        <f t="shared" si="66"/>
        <v>0.2725752508361205</v>
      </c>
      <c r="H950" s="2" t="s">
        <v>729</v>
      </c>
      <c r="I950" s="6" t="s">
        <v>32</v>
      </c>
      <c r="J950" s="2" t="s">
        <v>730</v>
      </c>
      <c r="K950" s="2" t="s">
        <v>5</v>
      </c>
      <c r="L950" s="2" t="s">
        <v>28</v>
      </c>
      <c r="M950" s="2" t="s">
        <v>5</v>
      </c>
      <c r="N950" s="4">
        <v>1514.63</v>
      </c>
    </row>
    <row r="951" spans="1:14" x14ac:dyDescent="0.25">
      <c r="A951" s="2" t="s">
        <v>124</v>
      </c>
      <c r="B951" s="2" t="s">
        <v>125</v>
      </c>
      <c r="C951" s="3">
        <v>7.7</v>
      </c>
      <c r="D951" s="4">
        <v>230.23</v>
      </c>
      <c r="E951" s="4">
        <v>167.47499999999999</v>
      </c>
      <c r="F951" s="4">
        <f t="shared" si="65"/>
        <v>62.754999999999995</v>
      </c>
      <c r="G951" s="5">
        <f t="shared" si="66"/>
        <v>0.27257525083612039</v>
      </c>
      <c r="H951" s="2" t="s">
        <v>723</v>
      </c>
      <c r="I951" s="6" t="s">
        <v>25</v>
      </c>
      <c r="J951" s="2" t="s">
        <v>724</v>
      </c>
      <c r="K951" s="2" t="s">
        <v>5</v>
      </c>
      <c r="L951" s="2" t="s">
        <v>28</v>
      </c>
      <c r="M951" s="2" t="s">
        <v>5</v>
      </c>
      <c r="N951" s="4">
        <v>659.12</v>
      </c>
    </row>
    <row r="952" spans="1:14" x14ac:dyDescent="0.25">
      <c r="A952" s="2" t="s">
        <v>562</v>
      </c>
      <c r="B952" s="2" t="s">
        <v>563</v>
      </c>
      <c r="C952" s="3">
        <v>3.21</v>
      </c>
      <c r="D952" s="4">
        <v>109.0758</v>
      </c>
      <c r="E952" s="4">
        <v>70.62</v>
      </c>
      <c r="F952" s="4">
        <f t="shared" si="65"/>
        <v>38.455799999999996</v>
      </c>
      <c r="G952" s="5">
        <f t="shared" si="66"/>
        <v>0.35256032960565037</v>
      </c>
      <c r="H952" s="2" t="s">
        <v>725</v>
      </c>
      <c r="I952" s="6" t="s">
        <v>39</v>
      </c>
      <c r="J952" s="2" t="s">
        <v>726</v>
      </c>
      <c r="K952" s="2" t="s">
        <v>5</v>
      </c>
      <c r="L952" s="2" t="s">
        <v>28</v>
      </c>
      <c r="M952" s="2" t="s">
        <v>5</v>
      </c>
      <c r="N952" s="4">
        <v>2520.25</v>
      </c>
    </row>
    <row r="953" spans="1:14" x14ac:dyDescent="0.25">
      <c r="A953" s="2" t="s">
        <v>562</v>
      </c>
      <c r="B953" s="2" t="s">
        <v>563</v>
      </c>
      <c r="C953" s="3">
        <v>3.35</v>
      </c>
      <c r="D953" s="4">
        <v>113.833</v>
      </c>
      <c r="E953" s="4">
        <v>73.7</v>
      </c>
      <c r="F953" s="4">
        <f t="shared" si="65"/>
        <v>40.132999999999996</v>
      </c>
      <c r="G953" s="5">
        <f t="shared" si="66"/>
        <v>0.35256032960565037</v>
      </c>
      <c r="H953" s="2" t="s">
        <v>729</v>
      </c>
      <c r="I953" s="6" t="s">
        <v>32</v>
      </c>
      <c r="J953" s="2" t="s">
        <v>730</v>
      </c>
      <c r="K953" s="2" t="s">
        <v>5</v>
      </c>
      <c r="L953" s="2" t="s">
        <v>28</v>
      </c>
      <c r="M953" s="2" t="s">
        <v>5</v>
      </c>
      <c r="N953" s="4">
        <v>1514.63</v>
      </c>
    </row>
    <row r="955" spans="1:14" x14ac:dyDescent="0.25">
      <c r="A955" s="13" t="s">
        <v>59</v>
      </c>
      <c r="B955" s="21"/>
      <c r="C955" s="22">
        <f>SUM(C907:C954)</f>
        <v>392.899</v>
      </c>
      <c r="D955" s="23">
        <f>SUM(D907:D954)</f>
        <v>7247.2950099999971</v>
      </c>
      <c r="E955" s="23">
        <f>SUM(E907:E954)</f>
        <v>4551.3010499999991</v>
      </c>
      <c r="F955" s="23">
        <f>D955-E955</f>
        <v>2695.993959999998</v>
      </c>
      <c r="G955" s="24">
        <f>IF(((D955)=0),0,(D955-E955)/ D955)</f>
        <v>0.37200002984285846</v>
      </c>
      <c r="H955" s="21"/>
      <c r="I955" s="21"/>
      <c r="J955" s="21"/>
      <c r="K955" s="21"/>
      <c r="L955" s="21"/>
      <c r="M955" s="21"/>
      <c r="N955" s="21"/>
    </row>
    <row r="957" spans="1:14" s="17" customFormat="1" ht="18.75" x14ac:dyDescent="0.3"/>
    <row r="958" spans="1:14" s="7" customFormat="1" x14ac:dyDescent="0.25">
      <c r="A958" s="13" t="s">
        <v>745</v>
      </c>
      <c r="B958" s="18" t="s">
        <v>746</v>
      </c>
      <c r="C958" s="19"/>
      <c r="D958" s="20" t="s">
        <v>5</v>
      </c>
      <c r="E958" s="19"/>
      <c r="F958" s="19"/>
      <c r="G958" s="19"/>
      <c r="H958" s="19"/>
      <c r="I958" s="19"/>
      <c r="J958" s="19"/>
      <c r="K958" s="19"/>
      <c r="L958" s="19"/>
      <c r="M958" s="19"/>
      <c r="N958" s="19"/>
    </row>
    <row r="960" spans="1:14" x14ac:dyDescent="0.25">
      <c r="A960" s="2" t="s">
        <v>747</v>
      </c>
      <c r="B960" s="2" t="s">
        <v>748</v>
      </c>
      <c r="C960" s="3">
        <v>12</v>
      </c>
      <c r="D960" s="4">
        <v>190.08</v>
      </c>
      <c r="E960" s="4">
        <v>109.08</v>
      </c>
      <c r="F960" s="4">
        <f t="shared" ref="F960:F983" si="67">D960-E960</f>
        <v>81.000000000000014</v>
      </c>
      <c r="G960" s="5">
        <f t="shared" ref="G960:G983" si="68">IF(((D960)=0),0,(D960-E960)/ D960)</f>
        <v>0.4261363636363637</v>
      </c>
      <c r="H960" s="2" t="s">
        <v>749</v>
      </c>
      <c r="I960" s="6" t="s">
        <v>69</v>
      </c>
      <c r="J960" s="2" t="s">
        <v>750</v>
      </c>
      <c r="K960" s="2" t="s">
        <v>751</v>
      </c>
      <c r="L960" s="2" t="s">
        <v>28</v>
      </c>
      <c r="M960" s="2" t="s">
        <v>5</v>
      </c>
      <c r="N960" s="4">
        <v>42097.52</v>
      </c>
    </row>
    <row r="961" spans="1:14" x14ac:dyDescent="0.25">
      <c r="A961" s="2" t="s">
        <v>260</v>
      </c>
      <c r="B961" s="2" t="s">
        <v>261</v>
      </c>
      <c r="C961" s="3">
        <v>250</v>
      </c>
      <c r="D961" s="4">
        <v>4410</v>
      </c>
      <c r="E961" s="4">
        <v>2500</v>
      </c>
      <c r="F961" s="4">
        <f t="shared" si="67"/>
        <v>1910</v>
      </c>
      <c r="G961" s="5">
        <f t="shared" si="68"/>
        <v>0.43310657596371882</v>
      </c>
      <c r="H961" s="2" t="s">
        <v>749</v>
      </c>
      <c r="I961" s="6" t="s">
        <v>69</v>
      </c>
      <c r="J961" s="2" t="s">
        <v>750</v>
      </c>
      <c r="K961" s="2" t="s">
        <v>751</v>
      </c>
      <c r="L961" s="2" t="s">
        <v>28</v>
      </c>
      <c r="M961" s="2" t="s">
        <v>5</v>
      </c>
      <c r="N961" s="4">
        <v>42097.52</v>
      </c>
    </row>
    <row r="962" spans="1:14" x14ac:dyDescent="0.25">
      <c r="A962" s="2" t="s">
        <v>272</v>
      </c>
      <c r="B962" s="2" t="s">
        <v>273</v>
      </c>
      <c r="C962" s="3">
        <v>101.33499999999999</v>
      </c>
      <c r="D962" s="4">
        <v>1588.9328</v>
      </c>
      <c r="E962" s="4">
        <v>1236.287</v>
      </c>
      <c r="F962" s="4">
        <f t="shared" si="67"/>
        <v>352.64580000000001</v>
      </c>
      <c r="G962" s="5">
        <f t="shared" si="68"/>
        <v>0.22193877551020408</v>
      </c>
      <c r="H962" s="2" t="s">
        <v>749</v>
      </c>
      <c r="I962" s="6" t="s">
        <v>69</v>
      </c>
      <c r="J962" s="2" t="s">
        <v>750</v>
      </c>
      <c r="K962" s="2" t="s">
        <v>751</v>
      </c>
      <c r="L962" s="2" t="s">
        <v>28</v>
      </c>
      <c r="M962" s="2" t="s">
        <v>5</v>
      </c>
      <c r="N962" s="4">
        <v>42097.52</v>
      </c>
    </row>
    <row r="963" spans="1:14" x14ac:dyDescent="0.25">
      <c r="A963" s="2" t="s">
        <v>752</v>
      </c>
      <c r="B963" s="2" t="s">
        <v>753</v>
      </c>
      <c r="C963" s="3">
        <v>11.81</v>
      </c>
      <c r="D963" s="4">
        <v>189.4324</v>
      </c>
      <c r="E963" s="4">
        <v>106.17189999999999</v>
      </c>
      <c r="F963" s="4">
        <f t="shared" si="67"/>
        <v>83.260500000000008</v>
      </c>
      <c r="G963" s="5">
        <f t="shared" si="68"/>
        <v>0.43952618453865339</v>
      </c>
      <c r="H963" s="2" t="s">
        <v>749</v>
      </c>
      <c r="I963" s="6" t="s">
        <v>69</v>
      </c>
      <c r="J963" s="2" t="s">
        <v>750</v>
      </c>
      <c r="K963" s="2" t="s">
        <v>751</v>
      </c>
      <c r="L963" s="2" t="s">
        <v>28</v>
      </c>
      <c r="M963" s="2" t="s">
        <v>5</v>
      </c>
      <c r="N963" s="4">
        <v>42097.52</v>
      </c>
    </row>
    <row r="964" spans="1:14" x14ac:dyDescent="0.25">
      <c r="A964" s="2" t="s">
        <v>276</v>
      </c>
      <c r="B964" s="2" t="s">
        <v>277</v>
      </c>
      <c r="C964" s="3">
        <v>127.3</v>
      </c>
      <c r="D964" s="4">
        <v>2199.7440000000001</v>
      </c>
      <c r="E964" s="4">
        <v>636.5</v>
      </c>
      <c r="F964" s="4">
        <f t="shared" si="67"/>
        <v>1563.2440000000001</v>
      </c>
      <c r="G964" s="5">
        <f t="shared" si="68"/>
        <v>0.71064814814814814</v>
      </c>
      <c r="H964" s="2" t="s">
        <v>749</v>
      </c>
      <c r="I964" s="6" t="s">
        <v>69</v>
      </c>
      <c r="J964" s="2" t="s">
        <v>750</v>
      </c>
      <c r="K964" s="2" t="s">
        <v>751</v>
      </c>
      <c r="L964" s="2" t="s">
        <v>28</v>
      </c>
      <c r="M964" s="2" t="s">
        <v>5</v>
      </c>
      <c r="N964" s="4">
        <v>42097.52</v>
      </c>
    </row>
    <row r="965" spans="1:14" x14ac:dyDescent="0.25">
      <c r="A965" s="2" t="s">
        <v>280</v>
      </c>
      <c r="B965" s="2" t="s">
        <v>281</v>
      </c>
      <c r="C965" s="3">
        <v>260.95</v>
      </c>
      <c r="D965" s="4">
        <v>4240.4375</v>
      </c>
      <c r="E965" s="4">
        <v>1800.5550000000001</v>
      </c>
      <c r="F965" s="4">
        <f t="shared" si="67"/>
        <v>2439.8824999999997</v>
      </c>
      <c r="G965" s="5">
        <f t="shared" si="68"/>
        <v>0.57538461538461527</v>
      </c>
      <c r="H965" s="2" t="s">
        <v>749</v>
      </c>
      <c r="I965" s="6" t="s">
        <v>69</v>
      </c>
      <c r="J965" s="2" t="s">
        <v>750</v>
      </c>
      <c r="K965" s="2" t="s">
        <v>751</v>
      </c>
      <c r="L965" s="2" t="s">
        <v>28</v>
      </c>
      <c r="M965" s="2" t="s">
        <v>5</v>
      </c>
      <c r="N965" s="4">
        <v>42097.52</v>
      </c>
    </row>
    <row r="966" spans="1:14" x14ac:dyDescent="0.25">
      <c r="A966" s="2" t="s">
        <v>754</v>
      </c>
      <c r="B966" s="2" t="s">
        <v>755</v>
      </c>
      <c r="C966" s="3">
        <v>5</v>
      </c>
      <c r="D966" s="4">
        <v>116.45</v>
      </c>
      <c r="E966" s="4">
        <v>64.099999999999994</v>
      </c>
      <c r="F966" s="4">
        <f t="shared" si="67"/>
        <v>52.350000000000009</v>
      </c>
      <c r="G966" s="5">
        <f t="shared" si="68"/>
        <v>0.44954916273078582</v>
      </c>
      <c r="H966" s="2" t="s">
        <v>749</v>
      </c>
      <c r="I966" s="6" t="s">
        <v>69</v>
      </c>
      <c r="J966" s="2" t="s">
        <v>750</v>
      </c>
      <c r="K966" s="2" t="s">
        <v>751</v>
      </c>
      <c r="L966" s="2" t="s">
        <v>28</v>
      </c>
      <c r="M966" s="2" t="s">
        <v>5</v>
      </c>
      <c r="N966" s="4">
        <v>42097.52</v>
      </c>
    </row>
    <row r="967" spans="1:14" x14ac:dyDescent="0.25">
      <c r="A967" s="2" t="s">
        <v>756</v>
      </c>
      <c r="B967" s="2" t="s">
        <v>757</v>
      </c>
      <c r="C967" s="3">
        <v>206.07499999999999</v>
      </c>
      <c r="D967" s="4">
        <v>1386.8847499999999</v>
      </c>
      <c r="E967" s="4">
        <v>741.87</v>
      </c>
      <c r="F967" s="4">
        <f t="shared" si="67"/>
        <v>645.01474999999994</v>
      </c>
      <c r="G967" s="5">
        <f t="shared" si="68"/>
        <v>0.46508172362555716</v>
      </c>
      <c r="H967" s="2" t="s">
        <v>749</v>
      </c>
      <c r="I967" s="6" t="s">
        <v>69</v>
      </c>
      <c r="J967" s="2" t="s">
        <v>750</v>
      </c>
      <c r="K967" s="2" t="s">
        <v>751</v>
      </c>
      <c r="L967" s="2" t="s">
        <v>28</v>
      </c>
      <c r="M967" s="2" t="s">
        <v>5</v>
      </c>
      <c r="N967" s="4">
        <v>42097.52</v>
      </c>
    </row>
    <row r="968" spans="1:14" x14ac:dyDescent="0.25">
      <c r="A968" s="2" t="s">
        <v>758</v>
      </c>
      <c r="B968" s="2" t="s">
        <v>759</v>
      </c>
      <c r="C968" s="3">
        <v>14.404999999999999</v>
      </c>
      <c r="D968" s="4">
        <v>248.91839999999999</v>
      </c>
      <c r="E968" s="4">
        <v>72.025000000000006</v>
      </c>
      <c r="F968" s="4">
        <f t="shared" si="67"/>
        <v>176.89339999999999</v>
      </c>
      <c r="G968" s="5">
        <f t="shared" si="68"/>
        <v>0.71064814814814814</v>
      </c>
      <c r="H968" s="2" t="s">
        <v>749</v>
      </c>
      <c r="I968" s="6" t="s">
        <v>69</v>
      </c>
      <c r="J968" s="2" t="s">
        <v>750</v>
      </c>
      <c r="K968" s="2" t="s">
        <v>751</v>
      </c>
      <c r="L968" s="2" t="s">
        <v>28</v>
      </c>
      <c r="M968" s="2" t="s">
        <v>5</v>
      </c>
      <c r="N968" s="4">
        <v>42097.52</v>
      </c>
    </row>
    <row r="969" spans="1:14" x14ac:dyDescent="0.25">
      <c r="A969" s="2" t="s">
        <v>760</v>
      </c>
      <c r="B969" s="2" t="s">
        <v>761</v>
      </c>
      <c r="C969" s="3">
        <v>130.11539999999999</v>
      </c>
      <c r="D969" s="4">
        <v>875.67664200000002</v>
      </c>
      <c r="E969" s="4">
        <v>468.41543999999999</v>
      </c>
      <c r="F969" s="4">
        <f t="shared" si="67"/>
        <v>407.26120200000003</v>
      </c>
      <c r="G969" s="5">
        <f t="shared" si="68"/>
        <v>0.46508172362555722</v>
      </c>
      <c r="H969" s="2" t="s">
        <v>749</v>
      </c>
      <c r="I969" s="6" t="s">
        <v>69</v>
      </c>
      <c r="J969" s="2" t="s">
        <v>750</v>
      </c>
      <c r="K969" s="2" t="s">
        <v>751</v>
      </c>
      <c r="L969" s="2" t="s">
        <v>28</v>
      </c>
      <c r="M969" s="2" t="s">
        <v>5</v>
      </c>
      <c r="N969" s="4">
        <v>42097.52</v>
      </c>
    </row>
    <row r="970" spans="1:14" x14ac:dyDescent="0.25">
      <c r="A970" s="2" t="s">
        <v>762</v>
      </c>
      <c r="B970" s="2" t="s">
        <v>763</v>
      </c>
      <c r="C970" s="3">
        <v>185.08500000000001</v>
      </c>
      <c r="D970" s="4">
        <v>3351.8893499999999</v>
      </c>
      <c r="E970" s="4">
        <v>1665.7650000000001</v>
      </c>
      <c r="F970" s="4">
        <f t="shared" si="67"/>
        <v>1686.1243499999998</v>
      </c>
      <c r="G970" s="5">
        <f t="shared" si="68"/>
        <v>0.50303699613473218</v>
      </c>
      <c r="H970" s="2" t="s">
        <v>749</v>
      </c>
      <c r="I970" s="6" t="s">
        <v>69</v>
      </c>
      <c r="J970" s="2" t="s">
        <v>750</v>
      </c>
      <c r="K970" s="2" t="s">
        <v>751</v>
      </c>
      <c r="L970" s="2" t="s">
        <v>28</v>
      </c>
      <c r="M970" s="2" t="s">
        <v>5</v>
      </c>
      <c r="N970" s="4">
        <v>42097.52</v>
      </c>
    </row>
    <row r="971" spans="1:14" x14ac:dyDescent="0.25">
      <c r="A971" s="2" t="s">
        <v>286</v>
      </c>
      <c r="B971" s="2" t="s">
        <v>287</v>
      </c>
      <c r="C971" s="3">
        <v>77.91</v>
      </c>
      <c r="D971" s="4">
        <v>1100.8683000000001</v>
      </c>
      <c r="E971" s="4">
        <v>645.87390000000005</v>
      </c>
      <c r="F971" s="4">
        <f t="shared" si="67"/>
        <v>454.99440000000004</v>
      </c>
      <c r="G971" s="5">
        <f t="shared" si="68"/>
        <v>0.41330502476999292</v>
      </c>
      <c r="H971" s="2" t="s">
        <v>749</v>
      </c>
      <c r="I971" s="6" t="s">
        <v>69</v>
      </c>
      <c r="J971" s="2" t="s">
        <v>750</v>
      </c>
      <c r="K971" s="2" t="s">
        <v>751</v>
      </c>
      <c r="L971" s="2" t="s">
        <v>28</v>
      </c>
      <c r="M971" s="2" t="s">
        <v>5</v>
      </c>
      <c r="N971" s="4">
        <v>42097.52</v>
      </c>
    </row>
    <row r="972" spans="1:14" x14ac:dyDescent="0.25">
      <c r="A972" s="2" t="s">
        <v>290</v>
      </c>
      <c r="B972" s="2" t="s">
        <v>291</v>
      </c>
      <c r="C972" s="3">
        <v>48</v>
      </c>
      <c r="D972" s="4">
        <v>1110.24</v>
      </c>
      <c r="E972" s="4">
        <v>780</v>
      </c>
      <c r="F972" s="4">
        <f t="shared" si="67"/>
        <v>330.24</v>
      </c>
      <c r="G972" s="5">
        <f t="shared" si="68"/>
        <v>0.29744920017293558</v>
      </c>
      <c r="H972" s="2" t="s">
        <v>749</v>
      </c>
      <c r="I972" s="6" t="s">
        <v>69</v>
      </c>
      <c r="J972" s="2" t="s">
        <v>750</v>
      </c>
      <c r="K972" s="2" t="s">
        <v>751</v>
      </c>
      <c r="L972" s="2" t="s">
        <v>28</v>
      </c>
      <c r="M972" s="2" t="s">
        <v>5</v>
      </c>
      <c r="N972" s="4">
        <v>42097.52</v>
      </c>
    </row>
    <row r="973" spans="1:14" x14ac:dyDescent="0.25">
      <c r="A973" s="2" t="s">
        <v>764</v>
      </c>
      <c r="B973" s="2" t="s">
        <v>765</v>
      </c>
      <c r="C973" s="3">
        <v>12</v>
      </c>
      <c r="D973" s="4">
        <v>143.88</v>
      </c>
      <c r="E973" s="4">
        <v>94.8</v>
      </c>
      <c r="F973" s="4">
        <f t="shared" si="67"/>
        <v>49.08</v>
      </c>
      <c r="G973" s="5">
        <f t="shared" si="68"/>
        <v>0.34111759799833197</v>
      </c>
      <c r="H973" s="2" t="s">
        <v>749</v>
      </c>
      <c r="I973" s="6" t="s">
        <v>69</v>
      </c>
      <c r="J973" s="2" t="s">
        <v>750</v>
      </c>
      <c r="K973" s="2" t="s">
        <v>751</v>
      </c>
      <c r="L973" s="2" t="s">
        <v>28</v>
      </c>
      <c r="M973" s="2" t="s">
        <v>5</v>
      </c>
      <c r="N973" s="4">
        <v>42097.52</v>
      </c>
    </row>
    <row r="974" spans="1:14" x14ac:dyDescent="0.25">
      <c r="A974" s="2" t="s">
        <v>766</v>
      </c>
      <c r="B974" s="2" t="s">
        <v>767</v>
      </c>
      <c r="C974" s="3">
        <v>32</v>
      </c>
      <c r="D974" s="4">
        <v>488.64</v>
      </c>
      <c r="E974" s="4">
        <v>304</v>
      </c>
      <c r="F974" s="4">
        <f t="shared" si="67"/>
        <v>184.64</v>
      </c>
      <c r="G974" s="5">
        <f t="shared" si="68"/>
        <v>0.37786509495743287</v>
      </c>
      <c r="H974" s="2" t="s">
        <v>749</v>
      </c>
      <c r="I974" s="6" t="s">
        <v>69</v>
      </c>
      <c r="J974" s="2" t="s">
        <v>750</v>
      </c>
      <c r="K974" s="2" t="s">
        <v>751</v>
      </c>
      <c r="L974" s="2" t="s">
        <v>28</v>
      </c>
      <c r="M974" s="2" t="s">
        <v>5</v>
      </c>
      <c r="N974" s="4">
        <v>42097.52</v>
      </c>
    </row>
    <row r="975" spans="1:14" x14ac:dyDescent="0.25">
      <c r="A975" s="2" t="s">
        <v>768</v>
      </c>
      <c r="B975" s="2" t="s">
        <v>769</v>
      </c>
      <c r="C975" s="3">
        <v>418.29</v>
      </c>
      <c r="D975" s="4">
        <v>7382.8185000000003</v>
      </c>
      <c r="E975" s="4">
        <v>4601.1899999999996</v>
      </c>
      <c r="F975" s="4">
        <f t="shared" si="67"/>
        <v>2781.6285000000007</v>
      </c>
      <c r="G975" s="5">
        <f t="shared" si="68"/>
        <v>0.37677053824362616</v>
      </c>
      <c r="H975" s="2" t="s">
        <v>749</v>
      </c>
      <c r="I975" s="6" t="s">
        <v>69</v>
      </c>
      <c r="J975" s="2" t="s">
        <v>750</v>
      </c>
      <c r="K975" s="2" t="s">
        <v>751</v>
      </c>
      <c r="L975" s="2" t="s">
        <v>28</v>
      </c>
      <c r="M975" s="2" t="s">
        <v>5</v>
      </c>
      <c r="N975" s="4">
        <v>42097.52</v>
      </c>
    </row>
    <row r="976" spans="1:14" x14ac:dyDescent="0.25">
      <c r="A976" s="2" t="s">
        <v>770</v>
      </c>
      <c r="B976" s="2" t="s">
        <v>771</v>
      </c>
      <c r="C976" s="3">
        <v>160</v>
      </c>
      <c r="D976" s="4">
        <v>2360</v>
      </c>
      <c r="E976" s="4">
        <v>1400</v>
      </c>
      <c r="F976" s="4">
        <f t="shared" si="67"/>
        <v>960</v>
      </c>
      <c r="G976" s="5">
        <f t="shared" si="68"/>
        <v>0.40677966101694918</v>
      </c>
      <c r="H976" s="2" t="s">
        <v>749</v>
      </c>
      <c r="I976" s="6" t="s">
        <v>69</v>
      </c>
      <c r="J976" s="2" t="s">
        <v>750</v>
      </c>
      <c r="K976" s="2" t="s">
        <v>751</v>
      </c>
      <c r="L976" s="2" t="s">
        <v>28</v>
      </c>
      <c r="M976" s="2" t="s">
        <v>5</v>
      </c>
      <c r="N976" s="4">
        <v>42097.52</v>
      </c>
    </row>
    <row r="977" spans="1:14" x14ac:dyDescent="0.25">
      <c r="A977" s="2" t="s">
        <v>294</v>
      </c>
      <c r="B977" s="2" t="s">
        <v>295</v>
      </c>
      <c r="C977" s="3">
        <v>40.814999999999998</v>
      </c>
      <c r="D977" s="4">
        <v>663.24374999999998</v>
      </c>
      <c r="E977" s="4">
        <v>330.60149999999999</v>
      </c>
      <c r="F977" s="4">
        <f t="shared" si="67"/>
        <v>332.64224999999999</v>
      </c>
      <c r="G977" s="5">
        <f t="shared" si="68"/>
        <v>0.50153846153846149</v>
      </c>
      <c r="H977" s="2" t="s">
        <v>749</v>
      </c>
      <c r="I977" s="6" t="s">
        <v>69</v>
      </c>
      <c r="J977" s="2" t="s">
        <v>750</v>
      </c>
      <c r="K977" s="2" t="s">
        <v>751</v>
      </c>
      <c r="L977" s="2" t="s">
        <v>28</v>
      </c>
      <c r="M977" s="2" t="s">
        <v>5</v>
      </c>
      <c r="N977" s="4">
        <v>42097.52</v>
      </c>
    </row>
    <row r="978" spans="1:14" x14ac:dyDescent="0.25">
      <c r="A978" s="2" t="s">
        <v>296</v>
      </c>
      <c r="B978" s="2" t="s">
        <v>297</v>
      </c>
      <c r="C978" s="3">
        <v>195.84</v>
      </c>
      <c r="D978" s="4">
        <v>2269.7856000000002</v>
      </c>
      <c r="E978" s="4">
        <v>1429.6320000000001</v>
      </c>
      <c r="F978" s="4">
        <f t="shared" si="67"/>
        <v>840.1536000000001</v>
      </c>
      <c r="G978" s="5">
        <f t="shared" si="68"/>
        <v>0.37014667817083696</v>
      </c>
      <c r="H978" s="2" t="s">
        <v>749</v>
      </c>
      <c r="I978" s="6" t="s">
        <v>69</v>
      </c>
      <c r="J978" s="2" t="s">
        <v>750</v>
      </c>
      <c r="K978" s="2" t="s">
        <v>751</v>
      </c>
      <c r="L978" s="2" t="s">
        <v>28</v>
      </c>
      <c r="M978" s="2" t="s">
        <v>5</v>
      </c>
      <c r="N978" s="4">
        <v>42097.52</v>
      </c>
    </row>
    <row r="979" spans="1:14" x14ac:dyDescent="0.25">
      <c r="A979" s="2" t="s">
        <v>298</v>
      </c>
      <c r="B979" s="2" t="s">
        <v>299</v>
      </c>
      <c r="C979" s="3">
        <v>32.08</v>
      </c>
      <c r="D979" s="4">
        <v>391.6968</v>
      </c>
      <c r="E979" s="4">
        <v>234.184</v>
      </c>
      <c r="F979" s="4">
        <f t="shared" si="67"/>
        <v>157.5128</v>
      </c>
      <c r="G979" s="5">
        <f t="shared" si="68"/>
        <v>0.40212940212940212</v>
      </c>
      <c r="H979" s="2" t="s">
        <v>749</v>
      </c>
      <c r="I979" s="6" t="s">
        <v>69</v>
      </c>
      <c r="J979" s="2" t="s">
        <v>750</v>
      </c>
      <c r="K979" s="2" t="s">
        <v>751</v>
      </c>
      <c r="L979" s="2" t="s">
        <v>28</v>
      </c>
      <c r="M979" s="2" t="s">
        <v>5</v>
      </c>
      <c r="N979" s="4">
        <v>42097.52</v>
      </c>
    </row>
    <row r="980" spans="1:14" x14ac:dyDescent="0.25">
      <c r="A980" s="2" t="s">
        <v>302</v>
      </c>
      <c r="B980" s="2" t="s">
        <v>303</v>
      </c>
      <c r="C980" s="3">
        <v>266.08999999999997</v>
      </c>
      <c r="D980" s="4">
        <v>5412.2705999999998</v>
      </c>
      <c r="E980" s="4">
        <v>3326.125</v>
      </c>
      <c r="F980" s="4">
        <f t="shared" si="67"/>
        <v>2086.1455999999998</v>
      </c>
      <c r="G980" s="5">
        <f t="shared" si="68"/>
        <v>0.3854473942969518</v>
      </c>
      <c r="H980" s="2" t="s">
        <v>749</v>
      </c>
      <c r="I980" s="6" t="s">
        <v>69</v>
      </c>
      <c r="J980" s="2" t="s">
        <v>750</v>
      </c>
      <c r="K980" s="2" t="s">
        <v>751</v>
      </c>
      <c r="L980" s="2" t="s">
        <v>28</v>
      </c>
      <c r="M980" s="2" t="s">
        <v>5</v>
      </c>
      <c r="N980" s="4">
        <v>42097.52</v>
      </c>
    </row>
    <row r="981" spans="1:14" x14ac:dyDescent="0.25">
      <c r="A981" s="2" t="s">
        <v>772</v>
      </c>
      <c r="B981" s="2" t="s">
        <v>773</v>
      </c>
      <c r="C981" s="3">
        <v>25</v>
      </c>
      <c r="D981" s="4">
        <v>372.5</v>
      </c>
      <c r="E981" s="4">
        <v>212.5</v>
      </c>
      <c r="F981" s="4">
        <f t="shared" si="67"/>
        <v>160</v>
      </c>
      <c r="G981" s="5">
        <f t="shared" si="68"/>
        <v>0.42953020134228187</v>
      </c>
      <c r="H981" s="2" t="s">
        <v>749</v>
      </c>
      <c r="I981" s="6" t="s">
        <v>69</v>
      </c>
      <c r="J981" s="2" t="s">
        <v>750</v>
      </c>
      <c r="K981" s="2" t="s">
        <v>751</v>
      </c>
      <c r="L981" s="2" t="s">
        <v>28</v>
      </c>
      <c r="M981" s="2" t="s">
        <v>5</v>
      </c>
      <c r="N981" s="4">
        <v>42097.52</v>
      </c>
    </row>
    <row r="982" spans="1:14" x14ac:dyDescent="0.25">
      <c r="A982" s="2" t="s">
        <v>304</v>
      </c>
      <c r="B982" s="2" t="s">
        <v>305</v>
      </c>
      <c r="C982" s="3">
        <v>53.91</v>
      </c>
      <c r="D982" s="4">
        <v>624.81690000000003</v>
      </c>
      <c r="E982" s="4">
        <v>431.28</v>
      </c>
      <c r="F982" s="4">
        <f t="shared" si="67"/>
        <v>193.53690000000006</v>
      </c>
      <c r="G982" s="5">
        <f t="shared" si="68"/>
        <v>0.30974978429680766</v>
      </c>
      <c r="H982" s="2" t="s">
        <v>749</v>
      </c>
      <c r="I982" s="6" t="s">
        <v>69</v>
      </c>
      <c r="J982" s="2" t="s">
        <v>750</v>
      </c>
      <c r="K982" s="2" t="s">
        <v>751</v>
      </c>
      <c r="L982" s="2" t="s">
        <v>28</v>
      </c>
      <c r="M982" s="2" t="s">
        <v>5</v>
      </c>
      <c r="N982" s="4">
        <v>42097.52</v>
      </c>
    </row>
    <row r="983" spans="1:14" x14ac:dyDescent="0.25">
      <c r="A983" s="2" t="s">
        <v>306</v>
      </c>
      <c r="B983" s="2" t="s">
        <v>307</v>
      </c>
      <c r="C983" s="3">
        <v>84.41</v>
      </c>
      <c r="D983" s="4">
        <v>978.31190000000004</v>
      </c>
      <c r="E983" s="4">
        <v>801.89499999999998</v>
      </c>
      <c r="F983" s="4">
        <f t="shared" si="67"/>
        <v>176.41690000000006</v>
      </c>
      <c r="G983" s="5">
        <f t="shared" si="68"/>
        <v>0.18032786885245908</v>
      </c>
      <c r="H983" s="2" t="s">
        <v>749</v>
      </c>
      <c r="I983" s="6" t="s">
        <v>69</v>
      </c>
      <c r="J983" s="2" t="s">
        <v>750</v>
      </c>
      <c r="K983" s="2" t="s">
        <v>751</v>
      </c>
      <c r="L983" s="2" t="s">
        <v>28</v>
      </c>
      <c r="M983" s="2" t="s">
        <v>5</v>
      </c>
      <c r="N983" s="4">
        <v>42097.52</v>
      </c>
    </row>
    <row r="985" spans="1:14" x14ac:dyDescent="0.25">
      <c r="A985" s="13" t="s">
        <v>59</v>
      </c>
      <c r="B985" s="21"/>
      <c r="C985" s="22">
        <f>SUM(C957:C984)</f>
        <v>2750.4204</v>
      </c>
      <c r="D985" s="23">
        <f>SUM(D957:D984)</f>
        <v>42097.51819200001</v>
      </c>
      <c r="E985" s="23">
        <f>SUM(E957:E984)</f>
        <v>23992.850740000002</v>
      </c>
      <c r="F985" s="23">
        <f>D985-E985</f>
        <v>18104.667452000009</v>
      </c>
      <c r="G985" s="24">
        <f>IF(((D985)=0),0,(D985-E985)/ D985)</f>
        <v>0.43006495939802275</v>
      </c>
      <c r="H985" s="21"/>
      <c r="I985" s="21"/>
      <c r="J985" s="21"/>
      <c r="K985" s="21"/>
      <c r="L985" s="21"/>
      <c r="M985" s="21"/>
      <c r="N985" s="21"/>
    </row>
    <row r="987" spans="1:14" s="17" customFormat="1" ht="18.75" x14ac:dyDescent="0.3"/>
    <row r="988" spans="1:14" s="7" customFormat="1" x14ac:dyDescent="0.25">
      <c r="A988" s="13" t="s">
        <v>774</v>
      </c>
      <c r="B988" s="18" t="s">
        <v>775</v>
      </c>
      <c r="C988" s="19"/>
      <c r="D988" s="20" t="s">
        <v>5</v>
      </c>
      <c r="E988" s="19"/>
      <c r="F988" s="19"/>
      <c r="G988" s="19"/>
      <c r="H988" s="19"/>
      <c r="I988" s="19"/>
      <c r="J988" s="19"/>
      <c r="K988" s="19"/>
      <c r="L988" s="19"/>
      <c r="M988" s="19"/>
      <c r="N988" s="19"/>
    </row>
    <row r="990" spans="1:14" x14ac:dyDescent="0.25">
      <c r="A990" s="2" t="s">
        <v>29</v>
      </c>
      <c r="B990" s="2" t="s">
        <v>30</v>
      </c>
      <c r="C990" s="3">
        <v>4.07</v>
      </c>
      <c r="D990" s="4">
        <v>62.352400000000003</v>
      </c>
      <c r="E990" s="4">
        <v>40.700000000000003</v>
      </c>
      <c r="F990" s="4">
        <f>D990-E990</f>
        <v>21.6524</v>
      </c>
      <c r="G990" s="5">
        <f>IF(((D990)=0),0,(D990-E990)/ D990)</f>
        <v>0.34725848563968664</v>
      </c>
      <c r="H990" s="2" t="s">
        <v>776</v>
      </c>
      <c r="I990" s="6" t="s">
        <v>32</v>
      </c>
      <c r="J990" s="2" t="s">
        <v>777</v>
      </c>
      <c r="K990" s="2" t="s">
        <v>778</v>
      </c>
      <c r="L990" s="2" t="s">
        <v>28</v>
      </c>
      <c r="M990" s="2" t="s">
        <v>5</v>
      </c>
      <c r="N990" s="4">
        <v>288.13</v>
      </c>
    </row>
    <row r="991" spans="1:14" x14ac:dyDescent="0.25">
      <c r="A991" s="2" t="s">
        <v>203</v>
      </c>
      <c r="B991" s="2" t="s">
        <v>204</v>
      </c>
      <c r="C991" s="3">
        <v>13.75</v>
      </c>
      <c r="D991" s="4">
        <v>225.77500000000001</v>
      </c>
      <c r="E991" s="4">
        <v>68.75</v>
      </c>
      <c r="F991" s="4">
        <f>D991-E991</f>
        <v>157.02500000000001</v>
      </c>
      <c r="G991" s="5">
        <f>IF(((D991)=0),0,(D991-E991)/ D991)</f>
        <v>0.69549330085261873</v>
      </c>
      <c r="H991" s="2" t="s">
        <v>776</v>
      </c>
      <c r="I991" s="6" t="s">
        <v>32</v>
      </c>
      <c r="J991" s="2" t="s">
        <v>777</v>
      </c>
      <c r="K991" s="2" t="s">
        <v>778</v>
      </c>
      <c r="L991" s="2" t="s">
        <v>28</v>
      </c>
      <c r="M991" s="2" t="s">
        <v>5</v>
      </c>
      <c r="N991" s="4">
        <v>288.13</v>
      </c>
    </row>
    <row r="992" spans="1:14" x14ac:dyDescent="0.25">
      <c r="A992" s="2" t="s">
        <v>118</v>
      </c>
      <c r="B992" s="2" t="s">
        <v>119</v>
      </c>
      <c r="C992" s="3">
        <v>5.61</v>
      </c>
      <c r="D992" s="4">
        <v>91.779600000000002</v>
      </c>
      <c r="E992" s="4">
        <v>42.075000000000003</v>
      </c>
      <c r="F992" s="4">
        <f>D992-E992</f>
        <v>49.704599999999999</v>
      </c>
      <c r="G992" s="5">
        <f>IF(((D992)=0),0,(D992-E992)/ D992)</f>
        <v>0.54156479217603914</v>
      </c>
      <c r="H992" s="2" t="s">
        <v>779</v>
      </c>
      <c r="I992" s="6" t="s">
        <v>39</v>
      </c>
      <c r="J992" s="2" t="s">
        <v>780</v>
      </c>
      <c r="K992" s="2" t="s">
        <v>781</v>
      </c>
      <c r="L992" s="2" t="s">
        <v>28</v>
      </c>
      <c r="M992" s="2" t="s">
        <v>5</v>
      </c>
      <c r="N992" s="4">
        <v>317.16000000000003</v>
      </c>
    </row>
    <row r="993" spans="1:14" x14ac:dyDescent="0.25">
      <c r="A993" s="2" t="s">
        <v>340</v>
      </c>
      <c r="B993" s="2" t="s">
        <v>341</v>
      </c>
      <c r="C993" s="3">
        <v>4.78</v>
      </c>
      <c r="D993" s="4">
        <v>225.37700000000001</v>
      </c>
      <c r="E993" s="4">
        <v>83.65</v>
      </c>
      <c r="F993" s="4">
        <f>D993-E993</f>
        <v>141.727</v>
      </c>
      <c r="G993" s="5">
        <f>IF(((D993)=0),0,(D993-E993)/ D993)</f>
        <v>0.62884411452810174</v>
      </c>
      <c r="H993" s="2" t="s">
        <v>779</v>
      </c>
      <c r="I993" s="6" t="s">
        <v>39</v>
      </c>
      <c r="J993" s="2" t="s">
        <v>780</v>
      </c>
      <c r="K993" s="2" t="s">
        <v>781</v>
      </c>
      <c r="L993" s="2" t="s">
        <v>28</v>
      </c>
      <c r="M993" s="2" t="s">
        <v>5</v>
      </c>
      <c r="N993" s="4">
        <v>317.16000000000003</v>
      </c>
    </row>
    <row r="995" spans="1:14" x14ac:dyDescent="0.25">
      <c r="A995" s="13" t="s">
        <v>59</v>
      </c>
      <c r="B995" s="21"/>
      <c r="C995" s="22">
        <f>SUM(C987:C994)</f>
        <v>28.21</v>
      </c>
      <c r="D995" s="23">
        <f>SUM(D987:D994)</f>
        <v>605.28400000000011</v>
      </c>
      <c r="E995" s="23">
        <f>SUM(E987:E994)</f>
        <v>235.17500000000001</v>
      </c>
      <c r="F995" s="23">
        <f>D995-E995</f>
        <v>370.10900000000009</v>
      </c>
      <c r="G995" s="24">
        <f>IF(((D995)=0),0,(D995-E995)/ D995)</f>
        <v>0.61146337917407367</v>
      </c>
      <c r="H995" s="21"/>
      <c r="I995" s="21"/>
      <c r="J995" s="21"/>
      <c r="K995" s="21"/>
      <c r="L995" s="21"/>
      <c r="M995" s="21"/>
      <c r="N995" s="21"/>
    </row>
    <row r="997" spans="1:14" s="17" customFormat="1" ht="18.75" x14ac:dyDescent="0.3"/>
    <row r="998" spans="1:14" s="7" customFormat="1" x14ac:dyDescent="0.25">
      <c r="A998" s="13" t="s">
        <v>782</v>
      </c>
      <c r="B998" s="18" t="s">
        <v>783</v>
      </c>
      <c r="C998" s="19"/>
      <c r="D998" s="20" t="s">
        <v>5</v>
      </c>
      <c r="E998" s="19"/>
      <c r="F998" s="19"/>
      <c r="G998" s="19"/>
      <c r="H998" s="19"/>
      <c r="I998" s="19"/>
      <c r="J998" s="19"/>
      <c r="K998" s="19"/>
      <c r="L998" s="19"/>
      <c r="M998" s="19"/>
      <c r="N998" s="19"/>
    </row>
    <row r="1000" spans="1:14" x14ac:dyDescent="0.25">
      <c r="A1000" s="2" t="s">
        <v>29</v>
      </c>
      <c r="B1000" s="2" t="s">
        <v>30</v>
      </c>
      <c r="C1000" s="3">
        <v>3.02</v>
      </c>
      <c r="D1000" s="4">
        <v>46.266399999999997</v>
      </c>
      <c r="E1000" s="4">
        <v>30.2</v>
      </c>
      <c r="F1000" s="4">
        <f>D1000-E1000</f>
        <v>16.066399999999998</v>
      </c>
      <c r="G1000" s="5">
        <f>IF(((D1000)=0),0,(D1000-E1000)/ D1000)</f>
        <v>0.34725848563968664</v>
      </c>
      <c r="H1000" s="2" t="s">
        <v>784</v>
      </c>
      <c r="I1000" s="6" t="s">
        <v>25</v>
      </c>
      <c r="J1000" s="2" t="s">
        <v>785</v>
      </c>
      <c r="K1000" s="2" t="s">
        <v>5</v>
      </c>
      <c r="L1000" s="2" t="s">
        <v>332</v>
      </c>
      <c r="M1000" s="2" t="s">
        <v>5</v>
      </c>
      <c r="N1000" s="4">
        <v>-3.26</v>
      </c>
    </row>
    <row r="1001" spans="1:14" x14ac:dyDescent="0.25">
      <c r="A1001" s="2" t="s">
        <v>786</v>
      </c>
      <c r="B1001" s="2" t="s">
        <v>787</v>
      </c>
      <c r="C1001" s="3">
        <v>13.67</v>
      </c>
      <c r="D1001" s="4">
        <v>277.6377</v>
      </c>
      <c r="E1001" s="4">
        <v>170.875</v>
      </c>
      <c r="F1001" s="4">
        <f>D1001-E1001</f>
        <v>106.7627</v>
      </c>
      <c r="G1001" s="5">
        <f>IF(((D1001)=0),0,(D1001-E1001)/ D1001)</f>
        <v>0.3845396356474643</v>
      </c>
      <c r="H1001" s="2" t="s">
        <v>788</v>
      </c>
      <c r="I1001" s="6" t="s">
        <v>32</v>
      </c>
      <c r="J1001" s="2" t="s">
        <v>789</v>
      </c>
      <c r="K1001" s="2" t="s">
        <v>5</v>
      </c>
      <c r="L1001" s="2" t="s">
        <v>28</v>
      </c>
      <c r="M1001" s="2" t="s">
        <v>5</v>
      </c>
      <c r="N1001" s="4">
        <v>330.28</v>
      </c>
    </row>
    <row r="1002" spans="1:14" x14ac:dyDescent="0.25">
      <c r="A1002" s="2" t="s">
        <v>790</v>
      </c>
      <c r="B1002" s="2" t="s">
        <v>791</v>
      </c>
      <c r="C1002" s="3">
        <v>-3.016</v>
      </c>
      <c r="D1002" s="4">
        <v>-49.52272</v>
      </c>
      <c r="E1002" s="4">
        <v>-37.700000000000003</v>
      </c>
      <c r="F1002" s="4">
        <f>D1002-E1002</f>
        <v>-11.822719999999997</v>
      </c>
      <c r="G1002" s="5">
        <f>IF(((D1002)=0),0,(D1002-E1002)/ D1002)</f>
        <v>0.23873325213154684</v>
      </c>
      <c r="H1002" s="2" t="s">
        <v>784</v>
      </c>
      <c r="I1002" s="6" t="s">
        <v>25</v>
      </c>
      <c r="J1002" s="2" t="s">
        <v>785</v>
      </c>
      <c r="K1002" s="2" t="s">
        <v>5</v>
      </c>
      <c r="L1002" s="2" t="s">
        <v>332</v>
      </c>
      <c r="M1002" s="2" t="s">
        <v>5</v>
      </c>
      <c r="N1002" s="4">
        <v>-3.26</v>
      </c>
    </row>
    <row r="1003" spans="1:14" x14ac:dyDescent="0.25">
      <c r="A1003" s="2" t="s">
        <v>790</v>
      </c>
      <c r="B1003" s="2" t="s">
        <v>791</v>
      </c>
      <c r="C1003" s="3">
        <v>3.206</v>
      </c>
      <c r="D1003" s="4">
        <v>52.642519999999998</v>
      </c>
      <c r="E1003" s="4">
        <v>40.075000000000003</v>
      </c>
      <c r="F1003" s="4">
        <f>D1003-E1003</f>
        <v>12.567519999999995</v>
      </c>
      <c r="G1003" s="5">
        <f>IF(((D1003)=0),0,(D1003-E1003)/ D1003)</f>
        <v>0.23873325213154681</v>
      </c>
      <c r="H1003" s="2" t="s">
        <v>788</v>
      </c>
      <c r="I1003" s="6" t="s">
        <v>32</v>
      </c>
      <c r="J1003" s="2" t="s">
        <v>789</v>
      </c>
      <c r="K1003" s="2" t="s">
        <v>5</v>
      </c>
      <c r="L1003" s="2" t="s">
        <v>28</v>
      </c>
      <c r="M1003" s="2" t="s">
        <v>5</v>
      </c>
      <c r="N1003" s="4">
        <v>330.28</v>
      </c>
    </row>
    <row r="1005" spans="1:14" x14ac:dyDescent="0.25">
      <c r="A1005" s="13" t="s">
        <v>59</v>
      </c>
      <c r="B1005" s="21"/>
      <c r="C1005" s="22">
        <f>SUM(C997:C1004)</f>
        <v>16.880000000000003</v>
      </c>
      <c r="D1005" s="23">
        <f>SUM(D997:D1004)</f>
        <v>327.02389999999997</v>
      </c>
      <c r="E1005" s="23">
        <f>SUM(E997:E1004)</f>
        <v>203.45</v>
      </c>
      <c r="F1005" s="23">
        <f>D1005-E1005</f>
        <v>123.57389999999998</v>
      </c>
      <c r="G1005" s="24">
        <f>IF(((D1005)=0),0,(D1005-E1005)/ D1005)</f>
        <v>0.37787421653279774</v>
      </c>
      <c r="H1005" s="21"/>
      <c r="I1005" s="21"/>
      <c r="J1005" s="21"/>
      <c r="K1005" s="21"/>
      <c r="L1005" s="21"/>
      <c r="M1005" s="21"/>
      <c r="N1005" s="21"/>
    </row>
    <row r="1007" spans="1:14" s="17" customFormat="1" ht="18.75" x14ac:dyDescent="0.3"/>
    <row r="1008" spans="1:14" s="7" customFormat="1" x14ac:dyDescent="0.25">
      <c r="A1008" s="13" t="s">
        <v>792</v>
      </c>
      <c r="B1008" s="18" t="s">
        <v>793</v>
      </c>
      <c r="C1008" s="19"/>
      <c r="D1008" s="20" t="s">
        <v>5</v>
      </c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</row>
    <row r="1010" spans="1:14" x14ac:dyDescent="0.25">
      <c r="A1010" s="2" t="s">
        <v>29</v>
      </c>
      <c r="B1010" s="2" t="s">
        <v>30</v>
      </c>
      <c r="C1010" s="3">
        <v>2.0219999999999998</v>
      </c>
      <c r="D1010" s="4">
        <v>30.977039999999999</v>
      </c>
      <c r="E1010" s="4">
        <v>20.22</v>
      </c>
      <c r="F1010" s="4">
        <f>D1010-E1010</f>
        <v>10.75704</v>
      </c>
      <c r="G1010" s="5">
        <f>IF(((D1010)=0),0,(D1010-E1010)/ D1010)</f>
        <v>0.3472584856396867</v>
      </c>
      <c r="H1010" s="2" t="s">
        <v>794</v>
      </c>
      <c r="I1010" s="6" t="s">
        <v>25</v>
      </c>
      <c r="J1010" s="2" t="s">
        <v>795</v>
      </c>
      <c r="K1010" s="2" t="s">
        <v>796</v>
      </c>
      <c r="L1010" s="2" t="s">
        <v>28</v>
      </c>
      <c r="M1010" s="2" t="s">
        <v>5</v>
      </c>
      <c r="N1010" s="4">
        <v>166.19</v>
      </c>
    </row>
    <row r="1011" spans="1:14" x14ac:dyDescent="0.25">
      <c r="A1011" s="2" t="s">
        <v>680</v>
      </c>
      <c r="B1011" s="2" t="s">
        <v>681</v>
      </c>
      <c r="C1011" s="3">
        <v>10.9</v>
      </c>
      <c r="D1011" s="4">
        <v>76.626999999999995</v>
      </c>
      <c r="E1011" s="4">
        <v>29.43</v>
      </c>
      <c r="F1011" s="4">
        <f>D1011-E1011</f>
        <v>47.196999999999996</v>
      </c>
      <c r="G1011" s="5">
        <f>IF(((D1011)=0),0,(D1011-E1011)/ D1011)</f>
        <v>0.61593172119487904</v>
      </c>
      <c r="H1011" s="2" t="s">
        <v>794</v>
      </c>
      <c r="I1011" s="6" t="s">
        <v>25</v>
      </c>
      <c r="J1011" s="2" t="s">
        <v>795</v>
      </c>
      <c r="K1011" s="2" t="s">
        <v>796</v>
      </c>
      <c r="L1011" s="2" t="s">
        <v>28</v>
      </c>
      <c r="M1011" s="2" t="s">
        <v>5</v>
      </c>
      <c r="N1011" s="4">
        <v>166.19</v>
      </c>
    </row>
    <row r="1012" spans="1:14" x14ac:dyDescent="0.25">
      <c r="A1012" s="2" t="s">
        <v>797</v>
      </c>
      <c r="B1012" s="2" t="s">
        <v>798</v>
      </c>
      <c r="C1012" s="3">
        <v>6.1349999999999998</v>
      </c>
      <c r="D1012" s="4">
        <v>58.58925</v>
      </c>
      <c r="E1012" s="4">
        <v>33.7425</v>
      </c>
      <c r="F1012" s="4">
        <f>D1012-E1012</f>
        <v>24.84675</v>
      </c>
      <c r="G1012" s="5">
        <f>IF(((D1012)=0),0,(D1012-E1012)/ D1012)</f>
        <v>0.42408376963350786</v>
      </c>
      <c r="H1012" s="2" t="s">
        <v>794</v>
      </c>
      <c r="I1012" s="6" t="s">
        <v>25</v>
      </c>
      <c r="J1012" s="2" t="s">
        <v>795</v>
      </c>
      <c r="K1012" s="2" t="s">
        <v>796</v>
      </c>
      <c r="L1012" s="2" t="s">
        <v>28</v>
      </c>
      <c r="M1012" s="2" t="s">
        <v>5</v>
      </c>
      <c r="N1012" s="4">
        <v>166.19</v>
      </c>
    </row>
    <row r="1014" spans="1:14" x14ac:dyDescent="0.25">
      <c r="A1014" s="13" t="s">
        <v>59</v>
      </c>
      <c r="B1014" s="21"/>
      <c r="C1014" s="22">
        <f>SUM(C1007:C1013)</f>
        <v>19.057000000000002</v>
      </c>
      <c r="D1014" s="23">
        <f>SUM(D1007:D1013)</f>
        <v>166.19328999999999</v>
      </c>
      <c r="E1014" s="23">
        <f>SUM(E1007:E1013)</f>
        <v>83.392499999999998</v>
      </c>
      <c r="F1014" s="23">
        <f>D1014-E1014</f>
        <v>82.800789999999992</v>
      </c>
      <c r="G1014" s="24">
        <f>IF(((D1014)=0),0,(D1014-E1014)/ D1014)</f>
        <v>0.49821981380836733</v>
      </c>
      <c r="H1014" s="21"/>
      <c r="I1014" s="21"/>
      <c r="J1014" s="21"/>
      <c r="K1014" s="21"/>
      <c r="L1014" s="21"/>
      <c r="M1014" s="21"/>
      <c r="N1014" s="21"/>
    </row>
    <row r="1016" spans="1:14" s="17" customFormat="1" ht="18.75" x14ac:dyDescent="0.3"/>
    <row r="1017" spans="1:14" s="7" customFormat="1" x14ac:dyDescent="0.25">
      <c r="A1017" s="13" t="s">
        <v>799</v>
      </c>
      <c r="B1017" s="18" t="s">
        <v>800</v>
      </c>
      <c r="C1017" s="19"/>
      <c r="D1017" s="20" t="s">
        <v>5</v>
      </c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</row>
    <row r="1019" spans="1:14" x14ac:dyDescent="0.25">
      <c r="A1019" s="2" t="s">
        <v>128</v>
      </c>
      <c r="B1019" s="2" t="s">
        <v>129</v>
      </c>
      <c r="C1019" s="3">
        <v>30</v>
      </c>
      <c r="D1019" s="4">
        <v>423.6</v>
      </c>
      <c r="E1019" s="4">
        <v>329.4</v>
      </c>
      <c r="F1019" s="4">
        <f t="shared" ref="F1019:F1051" si="69">D1019-E1019</f>
        <v>94.200000000000045</v>
      </c>
      <c r="G1019" s="5">
        <f t="shared" ref="G1019:G1051" si="70">IF(((D1019)=0),0,(D1019-E1019)/ D1019)</f>
        <v>0.22237960339943352</v>
      </c>
      <c r="H1019" s="2" t="s">
        <v>801</v>
      </c>
      <c r="I1019" s="6" t="s">
        <v>32</v>
      </c>
      <c r="J1019" s="2" t="s">
        <v>802</v>
      </c>
      <c r="K1019" s="2" t="s">
        <v>5</v>
      </c>
      <c r="L1019" s="2" t="s">
        <v>28</v>
      </c>
      <c r="M1019" s="2" t="s">
        <v>5</v>
      </c>
      <c r="N1019" s="4">
        <v>5533.53</v>
      </c>
    </row>
    <row r="1020" spans="1:14" x14ac:dyDescent="0.25">
      <c r="A1020" s="2" t="s">
        <v>566</v>
      </c>
      <c r="B1020" s="2" t="s">
        <v>567</v>
      </c>
      <c r="C1020" s="3">
        <v>30.45</v>
      </c>
      <c r="D1020" s="4">
        <v>489.02699999999999</v>
      </c>
      <c r="E1020" s="4">
        <v>347.13</v>
      </c>
      <c r="F1020" s="4">
        <f t="shared" si="69"/>
        <v>141.89699999999999</v>
      </c>
      <c r="G1020" s="5">
        <f t="shared" si="70"/>
        <v>0.29016189290161892</v>
      </c>
      <c r="H1020" s="2" t="s">
        <v>803</v>
      </c>
      <c r="I1020" s="6" t="s">
        <v>39</v>
      </c>
      <c r="J1020" s="2" t="s">
        <v>804</v>
      </c>
      <c r="K1020" s="2" t="s">
        <v>5</v>
      </c>
      <c r="L1020" s="2" t="s">
        <v>28</v>
      </c>
      <c r="M1020" s="2" t="s">
        <v>5</v>
      </c>
      <c r="N1020" s="4">
        <v>4851.9399999999996</v>
      </c>
    </row>
    <row r="1021" spans="1:14" x14ac:dyDescent="0.25">
      <c r="A1021" s="2" t="s">
        <v>566</v>
      </c>
      <c r="B1021" s="2" t="s">
        <v>567</v>
      </c>
      <c r="C1021" s="3">
        <v>30.63</v>
      </c>
      <c r="D1021" s="4">
        <v>491.9178</v>
      </c>
      <c r="E1021" s="4">
        <v>349.18200000000002</v>
      </c>
      <c r="F1021" s="4">
        <f t="shared" si="69"/>
        <v>142.73579999999998</v>
      </c>
      <c r="G1021" s="5">
        <f t="shared" si="70"/>
        <v>0.29016189290161892</v>
      </c>
      <c r="H1021" s="2" t="s">
        <v>805</v>
      </c>
      <c r="I1021" s="6" t="s">
        <v>74</v>
      </c>
      <c r="J1021" s="2" t="s">
        <v>806</v>
      </c>
      <c r="K1021" s="2" t="s">
        <v>5</v>
      </c>
      <c r="L1021" s="2" t="s">
        <v>28</v>
      </c>
      <c r="M1021" s="2" t="s">
        <v>5</v>
      </c>
      <c r="N1021" s="4">
        <v>3874.53</v>
      </c>
    </row>
    <row r="1022" spans="1:14" x14ac:dyDescent="0.25">
      <c r="A1022" s="2" t="s">
        <v>191</v>
      </c>
      <c r="B1022" s="2" t="s">
        <v>192</v>
      </c>
      <c r="C1022" s="3">
        <v>30.6</v>
      </c>
      <c r="D1022" s="4">
        <v>533.35799999999995</v>
      </c>
      <c r="E1022" s="4">
        <v>348.84</v>
      </c>
      <c r="F1022" s="4">
        <f t="shared" si="69"/>
        <v>184.51799999999997</v>
      </c>
      <c r="G1022" s="5">
        <f t="shared" si="70"/>
        <v>0.34595524956970736</v>
      </c>
      <c r="H1022" s="2" t="s">
        <v>801</v>
      </c>
      <c r="I1022" s="6" t="s">
        <v>32</v>
      </c>
      <c r="J1022" s="2" t="s">
        <v>802</v>
      </c>
      <c r="K1022" s="2" t="s">
        <v>5</v>
      </c>
      <c r="L1022" s="2" t="s">
        <v>28</v>
      </c>
      <c r="M1022" s="2" t="s">
        <v>5</v>
      </c>
      <c r="N1022" s="4">
        <v>5533.53</v>
      </c>
    </row>
    <row r="1023" spans="1:14" x14ac:dyDescent="0.25">
      <c r="A1023" s="2" t="s">
        <v>22</v>
      </c>
      <c r="B1023" s="2" t="s">
        <v>23</v>
      </c>
      <c r="C1023" s="3">
        <v>87.35</v>
      </c>
      <c r="D1023" s="4">
        <v>1121.5740000000001</v>
      </c>
      <c r="E1023" s="4">
        <v>960.85</v>
      </c>
      <c r="F1023" s="4">
        <f t="shared" si="69"/>
        <v>160.72400000000005</v>
      </c>
      <c r="G1023" s="5">
        <f t="shared" si="70"/>
        <v>0.1433021806853583</v>
      </c>
      <c r="H1023" s="2" t="s">
        <v>803</v>
      </c>
      <c r="I1023" s="6" t="s">
        <v>39</v>
      </c>
      <c r="J1023" s="2" t="s">
        <v>804</v>
      </c>
      <c r="K1023" s="2" t="s">
        <v>5</v>
      </c>
      <c r="L1023" s="2" t="s">
        <v>28</v>
      </c>
      <c r="M1023" s="2" t="s">
        <v>5</v>
      </c>
      <c r="N1023" s="4">
        <v>4851.9399999999996</v>
      </c>
    </row>
    <row r="1024" spans="1:14" x14ac:dyDescent="0.25">
      <c r="A1024" s="2" t="s">
        <v>22</v>
      </c>
      <c r="B1024" s="2" t="s">
        <v>23</v>
      </c>
      <c r="C1024" s="3">
        <v>60.88</v>
      </c>
      <c r="D1024" s="4">
        <v>781.69920000000002</v>
      </c>
      <c r="E1024" s="4">
        <v>669.68</v>
      </c>
      <c r="F1024" s="4">
        <f t="shared" si="69"/>
        <v>112.01920000000007</v>
      </c>
      <c r="G1024" s="5">
        <f t="shared" si="70"/>
        <v>0.14330218068535833</v>
      </c>
      <c r="H1024" s="2" t="s">
        <v>805</v>
      </c>
      <c r="I1024" s="6" t="s">
        <v>74</v>
      </c>
      <c r="J1024" s="2" t="s">
        <v>806</v>
      </c>
      <c r="K1024" s="2" t="s">
        <v>5</v>
      </c>
      <c r="L1024" s="2" t="s">
        <v>28</v>
      </c>
      <c r="M1024" s="2" t="s">
        <v>5</v>
      </c>
      <c r="N1024" s="4">
        <v>3874.53</v>
      </c>
    </row>
    <row r="1025" spans="1:14" x14ac:dyDescent="0.25">
      <c r="A1025" s="2" t="s">
        <v>29</v>
      </c>
      <c r="B1025" s="2" t="s">
        <v>30</v>
      </c>
      <c r="C1025" s="3">
        <v>30.88</v>
      </c>
      <c r="D1025" s="4">
        <v>396.49919999999997</v>
      </c>
      <c r="E1025" s="4">
        <v>308.8</v>
      </c>
      <c r="F1025" s="4">
        <f t="shared" si="69"/>
        <v>87.699199999999962</v>
      </c>
      <c r="G1025" s="5">
        <f t="shared" si="70"/>
        <v>0.22118380062305287</v>
      </c>
      <c r="H1025" s="2" t="s">
        <v>801</v>
      </c>
      <c r="I1025" s="6" t="s">
        <v>32</v>
      </c>
      <c r="J1025" s="2" t="s">
        <v>802</v>
      </c>
      <c r="K1025" s="2" t="s">
        <v>5</v>
      </c>
      <c r="L1025" s="2" t="s">
        <v>28</v>
      </c>
      <c r="M1025" s="2" t="s">
        <v>5</v>
      </c>
      <c r="N1025" s="4">
        <v>5533.53</v>
      </c>
    </row>
    <row r="1026" spans="1:14" x14ac:dyDescent="0.25">
      <c r="A1026" s="2" t="s">
        <v>148</v>
      </c>
      <c r="B1026" s="2" t="s">
        <v>149</v>
      </c>
      <c r="C1026" s="3">
        <v>30</v>
      </c>
      <c r="D1026" s="4">
        <v>256.2</v>
      </c>
      <c r="E1026" s="4">
        <v>121.5</v>
      </c>
      <c r="F1026" s="4">
        <f t="shared" si="69"/>
        <v>134.69999999999999</v>
      </c>
      <c r="G1026" s="5">
        <f t="shared" si="70"/>
        <v>0.52576112412177989</v>
      </c>
      <c r="H1026" s="2" t="s">
        <v>801</v>
      </c>
      <c r="I1026" s="6" t="s">
        <v>32</v>
      </c>
      <c r="J1026" s="2" t="s">
        <v>802</v>
      </c>
      <c r="K1026" s="2" t="s">
        <v>5</v>
      </c>
      <c r="L1026" s="2" t="s">
        <v>28</v>
      </c>
      <c r="M1026" s="2" t="s">
        <v>5</v>
      </c>
      <c r="N1026" s="4">
        <v>5533.53</v>
      </c>
    </row>
    <row r="1027" spans="1:14" x14ac:dyDescent="0.25">
      <c r="A1027" s="2" t="s">
        <v>611</v>
      </c>
      <c r="B1027" s="2" t="s">
        <v>612</v>
      </c>
      <c r="C1027" s="3">
        <v>44.024999999999999</v>
      </c>
      <c r="D1027" s="4">
        <v>240.37649999999999</v>
      </c>
      <c r="E1027" s="4">
        <v>158.49</v>
      </c>
      <c r="F1027" s="4">
        <f t="shared" si="69"/>
        <v>81.886499999999984</v>
      </c>
      <c r="G1027" s="5">
        <f t="shared" si="70"/>
        <v>0.34065934065934061</v>
      </c>
      <c r="H1027" s="2" t="s">
        <v>803</v>
      </c>
      <c r="I1027" s="6" t="s">
        <v>39</v>
      </c>
      <c r="J1027" s="2" t="s">
        <v>804</v>
      </c>
      <c r="K1027" s="2" t="s">
        <v>5</v>
      </c>
      <c r="L1027" s="2" t="s">
        <v>28</v>
      </c>
      <c r="M1027" s="2" t="s">
        <v>5</v>
      </c>
      <c r="N1027" s="4">
        <v>4851.9399999999996</v>
      </c>
    </row>
    <row r="1028" spans="1:14" x14ac:dyDescent="0.25">
      <c r="A1028" s="2" t="s">
        <v>203</v>
      </c>
      <c r="B1028" s="2" t="s">
        <v>204</v>
      </c>
      <c r="C1028" s="3">
        <v>15.89</v>
      </c>
      <c r="D1028" s="4">
        <v>238.98560000000001</v>
      </c>
      <c r="E1028" s="4">
        <v>79.45</v>
      </c>
      <c r="F1028" s="4">
        <f t="shared" si="69"/>
        <v>159.53559999999999</v>
      </c>
      <c r="G1028" s="5">
        <f t="shared" si="70"/>
        <v>0.66755319148936165</v>
      </c>
      <c r="H1028" s="2" t="s">
        <v>805</v>
      </c>
      <c r="I1028" s="6" t="s">
        <v>74</v>
      </c>
      <c r="J1028" s="2" t="s">
        <v>806</v>
      </c>
      <c r="K1028" s="2" t="s">
        <v>5</v>
      </c>
      <c r="L1028" s="2" t="s">
        <v>28</v>
      </c>
      <c r="M1028" s="2" t="s">
        <v>5</v>
      </c>
      <c r="N1028" s="4">
        <v>3874.53</v>
      </c>
    </row>
    <row r="1029" spans="1:14" x14ac:dyDescent="0.25">
      <c r="A1029" s="2" t="s">
        <v>203</v>
      </c>
      <c r="B1029" s="2" t="s">
        <v>204</v>
      </c>
      <c r="C1029" s="3">
        <v>16.53</v>
      </c>
      <c r="D1029" s="4">
        <v>248.6112</v>
      </c>
      <c r="E1029" s="4">
        <v>82.65</v>
      </c>
      <c r="F1029" s="4">
        <f t="shared" si="69"/>
        <v>165.96119999999999</v>
      </c>
      <c r="G1029" s="5">
        <f t="shared" si="70"/>
        <v>0.66755319148936165</v>
      </c>
      <c r="H1029" s="2" t="s">
        <v>801</v>
      </c>
      <c r="I1029" s="6" t="s">
        <v>32</v>
      </c>
      <c r="J1029" s="2" t="s">
        <v>802</v>
      </c>
      <c r="K1029" s="2" t="s">
        <v>5</v>
      </c>
      <c r="L1029" s="2" t="s">
        <v>28</v>
      </c>
      <c r="M1029" s="2" t="s">
        <v>5</v>
      </c>
      <c r="N1029" s="4">
        <v>5533.53</v>
      </c>
    </row>
    <row r="1030" spans="1:14" x14ac:dyDescent="0.25">
      <c r="A1030" s="2" t="s">
        <v>45</v>
      </c>
      <c r="B1030" s="2" t="s">
        <v>46</v>
      </c>
      <c r="C1030" s="3">
        <v>24</v>
      </c>
      <c r="D1030" s="4">
        <v>293.76</v>
      </c>
      <c r="E1030" s="4">
        <v>175.2</v>
      </c>
      <c r="F1030" s="4">
        <f t="shared" si="69"/>
        <v>118.56</v>
      </c>
      <c r="G1030" s="5">
        <f t="shared" si="70"/>
        <v>0.40359477124183007</v>
      </c>
      <c r="H1030" s="2" t="s">
        <v>805</v>
      </c>
      <c r="I1030" s="6" t="s">
        <v>74</v>
      </c>
      <c r="J1030" s="2" t="s">
        <v>806</v>
      </c>
      <c r="K1030" s="2" t="s">
        <v>5</v>
      </c>
      <c r="L1030" s="2" t="s">
        <v>28</v>
      </c>
      <c r="M1030" s="2" t="s">
        <v>5</v>
      </c>
      <c r="N1030" s="4">
        <v>3874.53</v>
      </c>
    </row>
    <row r="1031" spans="1:14" x14ac:dyDescent="0.25">
      <c r="A1031" s="2" t="s">
        <v>45</v>
      </c>
      <c r="B1031" s="2" t="s">
        <v>46</v>
      </c>
      <c r="C1031" s="3">
        <v>24</v>
      </c>
      <c r="D1031" s="4">
        <v>293.76</v>
      </c>
      <c r="E1031" s="4">
        <v>175.2</v>
      </c>
      <c r="F1031" s="4">
        <f t="shared" si="69"/>
        <v>118.56</v>
      </c>
      <c r="G1031" s="5">
        <f t="shared" si="70"/>
        <v>0.40359477124183007</v>
      </c>
      <c r="H1031" s="2" t="s">
        <v>803</v>
      </c>
      <c r="I1031" s="6" t="s">
        <v>39</v>
      </c>
      <c r="J1031" s="2" t="s">
        <v>804</v>
      </c>
      <c r="K1031" s="2" t="s">
        <v>5</v>
      </c>
      <c r="L1031" s="2" t="s">
        <v>28</v>
      </c>
      <c r="M1031" s="2" t="s">
        <v>5</v>
      </c>
      <c r="N1031" s="4">
        <v>4851.9399999999996</v>
      </c>
    </row>
    <row r="1032" spans="1:14" x14ac:dyDescent="0.25">
      <c r="A1032" s="2" t="s">
        <v>45</v>
      </c>
      <c r="B1032" s="2" t="s">
        <v>46</v>
      </c>
      <c r="C1032" s="3">
        <v>48.41</v>
      </c>
      <c r="D1032" s="4">
        <v>592.53840000000002</v>
      </c>
      <c r="E1032" s="4">
        <v>353.39299999999997</v>
      </c>
      <c r="F1032" s="4">
        <f t="shared" si="69"/>
        <v>239.14540000000005</v>
      </c>
      <c r="G1032" s="5">
        <f t="shared" si="70"/>
        <v>0.40359477124183013</v>
      </c>
      <c r="H1032" s="2" t="s">
        <v>801</v>
      </c>
      <c r="I1032" s="6" t="s">
        <v>32</v>
      </c>
      <c r="J1032" s="2" t="s">
        <v>802</v>
      </c>
      <c r="K1032" s="2" t="s">
        <v>5</v>
      </c>
      <c r="L1032" s="2" t="s">
        <v>28</v>
      </c>
      <c r="M1032" s="2" t="s">
        <v>5</v>
      </c>
      <c r="N1032" s="4">
        <v>5533.53</v>
      </c>
    </row>
    <row r="1033" spans="1:14" x14ac:dyDescent="0.25">
      <c r="A1033" s="2" t="s">
        <v>807</v>
      </c>
      <c r="B1033" s="2" t="s">
        <v>808</v>
      </c>
      <c r="C1033" s="3">
        <v>5</v>
      </c>
      <c r="D1033" s="4">
        <v>40.1</v>
      </c>
      <c r="E1033" s="4">
        <v>30.45</v>
      </c>
      <c r="F1033" s="4">
        <f t="shared" si="69"/>
        <v>9.6500000000000021</v>
      </c>
      <c r="G1033" s="5">
        <f t="shared" si="70"/>
        <v>0.24064837905236913</v>
      </c>
      <c r="H1033" s="2" t="s">
        <v>801</v>
      </c>
      <c r="I1033" s="6" t="s">
        <v>32</v>
      </c>
      <c r="J1033" s="2" t="s">
        <v>802</v>
      </c>
      <c r="K1033" s="2" t="s">
        <v>5</v>
      </c>
      <c r="L1033" s="2" t="s">
        <v>28</v>
      </c>
      <c r="M1033" s="2" t="s">
        <v>5</v>
      </c>
      <c r="N1033" s="4">
        <v>5533.53</v>
      </c>
    </row>
    <row r="1034" spans="1:14" x14ac:dyDescent="0.25">
      <c r="A1034" s="2" t="s">
        <v>807</v>
      </c>
      <c r="B1034" s="2" t="s">
        <v>808</v>
      </c>
      <c r="C1034" s="3">
        <v>5</v>
      </c>
      <c r="D1034" s="4">
        <v>40.1</v>
      </c>
      <c r="E1034" s="4">
        <v>30.45</v>
      </c>
      <c r="F1034" s="4">
        <f t="shared" si="69"/>
        <v>9.6500000000000021</v>
      </c>
      <c r="G1034" s="5">
        <f t="shared" si="70"/>
        <v>0.24064837905236913</v>
      </c>
      <c r="H1034" s="2" t="s">
        <v>805</v>
      </c>
      <c r="I1034" s="6" t="s">
        <v>74</v>
      </c>
      <c r="J1034" s="2" t="s">
        <v>806</v>
      </c>
      <c r="K1034" s="2" t="s">
        <v>5</v>
      </c>
      <c r="L1034" s="2" t="s">
        <v>28</v>
      </c>
      <c r="M1034" s="2" t="s">
        <v>5</v>
      </c>
      <c r="N1034" s="4">
        <v>3874.53</v>
      </c>
    </row>
    <row r="1035" spans="1:14" x14ac:dyDescent="0.25">
      <c r="A1035" s="2" t="s">
        <v>807</v>
      </c>
      <c r="B1035" s="2" t="s">
        <v>808</v>
      </c>
      <c r="C1035" s="3">
        <v>5</v>
      </c>
      <c r="D1035" s="4">
        <v>40.1</v>
      </c>
      <c r="E1035" s="4">
        <v>30.45</v>
      </c>
      <c r="F1035" s="4">
        <f t="shared" si="69"/>
        <v>9.6500000000000021</v>
      </c>
      <c r="G1035" s="5">
        <f t="shared" si="70"/>
        <v>0.24064837905236913</v>
      </c>
      <c r="H1035" s="2" t="s">
        <v>803</v>
      </c>
      <c r="I1035" s="6" t="s">
        <v>39</v>
      </c>
      <c r="J1035" s="2" t="s">
        <v>804</v>
      </c>
      <c r="K1035" s="2" t="s">
        <v>5</v>
      </c>
      <c r="L1035" s="2" t="s">
        <v>28</v>
      </c>
      <c r="M1035" s="2" t="s">
        <v>5</v>
      </c>
      <c r="N1035" s="4">
        <v>4851.9399999999996</v>
      </c>
    </row>
    <row r="1036" spans="1:14" x14ac:dyDescent="0.25">
      <c r="A1036" s="2" t="s">
        <v>707</v>
      </c>
      <c r="B1036" s="2" t="s">
        <v>708</v>
      </c>
      <c r="C1036" s="3">
        <v>21.434000000000001</v>
      </c>
      <c r="D1036" s="4">
        <v>228.91512</v>
      </c>
      <c r="E1036" s="4">
        <v>177.68786</v>
      </c>
      <c r="F1036" s="4">
        <f t="shared" si="69"/>
        <v>51.227260000000001</v>
      </c>
      <c r="G1036" s="5">
        <f t="shared" si="70"/>
        <v>0.22378277153558052</v>
      </c>
      <c r="H1036" s="2" t="s">
        <v>805</v>
      </c>
      <c r="I1036" s="6" t="s">
        <v>74</v>
      </c>
      <c r="J1036" s="2" t="s">
        <v>806</v>
      </c>
      <c r="K1036" s="2" t="s">
        <v>5</v>
      </c>
      <c r="L1036" s="2" t="s">
        <v>28</v>
      </c>
      <c r="M1036" s="2" t="s">
        <v>5</v>
      </c>
      <c r="N1036" s="4">
        <v>3874.53</v>
      </c>
    </row>
    <row r="1037" spans="1:14" x14ac:dyDescent="0.25">
      <c r="A1037" s="2" t="s">
        <v>707</v>
      </c>
      <c r="B1037" s="2" t="s">
        <v>708</v>
      </c>
      <c r="C1037" s="3">
        <v>24.707999999999998</v>
      </c>
      <c r="D1037" s="4">
        <v>263.88144</v>
      </c>
      <c r="E1037" s="4">
        <v>204.82932</v>
      </c>
      <c r="F1037" s="4">
        <f t="shared" si="69"/>
        <v>59.052120000000002</v>
      </c>
      <c r="G1037" s="5">
        <f t="shared" si="70"/>
        <v>0.22378277153558054</v>
      </c>
      <c r="H1037" s="2" t="s">
        <v>803</v>
      </c>
      <c r="I1037" s="6" t="s">
        <v>39</v>
      </c>
      <c r="J1037" s="2" t="s">
        <v>804</v>
      </c>
      <c r="K1037" s="2" t="s">
        <v>5</v>
      </c>
      <c r="L1037" s="2" t="s">
        <v>28</v>
      </c>
      <c r="M1037" s="2" t="s">
        <v>5</v>
      </c>
      <c r="N1037" s="4">
        <v>4851.9399999999996</v>
      </c>
    </row>
    <row r="1038" spans="1:14" x14ac:dyDescent="0.25">
      <c r="A1038" s="2" t="s">
        <v>707</v>
      </c>
      <c r="B1038" s="2" t="s">
        <v>708</v>
      </c>
      <c r="C1038" s="3">
        <v>19.559999999999999</v>
      </c>
      <c r="D1038" s="4">
        <v>208.9008</v>
      </c>
      <c r="E1038" s="4">
        <v>162.1524</v>
      </c>
      <c r="F1038" s="4">
        <f t="shared" si="69"/>
        <v>46.748400000000004</v>
      </c>
      <c r="G1038" s="5">
        <f t="shared" si="70"/>
        <v>0.22378277153558054</v>
      </c>
      <c r="H1038" s="2" t="s">
        <v>801</v>
      </c>
      <c r="I1038" s="6" t="s">
        <v>32</v>
      </c>
      <c r="J1038" s="2" t="s">
        <v>802</v>
      </c>
      <c r="K1038" s="2" t="s">
        <v>5</v>
      </c>
      <c r="L1038" s="2" t="s">
        <v>28</v>
      </c>
      <c r="M1038" s="2" t="s">
        <v>5</v>
      </c>
      <c r="N1038" s="4">
        <v>5533.53</v>
      </c>
    </row>
    <row r="1039" spans="1:14" x14ac:dyDescent="0.25">
      <c r="A1039" s="2" t="s">
        <v>709</v>
      </c>
      <c r="B1039" s="2" t="s">
        <v>710</v>
      </c>
      <c r="C1039" s="3">
        <v>5.2</v>
      </c>
      <c r="D1039" s="4">
        <v>73.424000000000007</v>
      </c>
      <c r="E1039" s="4">
        <v>53.82</v>
      </c>
      <c r="F1039" s="4">
        <f t="shared" si="69"/>
        <v>19.604000000000006</v>
      </c>
      <c r="G1039" s="5">
        <f t="shared" si="70"/>
        <v>0.26699716713881028</v>
      </c>
      <c r="H1039" s="2" t="s">
        <v>805</v>
      </c>
      <c r="I1039" s="6" t="s">
        <v>74</v>
      </c>
      <c r="J1039" s="2" t="s">
        <v>806</v>
      </c>
      <c r="K1039" s="2" t="s">
        <v>5</v>
      </c>
      <c r="L1039" s="2" t="s">
        <v>28</v>
      </c>
      <c r="M1039" s="2" t="s">
        <v>5</v>
      </c>
      <c r="N1039" s="4">
        <v>3874.53</v>
      </c>
    </row>
    <row r="1040" spans="1:14" x14ac:dyDescent="0.25">
      <c r="A1040" s="2" t="s">
        <v>579</v>
      </c>
      <c r="B1040" s="2" t="s">
        <v>580</v>
      </c>
      <c r="C1040" s="3">
        <v>142.6</v>
      </c>
      <c r="D1040" s="4">
        <v>1237.768</v>
      </c>
      <c r="E1040" s="4">
        <v>1326.18</v>
      </c>
      <c r="F1040" s="4">
        <f t="shared" si="69"/>
        <v>-88.412000000000035</v>
      </c>
      <c r="G1040" s="5">
        <f t="shared" si="70"/>
        <v>-7.1428571428571452E-2</v>
      </c>
      <c r="H1040" s="2" t="s">
        <v>809</v>
      </c>
      <c r="I1040" s="6" t="s">
        <v>32</v>
      </c>
      <c r="J1040" s="2" t="s">
        <v>810</v>
      </c>
      <c r="K1040" s="2" t="s">
        <v>5</v>
      </c>
      <c r="L1040" s="2" t="s">
        <v>28</v>
      </c>
      <c r="M1040" s="2" t="s">
        <v>5</v>
      </c>
      <c r="N1040" s="4">
        <v>1237.77</v>
      </c>
    </row>
    <row r="1041" spans="1:14" x14ac:dyDescent="0.25">
      <c r="A1041" s="2" t="s">
        <v>581</v>
      </c>
      <c r="B1041" s="2" t="s">
        <v>582</v>
      </c>
      <c r="C1041" s="3">
        <v>60.28</v>
      </c>
      <c r="D1041" s="4">
        <v>781.22879999999998</v>
      </c>
      <c r="E1041" s="4">
        <v>524.43600000000004</v>
      </c>
      <c r="F1041" s="4">
        <f t="shared" si="69"/>
        <v>256.79279999999994</v>
      </c>
      <c r="G1041" s="5">
        <f t="shared" si="70"/>
        <v>0.32870370370370366</v>
      </c>
      <c r="H1041" s="2" t="s">
        <v>801</v>
      </c>
      <c r="I1041" s="6" t="s">
        <v>32</v>
      </c>
      <c r="J1041" s="2" t="s">
        <v>802</v>
      </c>
      <c r="K1041" s="2" t="s">
        <v>5</v>
      </c>
      <c r="L1041" s="2" t="s">
        <v>28</v>
      </c>
      <c r="M1041" s="2" t="s">
        <v>5</v>
      </c>
      <c r="N1041" s="4">
        <v>5533.53</v>
      </c>
    </row>
    <row r="1042" spans="1:14" x14ac:dyDescent="0.25">
      <c r="A1042" s="2" t="s">
        <v>713</v>
      </c>
      <c r="B1042" s="2" t="s">
        <v>714</v>
      </c>
      <c r="C1042" s="3">
        <v>50</v>
      </c>
      <c r="D1042" s="4">
        <v>510</v>
      </c>
      <c r="E1042" s="4">
        <v>437.5</v>
      </c>
      <c r="F1042" s="4">
        <f t="shared" si="69"/>
        <v>72.5</v>
      </c>
      <c r="G1042" s="5">
        <f t="shared" si="70"/>
        <v>0.14215686274509803</v>
      </c>
      <c r="H1042" s="2" t="s">
        <v>803</v>
      </c>
      <c r="I1042" s="6" t="s">
        <v>39</v>
      </c>
      <c r="J1042" s="2" t="s">
        <v>804</v>
      </c>
      <c r="K1042" s="2" t="s">
        <v>5</v>
      </c>
      <c r="L1042" s="2" t="s">
        <v>28</v>
      </c>
      <c r="M1042" s="2" t="s">
        <v>5</v>
      </c>
      <c r="N1042" s="4">
        <v>4851.9399999999996</v>
      </c>
    </row>
    <row r="1043" spans="1:14" x14ac:dyDescent="0.25">
      <c r="A1043" s="2" t="s">
        <v>624</v>
      </c>
      <c r="B1043" s="2" t="s">
        <v>625</v>
      </c>
      <c r="C1043" s="3">
        <v>30.065000000000001</v>
      </c>
      <c r="D1043" s="4">
        <v>419.70740000000001</v>
      </c>
      <c r="E1043" s="4">
        <v>225.48750000000001</v>
      </c>
      <c r="F1043" s="4">
        <f t="shared" si="69"/>
        <v>194.2199</v>
      </c>
      <c r="G1043" s="5">
        <f t="shared" si="70"/>
        <v>0.46275071633237819</v>
      </c>
      <c r="H1043" s="2" t="s">
        <v>803</v>
      </c>
      <c r="I1043" s="6" t="s">
        <v>39</v>
      </c>
      <c r="J1043" s="2" t="s">
        <v>804</v>
      </c>
      <c r="K1043" s="2" t="s">
        <v>5</v>
      </c>
      <c r="L1043" s="2" t="s">
        <v>28</v>
      </c>
      <c r="M1043" s="2" t="s">
        <v>5</v>
      </c>
      <c r="N1043" s="4">
        <v>4851.9399999999996</v>
      </c>
    </row>
    <row r="1044" spans="1:14" x14ac:dyDescent="0.25">
      <c r="A1044" s="2" t="s">
        <v>53</v>
      </c>
      <c r="B1044" s="2" t="s">
        <v>54</v>
      </c>
      <c r="C1044" s="3">
        <v>71.19</v>
      </c>
      <c r="D1044" s="4">
        <v>649.96469999999999</v>
      </c>
      <c r="E1044" s="4">
        <v>519.68700000000001</v>
      </c>
      <c r="F1044" s="4">
        <f t="shared" si="69"/>
        <v>130.27769999999998</v>
      </c>
      <c r="G1044" s="5">
        <f t="shared" si="70"/>
        <v>0.20043811610076667</v>
      </c>
      <c r="H1044" s="2" t="s">
        <v>803</v>
      </c>
      <c r="I1044" s="6" t="s">
        <v>39</v>
      </c>
      <c r="J1044" s="2" t="s">
        <v>804</v>
      </c>
      <c r="K1044" s="2" t="s">
        <v>5</v>
      </c>
      <c r="L1044" s="2" t="s">
        <v>28</v>
      </c>
      <c r="M1044" s="2" t="s">
        <v>5</v>
      </c>
      <c r="N1044" s="4">
        <v>4851.9399999999996</v>
      </c>
    </row>
    <row r="1045" spans="1:14" x14ac:dyDescent="0.25">
      <c r="A1045" s="2" t="s">
        <v>583</v>
      </c>
      <c r="B1045" s="2" t="s">
        <v>584</v>
      </c>
      <c r="C1045" s="3">
        <v>63.43</v>
      </c>
      <c r="D1045" s="4">
        <v>868.99099999999999</v>
      </c>
      <c r="E1045" s="4">
        <v>475.72500000000002</v>
      </c>
      <c r="F1045" s="4">
        <f t="shared" si="69"/>
        <v>393.26599999999996</v>
      </c>
      <c r="G1045" s="5">
        <f t="shared" si="70"/>
        <v>0.45255474452554739</v>
      </c>
      <c r="H1045" s="2" t="s">
        <v>805</v>
      </c>
      <c r="I1045" s="6" t="s">
        <v>74</v>
      </c>
      <c r="J1045" s="2" t="s">
        <v>806</v>
      </c>
      <c r="K1045" s="2" t="s">
        <v>5</v>
      </c>
      <c r="L1045" s="2" t="s">
        <v>28</v>
      </c>
      <c r="M1045" s="2" t="s">
        <v>5</v>
      </c>
      <c r="N1045" s="4">
        <v>3874.53</v>
      </c>
    </row>
    <row r="1046" spans="1:14" x14ac:dyDescent="0.25">
      <c r="A1046" s="2" t="s">
        <v>585</v>
      </c>
      <c r="B1046" s="2" t="s">
        <v>586</v>
      </c>
      <c r="C1046" s="3">
        <v>61.53</v>
      </c>
      <c r="D1046" s="4">
        <v>1121.6919</v>
      </c>
      <c r="E1046" s="4">
        <v>938.33249999999998</v>
      </c>
      <c r="F1046" s="4">
        <f t="shared" si="69"/>
        <v>183.35940000000005</v>
      </c>
      <c r="G1046" s="5">
        <f t="shared" si="70"/>
        <v>0.16346681294569396</v>
      </c>
      <c r="H1046" s="2" t="s">
        <v>801</v>
      </c>
      <c r="I1046" s="6" t="s">
        <v>32</v>
      </c>
      <c r="J1046" s="2" t="s">
        <v>802</v>
      </c>
      <c r="K1046" s="2" t="s">
        <v>5</v>
      </c>
      <c r="L1046" s="2" t="s">
        <v>28</v>
      </c>
      <c r="M1046" s="2" t="s">
        <v>5</v>
      </c>
      <c r="N1046" s="4">
        <v>5533.53</v>
      </c>
    </row>
    <row r="1047" spans="1:14" x14ac:dyDescent="0.25">
      <c r="A1047" s="2" t="s">
        <v>122</v>
      </c>
      <c r="B1047" s="2" t="s">
        <v>123</v>
      </c>
      <c r="C1047" s="3">
        <v>29.364999999999998</v>
      </c>
      <c r="D1047" s="4">
        <v>251.95169999999999</v>
      </c>
      <c r="E1047" s="4">
        <v>161.50749999999999</v>
      </c>
      <c r="F1047" s="4">
        <f t="shared" si="69"/>
        <v>90.444199999999995</v>
      </c>
      <c r="G1047" s="5">
        <f t="shared" si="70"/>
        <v>0.35897435897435898</v>
      </c>
      <c r="H1047" s="2" t="s">
        <v>805</v>
      </c>
      <c r="I1047" s="6" t="s">
        <v>74</v>
      </c>
      <c r="J1047" s="2" t="s">
        <v>806</v>
      </c>
      <c r="K1047" s="2" t="s">
        <v>5</v>
      </c>
      <c r="L1047" s="2" t="s">
        <v>28</v>
      </c>
      <c r="M1047" s="2" t="s">
        <v>5</v>
      </c>
      <c r="N1047" s="4">
        <v>3874.53</v>
      </c>
    </row>
    <row r="1048" spans="1:14" x14ac:dyDescent="0.25">
      <c r="A1048" s="2" t="s">
        <v>589</v>
      </c>
      <c r="B1048" s="2" t="s">
        <v>590</v>
      </c>
      <c r="C1048" s="3">
        <v>33.229999999999997</v>
      </c>
      <c r="D1048" s="4">
        <v>604.78599999999994</v>
      </c>
      <c r="E1048" s="4">
        <v>456.91250000000002</v>
      </c>
      <c r="F1048" s="4">
        <f t="shared" si="69"/>
        <v>147.87349999999992</v>
      </c>
      <c r="G1048" s="5">
        <f t="shared" si="70"/>
        <v>0.24450549450549439</v>
      </c>
      <c r="H1048" s="2" t="s">
        <v>805</v>
      </c>
      <c r="I1048" s="6" t="s">
        <v>74</v>
      </c>
      <c r="J1048" s="2" t="s">
        <v>806</v>
      </c>
      <c r="K1048" s="2" t="s">
        <v>5</v>
      </c>
      <c r="L1048" s="2" t="s">
        <v>28</v>
      </c>
      <c r="M1048" s="2" t="s">
        <v>5</v>
      </c>
      <c r="N1048" s="4">
        <v>3874.53</v>
      </c>
    </row>
    <row r="1049" spans="1:14" x14ac:dyDescent="0.25">
      <c r="A1049" s="2" t="s">
        <v>589</v>
      </c>
      <c r="B1049" s="2" t="s">
        <v>590</v>
      </c>
      <c r="C1049" s="3">
        <v>45.25</v>
      </c>
      <c r="D1049" s="4">
        <v>823.55</v>
      </c>
      <c r="E1049" s="4">
        <v>622.1875</v>
      </c>
      <c r="F1049" s="4">
        <f t="shared" si="69"/>
        <v>201.36249999999995</v>
      </c>
      <c r="G1049" s="5">
        <f t="shared" si="70"/>
        <v>0.24450549450549447</v>
      </c>
      <c r="H1049" s="2" t="s">
        <v>803</v>
      </c>
      <c r="I1049" s="6" t="s">
        <v>39</v>
      </c>
      <c r="J1049" s="2" t="s">
        <v>804</v>
      </c>
      <c r="K1049" s="2" t="s">
        <v>5</v>
      </c>
      <c r="L1049" s="2" t="s">
        <v>28</v>
      </c>
      <c r="M1049" s="2" t="s">
        <v>5</v>
      </c>
      <c r="N1049" s="4">
        <v>4851.9399999999996</v>
      </c>
    </row>
    <row r="1050" spans="1:14" x14ac:dyDescent="0.25">
      <c r="A1050" s="2" t="s">
        <v>256</v>
      </c>
      <c r="B1050" s="2" t="s">
        <v>257</v>
      </c>
      <c r="C1050" s="3">
        <v>4</v>
      </c>
      <c r="D1050" s="4">
        <v>82.36</v>
      </c>
      <c r="E1050" s="4">
        <v>64.56</v>
      </c>
      <c r="F1050" s="4">
        <f t="shared" si="69"/>
        <v>17.799999999999997</v>
      </c>
      <c r="G1050" s="5">
        <f t="shared" si="70"/>
        <v>0.21612433220009711</v>
      </c>
      <c r="H1050" s="2" t="s">
        <v>801</v>
      </c>
      <c r="I1050" s="6" t="s">
        <v>32</v>
      </c>
      <c r="J1050" s="2" t="s">
        <v>802</v>
      </c>
      <c r="K1050" s="2" t="s">
        <v>5</v>
      </c>
      <c r="L1050" s="2" t="s">
        <v>28</v>
      </c>
      <c r="M1050" s="2" t="s">
        <v>5</v>
      </c>
      <c r="N1050" s="4">
        <v>5533.53</v>
      </c>
    </row>
    <row r="1051" spans="1:14" x14ac:dyDescent="0.25">
      <c r="A1051" s="2" t="s">
        <v>250</v>
      </c>
      <c r="B1051" s="2" t="s">
        <v>251</v>
      </c>
      <c r="C1051" s="3">
        <v>68.7</v>
      </c>
      <c r="D1051" s="4">
        <v>848.44500000000005</v>
      </c>
      <c r="E1051" s="4">
        <v>583.95000000000005</v>
      </c>
      <c r="F1051" s="4">
        <f t="shared" si="69"/>
        <v>264.495</v>
      </c>
      <c r="G1051" s="5">
        <f t="shared" si="70"/>
        <v>0.31174089068825911</v>
      </c>
      <c r="H1051" s="2" t="s">
        <v>801</v>
      </c>
      <c r="I1051" s="6" t="s">
        <v>32</v>
      </c>
      <c r="J1051" s="2" t="s">
        <v>802</v>
      </c>
      <c r="K1051" s="2" t="s">
        <v>5</v>
      </c>
      <c r="L1051" s="2" t="s">
        <v>28</v>
      </c>
      <c r="M1051" s="2" t="s">
        <v>5</v>
      </c>
      <c r="N1051" s="4">
        <v>5533.53</v>
      </c>
    </row>
    <row r="1053" spans="1:14" x14ac:dyDescent="0.25">
      <c r="A1053" s="13" t="s">
        <v>59</v>
      </c>
      <c r="B1053" s="21"/>
      <c r="C1053" s="22">
        <f>SUM(C1016:C1052)</f>
        <v>1249.1870000000001</v>
      </c>
      <c r="D1053" s="23">
        <f>SUM(D1016:D1052)</f>
        <v>15497.772760000002</v>
      </c>
      <c r="E1053" s="23">
        <f>SUM(E1016:E1052)</f>
        <v>11486.07008</v>
      </c>
      <c r="F1053" s="23">
        <f>D1053-E1053</f>
        <v>4011.7026800000021</v>
      </c>
      <c r="G1053" s="24">
        <f>IF(((D1053)=0),0,(D1053-E1053)/ D1053)</f>
        <v>0.25885672361607148</v>
      </c>
      <c r="H1053" s="21"/>
      <c r="I1053" s="21"/>
      <c r="J1053" s="21"/>
      <c r="K1053" s="21"/>
      <c r="L1053" s="21"/>
      <c r="M1053" s="21"/>
      <c r="N1053" s="21"/>
    </row>
    <row r="1055" spans="1:14" s="17" customFormat="1" ht="18.75" x14ac:dyDescent="0.3"/>
    <row r="1056" spans="1:14" s="7" customFormat="1" x14ac:dyDescent="0.25">
      <c r="A1056" s="13" t="s">
        <v>811</v>
      </c>
      <c r="B1056" s="18" t="s">
        <v>812</v>
      </c>
      <c r="C1056" s="19"/>
      <c r="D1056" s="20" t="s">
        <v>5</v>
      </c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</row>
    <row r="1058" spans="1:14" x14ac:dyDescent="0.25">
      <c r="A1058" s="2" t="s">
        <v>813</v>
      </c>
      <c r="B1058" s="2" t="s">
        <v>814</v>
      </c>
      <c r="C1058" s="3">
        <v>135</v>
      </c>
      <c r="D1058" s="4">
        <v>1678.05</v>
      </c>
      <c r="E1058" s="4">
        <v>1421.55</v>
      </c>
      <c r="F1058" s="4">
        <f t="shared" ref="F1058:F1082" si="71">D1058-E1058</f>
        <v>256.5</v>
      </c>
      <c r="G1058" s="5">
        <f t="shared" ref="G1058:G1082" si="72">IF(((D1058)=0),0,(D1058-E1058)/ D1058)</f>
        <v>0.15285599356395818</v>
      </c>
      <c r="H1058" s="2" t="s">
        <v>815</v>
      </c>
      <c r="I1058" s="6" t="s">
        <v>74</v>
      </c>
      <c r="J1058" s="2" t="s">
        <v>816</v>
      </c>
      <c r="K1058" s="2" t="s">
        <v>817</v>
      </c>
      <c r="L1058" s="2" t="s">
        <v>28</v>
      </c>
      <c r="M1058" s="2" t="s">
        <v>5</v>
      </c>
      <c r="N1058" s="4">
        <v>32049.71</v>
      </c>
    </row>
    <row r="1059" spans="1:14" x14ac:dyDescent="0.25">
      <c r="A1059" s="2" t="s">
        <v>566</v>
      </c>
      <c r="B1059" s="2" t="s">
        <v>567</v>
      </c>
      <c r="C1059" s="3">
        <v>89.17</v>
      </c>
      <c r="D1059" s="4">
        <v>1494.4892</v>
      </c>
      <c r="E1059" s="4">
        <v>1016.538</v>
      </c>
      <c r="F1059" s="4">
        <f t="shared" si="71"/>
        <v>477.95119999999997</v>
      </c>
      <c r="G1059" s="5">
        <f t="shared" si="72"/>
        <v>0.31980906921241048</v>
      </c>
      <c r="H1059" s="2" t="s">
        <v>815</v>
      </c>
      <c r="I1059" s="6" t="s">
        <v>74</v>
      </c>
      <c r="J1059" s="2" t="s">
        <v>816</v>
      </c>
      <c r="K1059" s="2" t="s">
        <v>817</v>
      </c>
      <c r="L1059" s="2" t="s">
        <v>28</v>
      </c>
      <c r="M1059" s="2" t="s">
        <v>5</v>
      </c>
      <c r="N1059" s="4">
        <v>32049.71</v>
      </c>
    </row>
    <row r="1060" spans="1:14" x14ac:dyDescent="0.25">
      <c r="A1060" s="2" t="s">
        <v>191</v>
      </c>
      <c r="B1060" s="2" t="s">
        <v>192</v>
      </c>
      <c r="C1060" s="3">
        <v>45.86</v>
      </c>
      <c r="D1060" s="4">
        <v>768.61360000000002</v>
      </c>
      <c r="E1060" s="4">
        <v>522.80399999999997</v>
      </c>
      <c r="F1060" s="4">
        <f t="shared" si="71"/>
        <v>245.80960000000005</v>
      </c>
      <c r="G1060" s="5">
        <f t="shared" si="72"/>
        <v>0.31980906921241053</v>
      </c>
      <c r="H1060" s="2" t="s">
        <v>815</v>
      </c>
      <c r="I1060" s="6" t="s">
        <v>74</v>
      </c>
      <c r="J1060" s="2" t="s">
        <v>816</v>
      </c>
      <c r="K1060" s="2" t="s">
        <v>817</v>
      </c>
      <c r="L1060" s="2" t="s">
        <v>28</v>
      </c>
      <c r="M1060" s="2" t="s">
        <v>5</v>
      </c>
      <c r="N1060" s="4">
        <v>32049.71</v>
      </c>
    </row>
    <row r="1061" spans="1:14" x14ac:dyDescent="0.25">
      <c r="A1061" s="2" t="s">
        <v>22</v>
      </c>
      <c r="B1061" s="2" t="s">
        <v>23</v>
      </c>
      <c r="C1061" s="3">
        <v>102.51</v>
      </c>
      <c r="D1061" s="4">
        <v>1386.9603</v>
      </c>
      <c r="E1061" s="4">
        <v>1127.6099999999999</v>
      </c>
      <c r="F1061" s="4">
        <f t="shared" si="71"/>
        <v>259.35030000000006</v>
      </c>
      <c r="G1061" s="5">
        <f t="shared" si="72"/>
        <v>0.18699186991869923</v>
      </c>
      <c r="H1061" s="2" t="s">
        <v>815</v>
      </c>
      <c r="I1061" s="6" t="s">
        <v>74</v>
      </c>
      <c r="J1061" s="2" t="s">
        <v>816</v>
      </c>
      <c r="K1061" s="2" t="s">
        <v>817</v>
      </c>
      <c r="L1061" s="2" t="s">
        <v>28</v>
      </c>
      <c r="M1061" s="2" t="s">
        <v>5</v>
      </c>
      <c r="N1061" s="4">
        <v>32049.71</v>
      </c>
    </row>
    <row r="1062" spans="1:14" x14ac:dyDescent="0.25">
      <c r="A1062" s="2" t="s">
        <v>146</v>
      </c>
      <c r="B1062" s="2" t="s">
        <v>147</v>
      </c>
      <c r="C1062" s="3">
        <v>24.5</v>
      </c>
      <c r="D1062" s="4">
        <v>331.48500000000001</v>
      </c>
      <c r="E1062" s="4">
        <v>276.85000000000002</v>
      </c>
      <c r="F1062" s="4">
        <f t="shared" si="71"/>
        <v>54.634999999999991</v>
      </c>
      <c r="G1062" s="5">
        <f t="shared" si="72"/>
        <v>0.16481892091648187</v>
      </c>
      <c r="H1062" s="2" t="s">
        <v>815</v>
      </c>
      <c r="I1062" s="6" t="s">
        <v>74</v>
      </c>
      <c r="J1062" s="2" t="s">
        <v>816</v>
      </c>
      <c r="K1062" s="2" t="s">
        <v>817</v>
      </c>
      <c r="L1062" s="2" t="s">
        <v>28</v>
      </c>
      <c r="M1062" s="2" t="s">
        <v>5</v>
      </c>
      <c r="N1062" s="4">
        <v>32049.71</v>
      </c>
    </row>
    <row r="1063" spans="1:14" x14ac:dyDescent="0.25">
      <c r="A1063" s="2" t="s">
        <v>703</v>
      </c>
      <c r="B1063" s="2" t="s">
        <v>704</v>
      </c>
      <c r="C1063" s="3">
        <v>90</v>
      </c>
      <c r="D1063" s="4">
        <v>558</v>
      </c>
      <c r="E1063" s="4">
        <v>427.5</v>
      </c>
      <c r="F1063" s="4">
        <f t="shared" si="71"/>
        <v>130.5</v>
      </c>
      <c r="G1063" s="5">
        <f t="shared" si="72"/>
        <v>0.23387096774193547</v>
      </c>
      <c r="H1063" s="2" t="s">
        <v>815</v>
      </c>
      <c r="I1063" s="6" t="s">
        <v>74</v>
      </c>
      <c r="J1063" s="2" t="s">
        <v>816</v>
      </c>
      <c r="K1063" s="2" t="s">
        <v>817</v>
      </c>
      <c r="L1063" s="2" t="s">
        <v>28</v>
      </c>
      <c r="M1063" s="2" t="s">
        <v>5</v>
      </c>
      <c r="N1063" s="4">
        <v>32049.71</v>
      </c>
    </row>
    <row r="1064" spans="1:14" x14ac:dyDescent="0.25">
      <c r="A1064" s="2" t="s">
        <v>611</v>
      </c>
      <c r="B1064" s="2" t="s">
        <v>612</v>
      </c>
      <c r="C1064" s="3">
        <v>62.174999999999997</v>
      </c>
      <c r="D1064" s="4">
        <v>328.90575000000001</v>
      </c>
      <c r="E1064" s="4">
        <v>223.83</v>
      </c>
      <c r="F1064" s="4">
        <f t="shared" si="71"/>
        <v>105.07575</v>
      </c>
      <c r="G1064" s="5">
        <f t="shared" si="72"/>
        <v>0.31947069943289225</v>
      </c>
      <c r="H1064" s="2" t="s">
        <v>815</v>
      </c>
      <c r="I1064" s="6" t="s">
        <v>74</v>
      </c>
      <c r="J1064" s="2" t="s">
        <v>816</v>
      </c>
      <c r="K1064" s="2" t="s">
        <v>817</v>
      </c>
      <c r="L1064" s="2" t="s">
        <v>28</v>
      </c>
      <c r="M1064" s="2" t="s">
        <v>5</v>
      </c>
      <c r="N1064" s="4">
        <v>32049.71</v>
      </c>
    </row>
    <row r="1065" spans="1:14" x14ac:dyDescent="0.25">
      <c r="A1065" s="2" t="s">
        <v>203</v>
      </c>
      <c r="B1065" s="2" t="s">
        <v>204</v>
      </c>
      <c r="C1065" s="3">
        <v>101.45</v>
      </c>
      <c r="D1065" s="4">
        <v>1318.85</v>
      </c>
      <c r="E1065" s="4">
        <v>507.25</v>
      </c>
      <c r="F1065" s="4">
        <f t="shared" si="71"/>
        <v>811.59999999999991</v>
      </c>
      <c r="G1065" s="5">
        <f t="shared" si="72"/>
        <v>0.61538461538461531</v>
      </c>
      <c r="H1065" s="2" t="s">
        <v>815</v>
      </c>
      <c r="I1065" s="6" t="s">
        <v>74</v>
      </c>
      <c r="J1065" s="2" t="s">
        <v>816</v>
      </c>
      <c r="K1065" s="2" t="s">
        <v>817</v>
      </c>
      <c r="L1065" s="2" t="s">
        <v>28</v>
      </c>
      <c r="M1065" s="2" t="s">
        <v>5</v>
      </c>
      <c r="N1065" s="4">
        <v>32049.71</v>
      </c>
    </row>
    <row r="1066" spans="1:14" x14ac:dyDescent="0.25">
      <c r="A1066" s="2" t="s">
        <v>118</v>
      </c>
      <c r="B1066" s="2" t="s">
        <v>119</v>
      </c>
      <c r="C1066" s="3">
        <v>84</v>
      </c>
      <c r="D1066" s="4">
        <v>882</v>
      </c>
      <c r="E1066" s="4">
        <v>630</v>
      </c>
      <c r="F1066" s="4">
        <f t="shared" si="71"/>
        <v>252</v>
      </c>
      <c r="G1066" s="5">
        <f t="shared" si="72"/>
        <v>0.2857142857142857</v>
      </c>
      <c r="H1066" s="2" t="s">
        <v>815</v>
      </c>
      <c r="I1066" s="6" t="s">
        <v>74</v>
      </c>
      <c r="J1066" s="2" t="s">
        <v>816</v>
      </c>
      <c r="K1066" s="2" t="s">
        <v>817</v>
      </c>
      <c r="L1066" s="2" t="s">
        <v>28</v>
      </c>
      <c r="M1066" s="2" t="s">
        <v>5</v>
      </c>
      <c r="N1066" s="4">
        <v>32049.71</v>
      </c>
    </row>
    <row r="1067" spans="1:14" x14ac:dyDescent="0.25">
      <c r="A1067" s="2" t="s">
        <v>156</v>
      </c>
      <c r="B1067" s="2" t="s">
        <v>157</v>
      </c>
      <c r="C1067" s="3">
        <v>105.685</v>
      </c>
      <c r="D1067" s="4">
        <v>1254.4809499999999</v>
      </c>
      <c r="E1067" s="4">
        <v>951.16499999999996</v>
      </c>
      <c r="F1067" s="4">
        <f t="shared" si="71"/>
        <v>303.31594999999993</v>
      </c>
      <c r="G1067" s="5">
        <f t="shared" si="72"/>
        <v>0.24178601516427967</v>
      </c>
      <c r="H1067" s="2" t="s">
        <v>815</v>
      </c>
      <c r="I1067" s="6" t="s">
        <v>74</v>
      </c>
      <c r="J1067" s="2" t="s">
        <v>816</v>
      </c>
      <c r="K1067" s="2" t="s">
        <v>817</v>
      </c>
      <c r="L1067" s="2" t="s">
        <v>28</v>
      </c>
      <c r="M1067" s="2" t="s">
        <v>5</v>
      </c>
      <c r="N1067" s="4">
        <v>32049.71</v>
      </c>
    </row>
    <row r="1068" spans="1:14" x14ac:dyDescent="0.25">
      <c r="A1068" s="2" t="s">
        <v>709</v>
      </c>
      <c r="B1068" s="2" t="s">
        <v>710</v>
      </c>
      <c r="C1068" s="3">
        <v>10.4</v>
      </c>
      <c r="D1068" s="4">
        <v>148.19999999999999</v>
      </c>
      <c r="E1068" s="4">
        <v>107.64</v>
      </c>
      <c r="F1068" s="4">
        <f t="shared" si="71"/>
        <v>40.559999999999988</v>
      </c>
      <c r="G1068" s="5">
        <f t="shared" si="72"/>
        <v>0.27368421052631575</v>
      </c>
      <c r="H1068" s="2" t="s">
        <v>815</v>
      </c>
      <c r="I1068" s="6" t="s">
        <v>74</v>
      </c>
      <c r="J1068" s="2" t="s">
        <v>816</v>
      </c>
      <c r="K1068" s="2" t="s">
        <v>817</v>
      </c>
      <c r="L1068" s="2" t="s">
        <v>28</v>
      </c>
      <c r="M1068" s="2" t="s">
        <v>5</v>
      </c>
      <c r="N1068" s="4">
        <v>32049.71</v>
      </c>
    </row>
    <row r="1069" spans="1:14" x14ac:dyDescent="0.25">
      <c r="A1069" s="2" t="s">
        <v>622</v>
      </c>
      <c r="B1069" s="2" t="s">
        <v>623</v>
      </c>
      <c r="C1069" s="3">
        <v>64</v>
      </c>
      <c r="D1069" s="4">
        <v>1187.2</v>
      </c>
      <c r="E1069" s="4">
        <v>896</v>
      </c>
      <c r="F1069" s="4">
        <f t="shared" si="71"/>
        <v>291.20000000000005</v>
      </c>
      <c r="G1069" s="5">
        <f t="shared" si="72"/>
        <v>0.24528301886792456</v>
      </c>
      <c r="H1069" s="2" t="s">
        <v>815</v>
      </c>
      <c r="I1069" s="6" t="s">
        <v>74</v>
      </c>
      <c r="J1069" s="2" t="s">
        <v>816</v>
      </c>
      <c r="K1069" s="2" t="s">
        <v>817</v>
      </c>
      <c r="L1069" s="2" t="s">
        <v>28</v>
      </c>
      <c r="M1069" s="2" t="s">
        <v>5</v>
      </c>
      <c r="N1069" s="4">
        <v>32049.71</v>
      </c>
    </row>
    <row r="1070" spans="1:14" x14ac:dyDescent="0.25">
      <c r="A1070" s="2" t="s">
        <v>51</v>
      </c>
      <c r="B1070" s="2" t="s">
        <v>52</v>
      </c>
      <c r="C1070" s="3">
        <v>109.82</v>
      </c>
      <c r="D1070" s="4">
        <v>1796.6551999999999</v>
      </c>
      <c r="E1070" s="4">
        <v>1812.03</v>
      </c>
      <c r="F1070" s="4">
        <f t="shared" si="71"/>
        <v>-15.37480000000005</v>
      </c>
      <c r="G1070" s="5">
        <f t="shared" si="72"/>
        <v>-8.5574572127139654E-3</v>
      </c>
      <c r="H1070" s="2" t="s">
        <v>815</v>
      </c>
      <c r="I1070" s="6" t="s">
        <v>74</v>
      </c>
      <c r="J1070" s="2" t="s">
        <v>816</v>
      </c>
      <c r="K1070" s="2" t="s">
        <v>817</v>
      </c>
      <c r="L1070" s="2" t="s">
        <v>28</v>
      </c>
      <c r="M1070" s="2" t="s">
        <v>5</v>
      </c>
      <c r="N1070" s="4">
        <v>32049.71</v>
      </c>
    </row>
    <row r="1071" spans="1:14" x14ac:dyDescent="0.25">
      <c r="A1071" s="2" t="s">
        <v>581</v>
      </c>
      <c r="B1071" s="2" t="s">
        <v>582</v>
      </c>
      <c r="C1071" s="3">
        <v>105.68</v>
      </c>
      <c r="D1071" s="4">
        <v>1465.7816</v>
      </c>
      <c r="E1071" s="4">
        <v>919.41600000000005</v>
      </c>
      <c r="F1071" s="4">
        <f t="shared" si="71"/>
        <v>546.36559999999997</v>
      </c>
      <c r="G1071" s="5">
        <f t="shared" si="72"/>
        <v>0.3727469358327325</v>
      </c>
      <c r="H1071" s="2" t="s">
        <v>815</v>
      </c>
      <c r="I1071" s="6" t="s">
        <v>74</v>
      </c>
      <c r="J1071" s="2" t="s">
        <v>816</v>
      </c>
      <c r="K1071" s="2" t="s">
        <v>817</v>
      </c>
      <c r="L1071" s="2" t="s">
        <v>28</v>
      </c>
      <c r="M1071" s="2" t="s">
        <v>5</v>
      </c>
      <c r="N1071" s="4">
        <v>32049.71</v>
      </c>
    </row>
    <row r="1072" spans="1:14" x14ac:dyDescent="0.25">
      <c r="A1072" s="2" t="s">
        <v>215</v>
      </c>
      <c r="B1072" s="2" t="s">
        <v>216</v>
      </c>
      <c r="C1072" s="3">
        <v>91.68</v>
      </c>
      <c r="D1072" s="4">
        <v>1924.3632</v>
      </c>
      <c r="E1072" s="4">
        <v>1398.12</v>
      </c>
      <c r="F1072" s="4">
        <f t="shared" si="71"/>
        <v>526.24320000000012</v>
      </c>
      <c r="G1072" s="5">
        <f t="shared" si="72"/>
        <v>0.27346355407336831</v>
      </c>
      <c r="H1072" s="2" t="s">
        <v>815</v>
      </c>
      <c r="I1072" s="6" t="s">
        <v>74</v>
      </c>
      <c r="J1072" s="2" t="s">
        <v>816</v>
      </c>
      <c r="K1072" s="2" t="s">
        <v>817</v>
      </c>
      <c r="L1072" s="2" t="s">
        <v>28</v>
      </c>
      <c r="M1072" s="2" t="s">
        <v>5</v>
      </c>
      <c r="N1072" s="4">
        <v>32049.71</v>
      </c>
    </row>
    <row r="1073" spans="1:14" x14ac:dyDescent="0.25">
      <c r="A1073" s="2" t="s">
        <v>624</v>
      </c>
      <c r="B1073" s="2" t="s">
        <v>625</v>
      </c>
      <c r="C1073" s="3">
        <v>76.3</v>
      </c>
      <c r="D1073" s="4">
        <v>914.83699999999999</v>
      </c>
      <c r="E1073" s="4">
        <v>572.25</v>
      </c>
      <c r="F1073" s="4">
        <f t="shared" si="71"/>
        <v>342.58699999999999</v>
      </c>
      <c r="G1073" s="5">
        <f t="shared" si="72"/>
        <v>0.37447873227689743</v>
      </c>
      <c r="H1073" s="2" t="s">
        <v>815</v>
      </c>
      <c r="I1073" s="6" t="s">
        <v>74</v>
      </c>
      <c r="J1073" s="2" t="s">
        <v>816</v>
      </c>
      <c r="K1073" s="2" t="s">
        <v>817</v>
      </c>
      <c r="L1073" s="2" t="s">
        <v>28</v>
      </c>
      <c r="M1073" s="2" t="s">
        <v>5</v>
      </c>
      <c r="N1073" s="4">
        <v>32049.71</v>
      </c>
    </row>
    <row r="1074" spans="1:14" x14ac:dyDescent="0.25">
      <c r="A1074" s="2" t="s">
        <v>818</v>
      </c>
      <c r="B1074" s="2" t="s">
        <v>819</v>
      </c>
      <c r="C1074" s="3">
        <v>105.515</v>
      </c>
      <c r="D1074" s="4">
        <v>1260.90425</v>
      </c>
      <c r="E1074" s="4">
        <v>717.50199999999995</v>
      </c>
      <c r="F1074" s="4">
        <f t="shared" si="71"/>
        <v>543.40225000000009</v>
      </c>
      <c r="G1074" s="5">
        <f t="shared" si="72"/>
        <v>0.43096234309623438</v>
      </c>
      <c r="H1074" s="2" t="s">
        <v>815</v>
      </c>
      <c r="I1074" s="6" t="s">
        <v>74</v>
      </c>
      <c r="J1074" s="2" t="s">
        <v>816</v>
      </c>
      <c r="K1074" s="2" t="s">
        <v>817</v>
      </c>
      <c r="L1074" s="2" t="s">
        <v>28</v>
      </c>
      <c r="M1074" s="2" t="s">
        <v>5</v>
      </c>
      <c r="N1074" s="4">
        <v>32049.71</v>
      </c>
    </row>
    <row r="1075" spans="1:14" x14ac:dyDescent="0.25">
      <c r="A1075" s="2" t="s">
        <v>646</v>
      </c>
      <c r="B1075" s="2" t="s">
        <v>647</v>
      </c>
      <c r="C1075" s="3">
        <v>105.27</v>
      </c>
      <c r="D1075" s="4">
        <v>4300.2794999999996</v>
      </c>
      <c r="E1075" s="4">
        <v>3263.37</v>
      </c>
      <c r="F1075" s="4">
        <f t="shared" si="71"/>
        <v>1036.9094999999998</v>
      </c>
      <c r="G1075" s="5">
        <f t="shared" si="72"/>
        <v>0.24112607099143202</v>
      </c>
      <c r="H1075" s="2" t="s">
        <v>815</v>
      </c>
      <c r="I1075" s="6" t="s">
        <v>74</v>
      </c>
      <c r="J1075" s="2" t="s">
        <v>816</v>
      </c>
      <c r="K1075" s="2" t="s">
        <v>817</v>
      </c>
      <c r="L1075" s="2" t="s">
        <v>28</v>
      </c>
      <c r="M1075" s="2" t="s">
        <v>5</v>
      </c>
      <c r="N1075" s="4">
        <v>32049.71</v>
      </c>
    </row>
    <row r="1076" spans="1:14" x14ac:dyDescent="0.25">
      <c r="A1076" s="2" t="s">
        <v>136</v>
      </c>
      <c r="B1076" s="2" t="s">
        <v>137</v>
      </c>
      <c r="C1076" s="3">
        <v>78.55</v>
      </c>
      <c r="D1076" s="4">
        <v>1885.2</v>
      </c>
      <c r="E1076" s="4">
        <v>1099.7</v>
      </c>
      <c r="F1076" s="4">
        <f t="shared" si="71"/>
        <v>785.5</v>
      </c>
      <c r="G1076" s="5">
        <f t="shared" si="72"/>
        <v>0.41666666666666663</v>
      </c>
      <c r="H1076" s="2" t="s">
        <v>815</v>
      </c>
      <c r="I1076" s="6" t="s">
        <v>74</v>
      </c>
      <c r="J1076" s="2" t="s">
        <v>816</v>
      </c>
      <c r="K1076" s="2" t="s">
        <v>817</v>
      </c>
      <c r="L1076" s="2" t="s">
        <v>28</v>
      </c>
      <c r="M1076" s="2" t="s">
        <v>5</v>
      </c>
      <c r="N1076" s="4">
        <v>32049.71</v>
      </c>
    </row>
    <row r="1077" spans="1:14" x14ac:dyDescent="0.25">
      <c r="A1077" s="2" t="s">
        <v>250</v>
      </c>
      <c r="B1077" s="2" t="s">
        <v>251</v>
      </c>
      <c r="C1077" s="3">
        <v>103.9</v>
      </c>
      <c r="D1077" s="4">
        <v>1308.1010000000001</v>
      </c>
      <c r="E1077" s="4">
        <v>883.15</v>
      </c>
      <c r="F1077" s="4">
        <f t="shared" si="71"/>
        <v>424.95100000000014</v>
      </c>
      <c r="G1077" s="5">
        <f t="shared" si="72"/>
        <v>0.32486100079428126</v>
      </c>
      <c r="H1077" s="2" t="s">
        <v>815</v>
      </c>
      <c r="I1077" s="6" t="s">
        <v>74</v>
      </c>
      <c r="J1077" s="2" t="s">
        <v>816</v>
      </c>
      <c r="K1077" s="2" t="s">
        <v>817</v>
      </c>
      <c r="L1077" s="2" t="s">
        <v>28</v>
      </c>
      <c r="M1077" s="2" t="s">
        <v>5</v>
      </c>
      <c r="N1077" s="4">
        <v>32049.71</v>
      </c>
    </row>
    <row r="1078" spans="1:14" x14ac:dyDescent="0.25">
      <c r="A1078" s="2" t="s">
        <v>591</v>
      </c>
      <c r="B1078" s="2" t="s">
        <v>592</v>
      </c>
      <c r="C1078" s="3">
        <v>88.655000000000001</v>
      </c>
      <c r="D1078" s="4">
        <v>824.49149999999997</v>
      </c>
      <c r="E1078" s="4">
        <v>514.19899999999996</v>
      </c>
      <c r="F1078" s="4">
        <f t="shared" si="71"/>
        <v>310.29250000000002</v>
      </c>
      <c r="G1078" s="5">
        <f t="shared" si="72"/>
        <v>0.37634408602150543</v>
      </c>
      <c r="H1078" s="2" t="s">
        <v>815</v>
      </c>
      <c r="I1078" s="6" t="s">
        <v>74</v>
      </c>
      <c r="J1078" s="2" t="s">
        <v>816</v>
      </c>
      <c r="K1078" s="2" t="s">
        <v>817</v>
      </c>
      <c r="L1078" s="2" t="s">
        <v>28</v>
      </c>
      <c r="M1078" s="2" t="s">
        <v>5</v>
      </c>
      <c r="N1078" s="4">
        <v>32049.71</v>
      </c>
    </row>
    <row r="1079" spans="1:14" x14ac:dyDescent="0.25">
      <c r="A1079" s="2" t="s">
        <v>593</v>
      </c>
      <c r="B1079" s="2" t="s">
        <v>594</v>
      </c>
      <c r="C1079" s="3">
        <v>88.59</v>
      </c>
      <c r="D1079" s="4">
        <v>823.88699999999994</v>
      </c>
      <c r="E1079" s="4">
        <v>513.822</v>
      </c>
      <c r="F1079" s="4">
        <f t="shared" si="71"/>
        <v>310.06499999999994</v>
      </c>
      <c r="G1079" s="5">
        <f t="shared" si="72"/>
        <v>0.37634408602150532</v>
      </c>
      <c r="H1079" s="2" t="s">
        <v>815</v>
      </c>
      <c r="I1079" s="6" t="s">
        <v>74</v>
      </c>
      <c r="J1079" s="2" t="s">
        <v>816</v>
      </c>
      <c r="K1079" s="2" t="s">
        <v>817</v>
      </c>
      <c r="L1079" s="2" t="s">
        <v>28</v>
      </c>
      <c r="M1079" s="2" t="s">
        <v>5</v>
      </c>
      <c r="N1079" s="4">
        <v>32049.71</v>
      </c>
    </row>
    <row r="1080" spans="1:14" x14ac:dyDescent="0.25">
      <c r="A1080" s="2" t="s">
        <v>187</v>
      </c>
      <c r="B1080" s="2" t="s">
        <v>188</v>
      </c>
      <c r="C1080" s="3">
        <v>111.82</v>
      </c>
      <c r="D1080" s="4">
        <v>3635.2682</v>
      </c>
      <c r="E1080" s="4">
        <v>2460.04</v>
      </c>
      <c r="F1080" s="4">
        <f t="shared" si="71"/>
        <v>1175.2282</v>
      </c>
      <c r="G1080" s="5">
        <f t="shared" si="72"/>
        <v>0.32328514303291295</v>
      </c>
      <c r="H1080" s="2" t="s">
        <v>815</v>
      </c>
      <c r="I1080" s="6" t="s">
        <v>74</v>
      </c>
      <c r="J1080" s="2" t="s">
        <v>816</v>
      </c>
      <c r="K1080" s="2" t="s">
        <v>817</v>
      </c>
      <c r="L1080" s="2" t="s">
        <v>28</v>
      </c>
      <c r="M1080" s="2" t="s">
        <v>5</v>
      </c>
      <c r="N1080" s="4">
        <v>32049.71</v>
      </c>
    </row>
    <row r="1081" spans="1:14" x14ac:dyDescent="0.25">
      <c r="A1081" s="2" t="s">
        <v>595</v>
      </c>
      <c r="B1081" s="2" t="s">
        <v>596</v>
      </c>
      <c r="C1081" s="3">
        <v>29.72</v>
      </c>
      <c r="D1081" s="4">
        <v>572.70439999999996</v>
      </c>
      <c r="E1081" s="4">
        <v>444.31400000000002</v>
      </c>
      <c r="F1081" s="4">
        <f t="shared" si="71"/>
        <v>128.39039999999994</v>
      </c>
      <c r="G1081" s="5">
        <f t="shared" si="72"/>
        <v>0.22418266735858838</v>
      </c>
      <c r="H1081" s="2" t="s">
        <v>815</v>
      </c>
      <c r="I1081" s="6" t="s">
        <v>74</v>
      </c>
      <c r="J1081" s="2" t="s">
        <v>816</v>
      </c>
      <c r="K1081" s="2" t="s">
        <v>817</v>
      </c>
      <c r="L1081" s="2" t="s">
        <v>28</v>
      </c>
      <c r="M1081" s="2" t="s">
        <v>5</v>
      </c>
      <c r="N1081" s="4">
        <v>32049.71</v>
      </c>
    </row>
    <row r="1082" spans="1:14" x14ac:dyDescent="0.25">
      <c r="A1082" s="2" t="s">
        <v>820</v>
      </c>
      <c r="B1082" s="2" t="s">
        <v>821</v>
      </c>
      <c r="C1082" s="3">
        <v>103.71</v>
      </c>
      <c r="D1082" s="4">
        <v>1555.65</v>
      </c>
      <c r="E1082" s="4">
        <v>622.26</v>
      </c>
      <c r="F1082" s="4">
        <f t="shared" si="71"/>
        <v>933.3900000000001</v>
      </c>
      <c r="G1082" s="5">
        <f t="shared" si="72"/>
        <v>0.6</v>
      </c>
      <c r="H1082" s="2" t="s">
        <v>822</v>
      </c>
      <c r="I1082" s="6" t="s">
        <v>74</v>
      </c>
      <c r="J1082" s="2" t="s">
        <v>823</v>
      </c>
      <c r="K1082" s="2" t="s">
        <v>824</v>
      </c>
      <c r="L1082" s="2" t="s">
        <v>28</v>
      </c>
      <c r="M1082" s="2" t="s">
        <v>5</v>
      </c>
      <c r="N1082" s="4">
        <v>1555.65</v>
      </c>
    </row>
    <row r="1084" spans="1:14" x14ac:dyDescent="0.25">
      <c r="A1084" s="13" t="s">
        <v>59</v>
      </c>
      <c r="B1084" s="21"/>
      <c r="C1084" s="22">
        <f>SUM(C1055:C1083)</f>
        <v>2113.96</v>
      </c>
      <c r="D1084" s="23">
        <f>SUM(D1055:D1083)</f>
        <v>33605.357649999998</v>
      </c>
      <c r="E1084" s="23">
        <f>SUM(E1055:E1083)</f>
        <v>23328.91</v>
      </c>
      <c r="F1084" s="23">
        <f>D1084-E1084</f>
        <v>10276.447649999998</v>
      </c>
      <c r="G1084" s="24">
        <f>IF(((D1084)=0),0,(D1084-E1084)/ D1084)</f>
        <v>0.30579789559240111</v>
      </c>
      <c r="H1084" s="21"/>
      <c r="I1084" s="21"/>
      <c r="J1084" s="21"/>
      <c r="K1084" s="21"/>
      <c r="L1084" s="21"/>
      <c r="M1084" s="21"/>
      <c r="N1084" s="21"/>
    </row>
    <row r="1086" spans="1:14" s="17" customFormat="1" ht="18.75" x14ac:dyDescent="0.3"/>
    <row r="1087" spans="1:14" s="7" customFormat="1" x14ac:dyDescent="0.25">
      <c r="A1087" s="13" t="s">
        <v>825</v>
      </c>
      <c r="B1087" s="18" t="s">
        <v>826</v>
      </c>
      <c r="C1087" s="19"/>
      <c r="D1087" s="20" t="s">
        <v>5</v>
      </c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</row>
    <row r="1089" spans="1:14" x14ac:dyDescent="0.25">
      <c r="A1089" s="2" t="s">
        <v>146</v>
      </c>
      <c r="B1089" s="2" t="s">
        <v>147</v>
      </c>
      <c r="C1089" s="3">
        <v>8.75</v>
      </c>
      <c r="D1089" s="4">
        <v>133.96250000000001</v>
      </c>
      <c r="E1089" s="4">
        <v>98.875</v>
      </c>
      <c r="F1089" s="4">
        <f t="shared" ref="F1089:F1114" si="73">D1089-E1089</f>
        <v>35.087500000000006</v>
      </c>
      <c r="G1089" s="5">
        <f t="shared" ref="G1089:G1114" si="74">IF(((D1089)=0),0,(D1089-E1089)/ D1089)</f>
        <v>0.26192031352057482</v>
      </c>
      <c r="H1089" s="2" t="s">
        <v>827</v>
      </c>
      <c r="I1089" s="6" t="s">
        <v>32</v>
      </c>
      <c r="J1089" s="2" t="s">
        <v>828</v>
      </c>
      <c r="K1089" s="2" t="s">
        <v>5</v>
      </c>
      <c r="L1089" s="2" t="s">
        <v>28</v>
      </c>
      <c r="M1089" s="2" t="s">
        <v>5</v>
      </c>
      <c r="N1089" s="4">
        <v>2951.87</v>
      </c>
    </row>
    <row r="1090" spans="1:14" x14ac:dyDescent="0.25">
      <c r="A1090" s="2" t="s">
        <v>41</v>
      </c>
      <c r="B1090" s="2" t="s">
        <v>42</v>
      </c>
      <c r="C1090" s="3">
        <v>4.9249999999999998</v>
      </c>
      <c r="D1090" s="4">
        <v>86.236750000000001</v>
      </c>
      <c r="E1090" s="4">
        <v>57.868749999999999</v>
      </c>
      <c r="F1090" s="4">
        <f t="shared" si="73"/>
        <v>28.368000000000002</v>
      </c>
      <c r="G1090" s="5">
        <f t="shared" si="74"/>
        <v>0.3289548829240434</v>
      </c>
      <c r="H1090" s="2" t="s">
        <v>829</v>
      </c>
      <c r="I1090" s="6" t="s">
        <v>39</v>
      </c>
      <c r="J1090" s="2" t="s">
        <v>830</v>
      </c>
      <c r="K1090" s="2" t="s">
        <v>5</v>
      </c>
      <c r="L1090" s="2" t="s">
        <v>28</v>
      </c>
      <c r="M1090" s="2" t="s">
        <v>5</v>
      </c>
      <c r="N1090" s="4">
        <v>2164.27</v>
      </c>
    </row>
    <row r="1091" spans="1:14" x14ac:dyDescent="0.25">
      <c r="A1091" s="2" t="s">
        <v>118</v>
      </c>
      <c r="B1091" s="2" t="s">
        <v>119</v>
      </c>
      <c r="C1091" s="3">
        <v>5.63</v>
      </c>
      <c r="D1091" s="4">
        <v>92.106800000000007</v>
      </c>
      <c r="E1091" s="4">
        <v>42.225000000000001</v>
      </c>
      <c r="F1091" s="4">
        <f t="shared" si="73"/>
        <v>49.881800000000005</v>
      </c>
      <c r="G1091" s="5">
        <f t="shared" si="74"/>
        <v>0.54156479217603914</v>
      </c>
      <c r="H1091" s="2" t="s">
        <v>829</v>
      </c>
      <c r="I1091" s="6" t="s">
        <v>39</v>
      </c>
      <c r="J1091" s="2" t="s">
        <v>830</v>
      </c>
      <c r="K1091" s="2" t="s">
        <v>5</v>
      </c>
      <c r="L1091" s="2" t="s">
        <v>28</v>
      </c>
      <c r="M1091" s="2" t="s">
        <v>5</v>
      </c>
      <c r="N1091" s="4">
        <v>2164.27</v>
      </c>
    </row>
    <row r="1092" spans="1:14" x14ac:dyDescent="0.25">
      <c r="A1092" s="2" t="s">
        <v>152</v>
      </c>
      <c r="B1092" s="2" t="s">
        <v>153</v>
      </c>
      <c r="C1092" s="3">
        <v>35</v>
      </c>
      <c r="D1092" s="4">
        <v>574.70000000000005</v>
      </c>
      <c r="E1092" s="4">
        <v>241.5</v>
      </c>
      <c r="F1092" s="4">
        <f t="shared" si="73"/>
        <v>333.20000000000005</v>
      </c>
      <c r="G1092" s="5">
        <f t="shared" si="74"/>
        <v>0.57978075517661387</v>
      </c>
      <c r="H1092" s="2" t="s">
        <v>829</v>
      </c>
      <c r="I1092" s="6" t="s">
        <v>39</v>
      </c>
      <c r="J1092" s="2" t="s">
        <v>830</v>
      </c>
      <c r="K1092" s="2" t="s">
        <v>5</v>
      </c>
      <c r="L1092" s="2" t="s">
        <v>28</v>
      </c>
      <c r="M1092" s="2" t="s">
        <v>5</v>
      </c>
      <c r="N1092" s="4">
        <v>2164.27</v>
      </c>
    </row>
    <row r="1093" spans="1:14" x14ac:dyDescent="0.25">
      <c r="A1093" s="2" t="s">
        <v>556</v>
      </c>
      <c r="B1093" s="2" t="s">
        <v>557</v>
      </c>
      <c r="C1093" s="3">
        <v>22.55</v>
      </c>
      <c r="D1093" s="4">
        <v>394.85050000000001</v>
      </c>
      <c r="E1093" s="4">
        <v>208.58750000000001</v>
      </c>
      <c r="F1093" s="4">
        <f t="shared" si="73"/>
        <v>186.26300000000001</v>
      </c>
      <c r="G1093" s="5">
        <f t="shared" si="74"/>
        <v>0.47173043974871504</v>
      </c>
      <c r="H1093" s="2" t="s">
        <v>827</v>
      </c>
      <c r="I1093" s="6" t="s">
        <v>32</v>
      </c>
      <c r="J1093" s="2" t="s">
        <v>828</v>
      </c>
      <c r="K1093" s="2" t="s">
        <v>5</v>
      </c>
      <c r="L1093" s="2" t="s">
        <v>28</v>
      </c>
      <c r="M1093" s="2" t="s">
        <v>5</v>
      </c>
      <c r="N1093" s="4">
        <v>2951.87</v>
      </c>
    </row>
    <row r="1094" spans="1:14" x14ac:dyDescent="0.25">
      <c r="A1094" s="2" t="s">
        <v>312</v>
      </c>
      <c r="B1094" s="2" t="s">
        <v>313</v>
      </c>
      <c r="C1094" s="3">
        <v>5.1100000000000003</v>
      </c>
      <c r="D1094" s="4">
        <v>83.906199999999998</v>
      </c>
      <c r="E1094" s="4">
        <v>35.259</v>
      </c>
      <c r="F1094" s="4">
        <f t="shared" si="73"/>
        <v>48.647199999999998</v>
      </c>
      <c r="G1094" s="5">
        <f t="shared" si="74"/>
        <v>0.57978075517661387</v>
      </c>
      <c r="H1094" s="2" t="s">
        <v>827</v>
      </c>
      <c r="I1094" s="6" t="s">
        <v>32</v>
      </c>
      <c r="J1094" s="2" t="s">
        <v>828</v>
      </c>
      <c r="K1094" s="2" t="s">
        <v>5</v>
      </c>
      <c r="L1094" s="2" t="s">
        <v>28</v>
      </c>
      <c r="M1094" s="2" t="s">
        <v>5</v>
      </c>
      <c r="N1094" s="4">
        <v>2951.87</v>
      </c>
    </row>
    <row r="1095" spans="1:14" x14ac:dyDescent="0.25">
      <c r="A1095" s="2" t="s">
        <v>831</v>
      </c>
      <c r="B1095" s="2" t="s">
        <v>832</v>
      </c>
      <c r="C1095" s="3">
        <v>5.88</v>
      </c>
      <c r="D1095" s="4">
        <v>148.1172</v>
      </c>
      <c r="E1095" s="4">
        <v>72.912000000000006</v>
      </c>
      <c r="F1095" s="4">
        <f t="shared" si="73"/>
        <v>75.205199999999991</v>
      </c>
      <c r="G1095" s="5">
        <f t="shared" si="74"/>
        <v>0.50774116712981332</v>
      </c>
      <c r="H1095" s="2" t="s">
        <v>829</v>
      </c>
      <c r="I1095" s="6" t="s">
        <v>39</v>
      </c>
      <c r="J1095" s="2" t="s">
        <v>830</v>
      </c>
      <c r="K1095" s="2" t="s">
        <v>5</v>
      </c>
      <c r="L1095" s="2" t="s">
        <v>28</v>
      </c>
      <c r="M1095" s="2" t="s">
        <v>5</v>
      </c>
      <c r="N1095" s="4">
        <v>2164.27</v>
      </c>
    </row>
    <row r="1096" spans="1:14" x14ac:dyDescent="0.25">
      <c r="A1096" s="2" t="s">
        <v>831</v>
      </c>
      <c r="B1096" s="2" t="s">
        <v>832</v>
      </c>
      <c r="C1096" s="3">
        <v>6.08</v>
      </c>
      <c r="D1096" s="4">
        <v>153.15520000000001</v>
      </c>
      <c r="E1096" s="4">
        <v>75.391999999999996</v>
      </c>
      <c r="F1096" s="4">
        <f t="shared" si="73"/>
        <v>77.763200000000012</v>
      </c>
      <c r="G1096" s="5">
        <f t="shared" si="74"/>
        <v>0.50774116712981343</v>
      </c>
      <c r="H1096" s="2" t="s">
        <v>827</v>
      </c>
      <c r="I1096" s="6" t="s">
        <v>32</v>
      </c>
      <c r="J1096" s="2" t="s">
        <v>828</v>
      </c>
      <c r="K1096" s="2" t="s">
        <v>5</v>
      </c>
      <c r="L1096" s="2" t="s">
        <v>28</v>
      </c>
      <c r="M1096" s="2" t="s">
        <v>5</v>
      </c>
      <c r="N1096" s="4">
        <v>2951.87</v>
      </c>
    </row>
    <row r="1097" spans="1:14" x14ac:dyDescent="0.25">
      <c r="A1097" s="2" t="s">
        <v>51</v>
      </c>
      <c r="B1097" s="2" t="s">
        <v>52</v>
      </c>
      <c r="C1097" s="3">
        <v>5.53</v>
      </c>
      <c r="D1097" s="4">
        <v>102.91330000000001</v>
      </c>
      <c r="E1097" s="4">
        <v>91.245000000000005</v>
      </c>
      <c r="F1097" s="4">
        <f t="shared" si="73"/>
        <v>11.668300000000002</v>
      </c>
      <c r="G1097" s="5">
        <f t="shared" si="74"/>
        <v>0.11337990327780764</v>
      </c>
      <c r="H1097" s="2" t="s">
        <v>829</v>
      </c>
      <c r="I1097" s="6" t="s">
        <v>39</v>
      </c>
      <c r="J1097" s="2" t="s">
        <v>830</v>
      </c>
      <c r="K1097" s="2" t="s">
        <v>5</v>
      </c>
      <c r="L1097" s="2" t="s">
        <v>28</v>
      </c>
      <c r="M1097" s="2" t="s">
        <v>5</v>
      </c>
      <c r="N1097" s="4">
        <v>2164.27</v>
      </c>
    </row>
    <row r="1098" spans="1:14" x14ac:dyDescent="0.25">
      <c r="A1098" s="2" t="s">
        <v>215</v>
      </c>
      <c r="B1098" s="2" t="s">
        <v>216</v>
      </c>
      <c r="C1098" s="3">
        <v>4.3600000000000003</v>
      </c>
      <c r="D1098" s="4">
        <v>90.426400000000001</v>
      </c>
      <c r="E1098" s="4">
        <v>66.489999999999995</v>
      </c>
      <c r="F1098" s="4">
        <f t="shared" si="73"/>
        <v>23.936400000000006</v>
      </c>
      <c r="G1098" s="5">
        <f t="shared" si="74"/>
        <v>0.26470588235294124</v>
      </c>
      <c r="H1098" s="2" t="s">
        <v>829</v>
      </c>
      <c r="I1098" s="6" t="s">
        <v>39</v>
      </c>
      <c r="J1098" s="2" t="s">
        <v>830</v>
      </c>
      <c r="K1098" s="2" t="s">
        <v>5</v>
      </c>
      <c r="L1098" s="2" t="s">
        <v>28</v>
      </c>
      <c r="M1098" s="2" t="s">
        <v>5</v>
      </c>
      <c r="N1098" s="4">
        <v>2164.27</v>
      </c>
    </row>
    <row r="1099" spans="1:14" x14ac:dyDescent="0.25">
      <c r="A1099" s="2" t="s">
        <v>215</v>
      </c>
      <c r="B1099" s="2" t="s">
        <v>216</v>
      </c>
      <c r="C1099" s="3">
        <v>4.83</v>
      </c>
      <c r="D1099" s="4">
        <v>100.1742</v>
      </c>
      <c r="E1099" s="4">
        <v>73.657499999999999</v>
      </c>
      <c r="F1099" s="4">
        <f t="shared" si="73"/>
        <v>26.5167</v>
      </c>
      <c r="G1099" s="5">
        <f t="shared" si="74"/>
        <v>0.26470588235294118</v>
      </c>
      <c r="H1099" s="2" t="s">
        <v>827</v>
      </c>
      <c r="I1099" s="6" t="s">
        <v>32</v>
      </c>
      <c r="J1099" s="2" t="s">
        <v>828</v>
      </c>
      <c r="K1099" s="2" t="s">
        <v>5</v>
      </c>
      <c r="L1099" s="2" t="s">
        <v>28</v>
      </c>
      <c r="M1099" s="2" t="s">
        <v>5</v>
      </c>
      <c r="N1099" s="4">
        <v>2951.87</v>
      </c>
    </row>
    <row r="1100" spans="1:14" x14ac:dyDescent="0.25">
      <c r="A1100" s="2" t="s">
        <v>219</v>
      </c>
      <c r="B1100" s="2" t="s">
        <v>220</v>
      </c>
      <c r="C1100" s="3">
        <v>5.0599999999999996</v>
      </c>
      <c r="D1100" s="4">
        <v>77.721599999999995</v>
      </c>
      <c r="E1100" s="4">
        <v>48.07</v>
      </c>
      <c r="F1100" s="4">
        <f t="shared" si="73"/>
        <v>29.651599999999995</v>
      </c>
      <c r="G1100" s="5">
        <f t="shared" si="74"/>
        <v>0.38151041666666663</v>
      </c>
      <c r="H1100" s="2" t="s">
        <v>829</v>
      </c>
      <c r="I1100" s="6" t="s">
        <v>39</v>
      </c>
      <c r="J1100" s="2" t="s">
        <v>830</v>
      </c>
      <c r="K1100" s="2" t="s">
        <v>5</v>
      </c>
      <c r="L1100" s="2" t="s">
        <v>28</v>
      </c>
      <c r="M1100" s="2" t="s">
        <v>5</v>
      </c>
      <c r="N1100" s="4">
        <v>2164.27</v>
      </c>
    </row>
    <row r="1101" spans="1:14" x14ac:dyDescent="0.25">
      <c r="A1101" s="2" t="s">
        <v>134</v>
      </c>
      <c r="B1101" s="2" t="s">
        <v>135</v>
      </c>
      <c r="C1101" s="3">
        <v>4.3899999999999997</v>
      </c>
      <c r="D1101" s="4">
        <v>55.665199999999999</v>
      </c>
      <c r="E1101" s="4">
        <v>31.169</v>
      </c>
      <c r="F1101" s="4">
        <f t="shared" si="73"/>
        <v>24.496199999999998</v>
      </c>
      <c r="G1101" s="5">
        <f t="shared" si="74"/>
        <v>0.44006309148264983</v>
      </c>
      <c r="H1101" s="2" t="s">
        <v>827</v>
      </c>
      <c r="I1101" s="6" t="s">
        <v>32</v>
      </c>
      <c r="J1101" s="2" t="s">
        <v>828</v>
      </c>
      <c r="K1101" s="2" t="s">
        <v>5</v>
      </c>
      <c r="L1101" s="2" t="s">
        <v>28</v>
      </c>
      <c r="M1101" s="2" t="s">
        <v>5</v>
      </c>
      <c r="N1101" s="4">
        <v>2951.87</v>
      </c>
    </row>
    <row r="1102" spans="1:14" x14ac:dyDescent="0.25">
      <c r="A1102" s="2" t="s">
        <v>585</v>
      </c>
      <c r="B1102" s="2" t="s">
        <v>586</v>
      </c>
      <c r="C1102" s="3">
        <v>5.2279999999999998</v>
      </c>
      <c r="D1102" s="4">
        <v>102.10284</v>
      </c>
      <c r="E1102" s="4">
        <v>79.727000000000004</v>
      </c>
      <c r="F1102" s="4">
        <f t="shared" si="73"/>
        <v>22.375839999999997</v>
      </c>
      <c r="G1102" s="5">
        <f t="shared" si="74"/>
        <v>0.21915002560163846</v>
      </c>
      <c r="H1102" s="2" t="s">
        <v>827</v>
      </c>
      <c r="I1102" s="6" t="s">
        <v>32</v>
      </c>
      <c r="J1102" s="2" t="s">
        <v>828</v>
      </c>
      <c r="K1102" s="2" t="s">
        <v>5</v>
      </c>
      <c r="L1102" s="2" t="s">
        <v>28</v>
      </c>
      <c r="M1102" s="2" t="s">
        <v>5</v>
      </c>
      <c r="N1102" s="4">
        <v>2951.87</v>
      </c>
    </row>
    <row r="1103" spans="1:14" x14ac:dyDescent="0.25">
      <c r="A1103" s="2" t="s">
        <v>833</v>
      </c>
      <c r="B1103" s="2" t="s">
        <v>834</v>
      </c>
      <c r="C1103" s="3">
        <v>6.2</v>
      </c>
      <c r="D1103" s="4">
        <v>292.33</v>
      </c>
      <c r="E1103" s="4">
        <v>186</v>
      </c>
      <c r="F1103" s="4">
        <f t="shared" si="73"/>
        <v>106.32999999999998</v>
      </c>
      <c r="G1103" s="5">
        <f t="shared" si="74"/>
        <v>0.36373276776246022</v>
      </c>
      <c r="H1103" s="2" t="s">
        <v>827</v>
      </c>
      <c r="I1103" s="6" t="s">
        <v>32</v>
      </c>
      <c r="J1103" s="2" t="s">
        <v>828</v>
      </c>
      <c r="K1103" s="2" t="s">
        <v>5</v>
      </c>
      <c r="L1103" s="2" t="s">
        <v>28</v>
      </c>
      <c r="M1103" s="2" t="s">
        <v>5</v>
      </c>
      <c r="N1103" s="4">
        <v>2951.87</v>
      </c>
    </row>
    <row r="1104" spans="1:14" x14ac:dyDescent="0.25">
      <c r="A1104" s="2" t="s">
        <v>835</v>
      </c>
      <c r="B1104" s="2" t="s">
        <v>836</v>
      </c>
      <c r="C1104" s="3">
        <v>8.26</v>
      </c>
      <c r="D1104" s="4">
        <v>389.459</v>
      </c>
      <c r="E1104" s="4">
        <v>256.06</v>
      </c>
      <c r="F1104" s="4">
        <f t="shared" si="73"/>
        <v>133.399</v>
      </c>
      <c r="G1104" s="5">
        <f t="shared" si="74"/>
        <v>0.34252386002120888</v>
      </c>
      <c r="H1104" s="2" t="s">
        <v>829</v>
      </c>
      <c r="I1104" s="6" t="s">
        <v>39</v>
      </c>
      <c r="J1104" s="2" t="s">
        <v>830</v>
      </c>
      <c r="K1104" s="2" t="s">
        <v>5</v>
      </c>
      <c r="L1104" s="2" t="s">
        <v>28</v>
      </c>
      <c r="M1104" s="2" t="s">
        <v>5</v>
      </c>
      <c r="N1104" s="4">
        <v>2164.27</v>
      </c>
    </row>
    <row r="1105" spans="1:14" x14ac:dyDescent="0.25">
      <c r="A1105" s="2" t="s">
        <v>835</v>
      </c>
      <c r="B1105" s="2" t="s">
        <v>836</v>
      </c>
      <c r="C1105" s="3">
        <v>8.34</v>
      </c>
      <c r="D1105" s="4">
        <v>393.23099999999999</v>
      </c>
      <c r="E1105" s="4">
        <v>258.54000000000002</v>
      </c>
      <c r="F1105" s="4">
        <f t="shared" si="73"/>
        <v>134.69099999999997</v>
      </c>
      <c r="G1105" s="5">
        <f t="shared" si="74"/>
        <v>0.34252386002120883</v>
      </c>
      <c r="H1105" s="2" t="s">
        <v>827</v>
      </c>
      <c r="I1105" s="6" t="s">
        <v>32</v>
      </c>
      <c r="J1105" s="2" t="s">
        <v>828</v>
      </c>
      <c r="K1105" s="2" t="s">
        <v>5</v>
      </c>
      <c r="L1105" s="2" t="s">
        <v>28</v>
      </c>
      <c r="M1105" s="2" t="s">
        <v>5</v>
      </c>
      <c r="N1105" s="4">
        <v>2951.87</v>
      </c>
    </row>
    <row r="1106" spans="1:14" x14ac:dyDescent="0.25">
      <c r="A1106" s="2" t="s">
        <v>136</v>
      </c>
      <c r="B1106" s="2" t="s">
        <v>137</v>
      </c>
      <c r="C1106" s="3">
        <v>8.34</v>
      </c>
      <c r="D1106" s="4">
        <v>224.346</v>
      </c>
      <c r="E1106" s="4">
        <v>116.76</v>
      </c>
      <c r="F1106" s="4">
        <f t="shared" si="73"/>
        <v>107.586</v>
      </c>
      <c r="G1106" s="5">
        <f t="shared" si="74"/>
        <v>0.4795539033457249</v>
      </c>
      <c r="H1106" s="2" t="s">
        <v>827</v>
      </c>
      <c r="I1106" s="6" t="s">
        <v>32</v>
      </c>
      <c r="J1106" s="2" t="s">
        <v>828</v>
      </c>
      <c r="K1106" s="2" t="s">
        <v>5</v>
      </c>
      <c r="L1106" s="2" t="s">
        <v>28</v>
      </c>
      <c r="M1106" s="2" t="s">
        <v>5</v>
      </c>
      <c r="N1106" s="4">
        <v>2951.87</v>
      </c>
    </row>
    <row r="1107" spans="1:14" x14ac:dyDescent="0.25">
      <c r="A1107" s="2" t="s">
        <v>136</v>
      </c>
      <c r="B1107" s="2" t="s">
        <v>137</v>
      </c>
      <c r="C1107" s="3">
        <v>5.28</v>
      </c>
      <c r="D1107" s="4">
        <v>142.03200000000001</v>
      </c>
      <c r="E1107" s="4">
        <v>73.92</v>
      </c>
      <c r="F1107" s="4">
        <f t="shared" si="73"/>
        <v>68.112000000000009</v>
      </c>
      <c r="G1107" s="5">
        <f t="shared" si="74"/>
        <v>0.47955390334572495</v>
      </c>
      <c r="H1107" s="2" t="s">
        <v>829</v>
      </c>
      <c r="I1107" s="6" t="s">
        <v>39</v>
      </c>
      <c r="J1107" s="2" t="s">
        <v>830</v>
      </c>
      <c r="K1107" s="2" t="s">
        <v>5</v>
      </c>
      <c r="L1107" s="2" t="s">
        <v>28</v>
      </c>
      <c r="M1107" s="2" t="s">
        <v>5</v>
      </c>
      <c r="N1107" s="4">
        <v>2164.27</v>
      </c>
    </row>
    <row r="1108" spans="1:14" x14ac:dyDescent="0.25">
      <c r="A1108" s="2" t="s">
        <v>837</v>
      </c>
      <c r="B1108" s="2" t="s">
        <v>838</v>
      </c>
      <c r="C1108" s="3">
        <v>9.86</v>
      </c>
      <c r="D1108" s="4">
        <v>265.23399999999998</v>
      </c>
      <c r="E1108" s="4">
        <v>138.04</v>
      </c>
      <c r="F1108" s="4">
        <f t="shared" si="73"/>
        <v>127.19399999999999</v>
      </c>
      <c r="G1108" s="5">
        <f t="shared" si="74"/>
        <v>0.4795539033457249</v>
      </c>
      <c r="H1108" s="2" t="s">
        <v>827</v>
      </c>
      <c r="I1108" s="6" t="s">
        <v>32</v>
      </c>
      <c r="J1108" s="2" t="s">
        <v>828</v>
      </c>
      <c r="K1108" s="2" t="s">
        <v>5</v>
      </c>
      <c r="L1108" s="2" t="s">
        <v>28</v>
      </c>
      <c r="M1108" s="2" t="s">
        <v>5</v>
      </c>
      <c r="N1108" s="4">
        <v>2951.87</v>
      </c>
    </row>
    <row r="1109" spans="1:14" x14ac:dyDescent="0.25">
      <c r="A1109" s="2" t="s">
        <v>837</v>
      </c>
      <c r="B1109" s="2" t="s">
        <v>838</v>
      </c>
      <c r="C1109" s="3">
        <v>5.67</v>
      </c>
      <c r="D1109" s="4">
        <v>152.523</v>
      </c>
      <c r="E1109" s="4">
        <v>79.38</v>
      </c>
      <c r="F1109" s="4">
        <f t="shared" si="73"/>
        <v>73.143000000000001</v>
      </c>
      <c r="G1109" s="5">
        <f t="shared" si="74"/>
        <v>0.4795539033457249</v>
      </c>
      <c r="H1109" s="2" t="s">
        <v>829</v>
      </c>
      <c r="I1109" s="6" t="s">
        <v>39</v>
      </c>
      <c r="J1109" s="2" t="s">
        <v>830</v>
      </c>
      <c r="K1109" s="2" t="s">
        <v>5</v>
      </c>
      <c r="L1109" s="2" t="s">
        <v>28</v>
      </c>
      <c r="M1109" s="2" t="s">
        <v>5</v>
      </c>
      <c r="N1109" s="4">
        <v>2164.27</v>
      </c>
    </row>
    <row r="1110" spans="1:14" x14ac:dyDescent="0.25">
      <c r="A1110" s="2" t="s">
        <v>839</v>
      </c>
      <c r="B1110" s="2" t="s">
        <v>840</v>
      </c>
      <c r="C1110" s="3">
        <v>5.74</v>
      </c>
      <c r="D1110" s="4">
        <v>207.67320000000001</v>
      </c>
      <c r="E1110" s="4">
        <v>126.28</v>
      </c>
      <c r="F1110" s="4">
        <f t="shared" si="73"/>
        <v>81.393200000000007</v>
      </c>
      <c r="G1110" s="5">
        <f t="shared" si="74"/>
        <v>0.39192924267551132</v>
      </c>
      <c r="H1110" s="2" t="s">
        <v>827</v>
      </c>
      <c r="I1110" s="6" t="s">
        <v>32</v>
      </c>
      <c r="J1110" s="2" t="s">
        <v>828</v>
      </c>
      <c r="K1110" s="2" t="s">
        <v>5</v>
      </c>
      <c r="L1110" s="2" t="s">
        <v>28</v>
      </c>
      <c r="M1110" s="2" t="s">
        <v>5</v>
      </c>
      <c r="N1110" s="4">
        <v>2951.87</v>
      </c>
    </row>
    <row r="1111" spans="1:14" x14ac:dyDescent="0.25">
      <c r="A1111" s="2" t="s">
        <v>124</v>
      </c>
      <c r="B1111" s="2" t="s">
        <v>125</v>
      </c>
      <c r="C1111" s="3">
        <v>9.01</v>
      </c>
      <c r="D1111" s="4">
        <v>291.74380000000002</v>
      </c>
      <c r="E1111" s="4">
        <v>195.9675</v>
      </c>
      <c r="F1111" s="4">
        <f t="shared" si="73"/>
        <v>95.77630000000002</v>
      </c>
      <c r="G1111" s="5">
        <f t="shared" si="74"/>
        <v>0.32828906732550961</v>
      </c>
      <c r="H1111" s="2" t="s">
        <v>827</v>
      </c>
      <c r="I1111" s="6" t="s">
        <v>32</v>
      </c>
      <c r="J1111" s="2" t="s">
        <v>828</v>
      </c>
      <c r="K1111" s="2" t="s">
        <v>5</v>
      </c>
      <c r="L1111" s="2" t="s">
        <v>28</v>
      </c>
      <c r="M1111" s="2" t="s">
        <v>5</v>
      </c>
      <c r="N1111" s="4">
        <v>2951.87</v>
      </c>
    </row>
    <row r="1112" spans="1:14" x14ac:dyDescent="0.25">
      <c r="A1112" s="2" t="s">
        <v>124</v>
      </c>
      <c r="B1112" s="2" t="s">
        <v>125</v>
      </c>
      <c r="C1112" s="3">
        <v>6.01</v>
      </c>
      <c r="D1112" s="4">
        <v>194.60380000000001</v>
      </c>
      <c r="E1112" s="4">
        <v>130.7175</v>
      </c>
      <c r="F1112" s="4">
        <f t="shared" si="73"/>
        <v>63.886300000000006</v>
      </c>
      <c r="G1112" s="5">
        <f t="shared" si="74"/>
        <v>0.32828906732550961</v>
      </c>
      <c r="H1112" s="2" t="s">
        <v>829</v>
      </c>
      <c r="I1112" s="6" t="s">
        <v>39</v>
      </c>
      <c r="J1112" s="2" t="s">
        <v>830</v>
      </c>
      <c r="K1112" s="2" t="s">
        <v>5</v>
      </c>
      <c r="L1112" s="2" t="s">
        <v>28</v>
      </c>
      <c r="M1112" s="2" t="s">
        <v>5</v>
      </c>
      <c r="N1112" s="4">
        <v>2164.27</v>
      </c>
    </row>
    <row r="1113" spans="1:14" x14ac:dyDescent="0.25">
      <c r="A1113" s="2" t="s">
        <v>250</v>
      </c>
      <c r="B1113" s="2" t="s">
        <v>251</v>
      </c>
      <c r="C1113" s="3">
        <v>7.6539999999999999</v>
      </c>
      <c r="D1113" s="4">
        <v>113.43228000000001</v>
      </c>
      <c r="E1113" s="4">
        <v>65.058999999999997</v>
      </c>
      <c r="F1113" s="4">
        <f t="shared" si="73"/>
        <v>48.373280000000008</v>
      </c>
      <c r="G1113" s="5">
        <f t="shared" si="74"/>
        <v>0.42645074224021595</v>
      </c>
      <c r="H1113" s="2" t="s">
        <v>829</v>
      </c>
      <c r="I1113" s="6" t="s">
        <v>39</v>
      </c>
      <c r="J1113" s="2" t="s">
        <v>830</v>
      </c>
      <c r="K1113" s="2" t="s">
        <v>5</v>
      </c>
      <c r="L1113" s="2" t="s">
        <v>28</v>
      </c>
      <c r="M1113" s="2" t="s">
        <v>5</v>
      </c>
      <c r="N1113" s="4">
        <v>2164.27</v>
      </c>
    </row>
    <row r="1114" spans="1:14" x14ac:dyDescent="0.25">
      <c r="A1114" s="2" t="s">
        <v>841</v>
      </c>
      <c r="B1114" s="2" t="s">
        <v>842</v>
      </c>
      <c r="C1114" s="3">
        <v>7.46</v>
      </c>
      <c r="D1114" s="4">
        <v>253.49080000000001</v>
      </c>
      <c r="E1114" s="4">
        <v>164.12</v>
      </c>
      <c r="F1114" s="4">
        <f t="shared" si="73"/>
        <v>89.370800000000003</v>
      </c>
      <c r="G1114" s="5">
        <f t="shared" si="74"/>
        <v>0.35256032960565037</v>
      </c>
      <c r="H1114" s="2" t="s">
        <v>827</v>
      </c>
      <c r="I1114" s="6" t="s">
        <v>32</v>
      </c>
      <c r="J1114" s="2" t="s">
        <v>828</v>
      </c>
      <c r="K1114" s="2" t="s">
        <v>5</v>
      </c>
      <c r="L1114" s="2" t="s">
        <v>28</v>
      </c>
      <c r="M1114" s="2" t="s">
        <v>5</v>
      </c>
      <c r="N1114" s="4">
        <v>2951.87</v>
      </c>
    </row>
    <row r="1116" spans="1:14" x14ac:dyDescent="0.25">
      <c r="A1116" s="13" t="s">
        <v>59</v>
      </c>
      <c r="B1116" s="21"/>
      <c r="C1116" s="22">
        <f>SUM(C1086:C1115)</f>
        <v>211.14699999999999</v>
      </c>
      <c r="D1116" s="23">
        <f>SUM(D1086:D1115)</f>
        <v>5116.1375699999999</v>
      </c>
      <c r="E1116" s="23">
        <f>SUM(E1086:E1115)</f>
        <v>3013.8217500000005</v>
      </c>
      <c r="F1116" s="23">
        <f>D1116-E1116</f>
        <v>2102.3158199999993</v>
      </c>
      <c r="G1116" s="24">
        <f>IF(((D1116)=0),0,(D1116-E1116)/ D1116)</f>
        <v>0.41091854768088254</v>
      </c>
      <c r="H1116" s="21"/>
      <c r="I1116" s="21"/>
      <c r="J1116" s="21"/>
      <c r="K1116" s="21"/>
      <c r="L1116" s="21"/>
      <c r="M1116" s="21"/>
      <c r="N1116" s="21"/>
    </row>
    <row r="1118" spans="1:14" s="17" customFormat="1" ht="18.75" x14ac:dyDescent="0.3"/>
    <row r="1119" spans="1:14" s="7" customFormat="1" x14ac:dyDescent="0.25">
      <c r="A1119" s="13" t="s">
        <v>843</v>
      </c>
      <c r="B1119" s="18" t="s">
        <v>844</v>
      </c>
      <c r="C1119" s="19"/>
      <c r="D1119" s="20" t="s">
        <v>5</v>
      </c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</row>
    <row r="1121" spans="1:14" x14ac:dyDescent="0.25">
      <c r="A1121" s="2" t="s">
        <v>260</v>
      </c>
      <c r="B1121" s="2" t="s">
        <v>261</v>
      </c>
      <c r="C1121" s="3">
        <v>120</v>
      </c>
      <c r="D1121" s="4">
        <v>2116.8000000000002</v>
      </c>
      <c r="E1121" s="4">
        <v>1200</v>
      </c>
      <c r="F1121" s="4">
        <f t="shared" ref="F1121:F1143" si="75">D1121-E1121</f>
        <v>916.80000000000018</v>
      </c>
      <c r="G1121" s="5">
        <f t="shared" ref="G1121:G1143" si="76">IF(((D1121)=0),0,(D1121-E1121)/ D1121)</f>
        <v>0.43310657596371888</v>
      </c>
      <c r="H1121" s="2" t="s">
        <v>845</v>
      </c>
      <c r="I1121" s="6" t="s">
        <v>32</v>
      </c>
      <c r="J1121" s="2" t="s">
        <v>846</v>
      </c>
      <c r="K1121" s="2" t="s">
        <v>847</v>
      </c>
      <c r="L1121" s="2" t="s">
        <v>28</v>
      </c>
      <c r="M1121" s="2" t="s">
        <v>5</v>
      </c>
      <c r="N1121" s="4">
        <v>19430.599999999999</v>
      </c>
    </row>
    <row r="1122" spans="1:14" x14ac:dyDescent="0.25">
      <c r="A1122" s="2" t="s">
        <v>268</v>
      </c>
      <c r="B1122" s="2" t="s">
        <v>269</v>
      </c>
      <c r="C1122" s="3">
        <v>30.34</v>
      </c>
      <c r="D1122" s="4">
        <v>617.11559999999997</v>
      </c>
      <c r="E1122" s="4">
        <v>358.012</v>
      </c>
      <c r="F1122" s="4">
        <f t="shared" si="75"/>
        <v>259.10359999999997</v>
      </c>
      <c r="G1122" s="5">
        <f t="shared" si="76"/>
        <v>0.41986234021632252</v>
      </c>
      <c r="H1122" s="2" t="s">
        <v>845</v>
      </c>
      <c r="I1122" s="6" t="s">
        <v>32</v>
      </c>
      <c r="J1122" s="2" t="s">
        <v>846</v>
      </c>
      <c r="K1122" s="2" t="s">
        <v>847</v>
      </c>
      <c r="L1122" s="2" t="s">
        <v>28</v>
      </c>
      <c r="M1122" s="2" t="s">
        <v>5</v>
      </c>
      <c r="N1122" s="4">
        <v>19430.599999999999</v>
      </c>
    </row>
    <row r="1123" spans="1:14" x14ac:dyDescent="0.25">
      <c r="A1123" s="2" t="s">
        <v>272</v>
      </c>
      <c r="B1123" s="2" t="s">
        <v>273</v>
      </c>
      <c r="C1123" s="3">
        <v>76.045000000000002</v>
      </c>
      <c r="D1123" s="4">
        <v>1192.3856000000001</v>
      </c>
      <c r="E1123" s="4">
        <v>760.45</v>
      </c>
      <c r="F1123" s="4">
        <f t="shared" si="75"/>
        <v>431.93560000000002</v>
      </c>
      <c r="G1123" s="5">
        <f t="shared" si="76"/>
        <v>0.36224489795918369</v>
      </c>
      <c r="H1123" s="2" t="s">
        <v>845</v>
      </c>
      <c r="I1123" s="6" t="s">
        <v>32</v>
      </c>
      <c r="J1123" s="2" t="s">
        <v>846</v>
      </c>
      <c r="K1123" s="2" t="s">
        <v>847</v>
      </c>
      <c r="L1123" s="2" t="s">
        <v>28</v>
      </c>
      <c r="M1123" s="2" t="s">
        <v>5</v>
      </c>
      <c r="N1123" s="4">
        <v>19430.599999999999</v>
      </c>
    </row>
    <row r="1124" spans="1:14" x14ac:dyDescent="0.25">
      <c r="A1124" s="2" t="s">
        <v>848</v>
      </c>
      <c r="B1124" s="2" t="s">
        <v>849</v>
      </c>
      <c r="C1124" s="3">
        <v>15.43</v>
      </c>
      <c r="D1124" s="4">
        <v>178.83369999999999</v>
      </c>
      <c r="E1124" s="4">
        <v>115.72499999999999</v>
      </c>
      <c r="F1124" s="4">
        <f t="shared" si="75"/>
        <v>63.108699999999999</v>
      </c>
      <c r="G1124" s="5">
        <f t="shared" si="76"/>
        <v>0.35289042277825711</v>
      </c>
      <c r="H1124" s="2" t="s">
        <v>845</v>
      </c>
      <c r="I1124" s="6" t="s">
        <v>32</v>
      </c>
      <c r="J1124" s="2" t="s">
        <v>846</v>
      </c>
      <c r="K1124" s="2" t="s">
        <v>847</v>
      </c>
      <c r="L1124" s="2" t="s">
        <v>28</v>
      </c>
      <c r="M1124" s="2" t="s">
        <v>5</v>
      </c>
      <c r="N1124" s="4">
        <v>19430.599999999999</v>
      </c>
    </row>
    <row r="1125" spans="1:14" x14ac:dyDescent="0.25">
      <c r="A1125" s="2" t="s">
        <v>850</v>
      </c>
      <c r="B1125" s="2" t="s">
        <v>851</v>
      </c>
      <c r="C1125" s="3">
        <v>60</v>
      </c>
      <c r="D1125" s="4">
        <v>472.2</v>
      </c>
      <c r="E1125" s="4">
        <v>285</v>
      </c>
      <c r="F1125" s="4">
        <f t="shared" si="75"/>
        <v>187.2</v>
      </c>
      <c r="G1125" s="5">
        <f t="shared" si="76"/>
        <v>0.39644218551461241</v>
      </c>
      <c r="H1125" s="2" t="s">
        <v>845</v>
      </c>
      <c r="I1125" s="6" t="s">
        <v>32</v>
      </c>
      <c r="J1125" s="2" t="s">
        <v>846</v>
      </c>
      <c r="K1125" s="2" t="s">
        <v>847</v>
      </c>
      <c r="L1125" s="2" t="s">
        <v>28</v>
      </c>
      <c r="M1125" s="2" t="s">
        <v>5</v>
      </c>
      <c r="N1125" s="4">
        <v>19430.599999999999</v>
      </c>
    </row>
    <row r="1126" spans="1:14" x14ac:dyDescent="0.25">
      <c r="A1126" s="2" t="s">
        <v>276</v>
      </c>
      <c r="B1126" s="2" t="s">
        <v>277</v>
      </c>
      <c r="C1126" s="3">
        <v>59.25</v>
      </c>
      <c r="D1126" s="4">
        <v>1023.84</v>
      </c>
      <c r="E1126" s="4">
        <v>296.25</v>
      </c>
      <c r="F1126" s="4">
        <f t="shared" si="75"/>
        <v>727.59</v>
      </c>
      <c r="G1126" s="5">
        <f t="shared" si="76"/>
        <v>0.71064814814814814</v>
      </c>
      <c r="H1126" s="2" t="s">
        <v>845</v>
      </c>
      <c r="I1126" s="6" t="s">
        <v>32</v>
      </c>
      <c r="J1126" s="2" t="s">
        <v>846</v>
      </c>
      <c r="K1126" s="2" t="s">
        <v>847</v>
      </c>
      <c r="L1126" s="2" t="s">
        <v>28</v>
      </c>
      <c r="M1126" s="2" t="s">
        <v>5</v>
      </c>
      <c r="N1126" s="4">
        <v>19430.599999999999</v>
      </c>
    </row>
    <row r="1127" spans="1:14" x14ac:dyDescent="0.25">
      <c r="A1127" s="2" t="s">
        <v>278</v>
      </c>
      <c r="B1127" s="2" t="s">
        <v>279</v>
      </c>
      <c r="C1127" s="3">
        <v>107.25</v>
      </c>
      <c r="D1127" s="4">
        <v>721.79250000000002</v>
      </c>
      <c r="E1127" s="4">
        <v>386.1</v>
      </c>
      <c r="F1127" s="4">
        <f t="shared" si="75"/>
        <v>335.6925</v>
      </c>
      <c r="G1127" s="5">
        <f t="shared" si="76"/>
        <v>0.46508172362555716</v>
      </c>
      <c r="H1127" s="2" t="s">
        <v>845</v>
      </c>
      <c r="I1127" s="6" t="s">
        <v>32</v>
      </c>
      <c r="J1127" s="2" t="s">
        <v>846</v>
      </c>
      <c r="K1127" s="2" t="s">
        <v>847</v>
      </c>
      <c r="L1127" s="2" t="s">
        <v>28</v>
      </c>
      <c r="M1127" s="2" t="s">
        <v>5</v>
      </c>
      <c r="N1127" s="4">
        <v>19430.599999999999</v>
      </c>
    </row>
    <row r="1128" spans="1:14" x14ac:dyDescent="0.25">
      <c r="A1128" s="2" t="s">
        <v>280</v>
      </c>
      <c r="B1128" s="2" t="s">
        <v>281</v>
      </c>
      <c r="C1128" s="3">
        <v>109.19499999999999</v>
      </c>
      <c r="D1128" s="4">
        <v>1774.41875</v>
      </c>
      <c r="E1128" s="4">
        <v>753.44550000000004</v>
      </c>
      <c r="F1128" s="4">
        <f t="shared" si="75"/>
        <v>1020.97325</v>
      </c>
      <c r="G1128" s="5">
        <f t="shared" si="76"/>
        <v>0.57538461538461538</v>
      </c>
      <c r="H1128" s="2" t="s">
        <v>845</v>
      </c>
      <c r="I1128" s="6" t="s">
        <v>32</v>
      </c>
      <c r="J1128" s="2" t="s">
        <v>846</v>
      </c>
      <c r="K1128" s="2" t="s">
        <v>847</v>
      </c>
      <c r="L1128" s="2" t="s">
        <v>28</v>
      </c>
      <c r="M1128" s="2" t="s">
        <v>5</v>
      </c>
      <c r="N1128" s="4">
        <v>19430.599999999999</v>
      </c>
    </row>
    <row r="1129" spans="1:14" x14ac:dyDescent="0.25">
      <c r="A1129" s="2" t="s">
        <v>284</v>
      </c>
      <c r="B1129" s="2" t="s">
        <v>285</v>
      </c>
      <c r="C1129" s="3">
        <v>105.74</v>
      </c>
      <c r="D1129" s="4">
        <v>574.16819999999996</v>
      </c>
      <c r="E1129" s="4">
        <v>264.35000000000002</v>
      </c>
      <c r="F1129" s="4">
        <f t="shared" si="75"/>
        <v>309.81819999999993</v>
      </c>
      <c r="G1129" s="5">
        <f t="shared" si="76"/>
        <v>0.53959484346224673</v>
      </c>
      <c r="H1129" s="2" t="s">
        <v>845</v>
      </c>
      <c r="I1129" s="6" t="s">
        <v>32</v>
      </c>
      <c r="J1129" s="2" t="s">
        <v>846</v>
      </c>
      <c r="K1129" s="2" t="s">
        <v>847</v>
      </c>
      <c r="L1129" s="2" t="s">
        <v>28</v>
      </c>
      <c r="M1129" s="2" t="s">
        <v>5</v>
      </c>
      <c r="N1129" s="4">
        <v>19430.599999999999</v>
      </c>
    </row>
    <row r="1130" spans="1:14" x14ac:dyDescent="0.25">
      <c r="A1130" s="2" t="s">
        <v>852</v>
      </c>
      <c r="B1130" s="2" t="s">
        <v>853</v>
      </c>
      <c r="C1130" s="3">
        <v>14.5</v>
      </c>
      <c r="D1130" s="4">
        <v>159.79</v>
      </c>
      <c r="E1130" s="4">
        <v>88.305000000000007</v>
      </c>
      <c r="F1130" s="4">
        <f t="shared" si="75"/>
        <v>71.484999999999985</v>
      </c>
      <c r="G1130" s="5">
        <f t="shared" si="76"/>
        <v>0.44736842105263153</v>
      </c>
      <c r="H1130" s="2" t="s">
        <v>845</v>
      </c>
      <c r="I1130" s="6" t="s">
        <v>32</v>
      </c>
      <c r="J1130" s="2" t="s">
        <v>846</v>
      </c>
      <c r="K1130" s="2" t="s">
        <v>847</v>
      </c>
      <c r="L1130" s="2" t="s">
        <v>28</v>
      </c>
      <c r="M1130" s="2" t="s">
        <v>5</v>
      </c>
      <c r="N1130" s="4">
        <v>19430.599999999999</v>
      </c>
    </row>
    <row r="1131" spans="1:14" x14ac:dyDescent="0.25">
      <c r="A1131" s="2" t="s">
        <v>286</v>
      </c>
      <c r="B1131" s="2" t="s">
        <v>287</v>
      </c>
      <c r="C1131" s="3">
        <v>39.479999999999997</v>
      </c>
      <c r="D1131" s="4">
        <v>557.85239999999999</v>
      </c>
      <c r="E1131" s="4">
        <v>327.28919999999999</v>
      </c>
      <c r="F1131" s="4">
        <f t="shared" si="75"/>
        <v>230.56319999999999</v>
      </c>
      <c r="G1131" s="5">
        <f t="shared" si="76"/>
        <v>0.41330502476999292</v>
      </c>
      <c r="H1131" s="2" t="s">
        <v>845</v>
      </c>
      <c r="I1131" s="6" t="s">
        <v>32</v>
      </c>
      <c r="J1131" s="2" t="s">
        <v>846</v>
      </c>
      <c r="K1131" s="2" t="s">
        <v>847</v>
      </c>
      <c r="L1131" s="2" t="s">
        <v>28</v>
      </c>
      <c r="M1131" s="2" t="s">
        <v>5</v>
      </c>
      <c r="N1131" s="4">
        <v>19430.599999999999</v>
      </c>
    </row>
    <row r="1132" spans="1:14" x14ac:dyDescent="0.25">
      <c r="A1132" s="2" t="s">
        <v>288</v>
      </c>
      <c r="B1132" s="2" t="s">
        <v>289</v>
      </c>
      <c r="C1132" s="3">
        <v>10.4</v>
      </c>
      <c r="D1132" s="4">
        <v>195.416</v>
      </c>
      <c r="E1132" s="4">
        <v>107.64</v>
      </c>
      <c r="F1132" s="4">
        <f t="shared" si="75"/>
        <v>87.775999999999996</v>
      </c>
      <c r="G1132" s="5">
        <f t="shared" si="76"/>
        <v>0.4491750931346461</v>
      </c>
      <c r="H1132" s="2" t="s">
        <v>845</v>
      </c>
      <c r="I1132" s="6" t="s">
        <v>32</v>
      </c>
      <c r="J1132" s="2" t="s">
        <v>846</v>
      </c>
      <c r="K1132" s="2" t="s">
        <v>847</v>
      </c>
      <c r="L1132" s="2" t="s">
        <v>28</v>
      </c>
      <c r="M1132" s="2" t="s">
        <v>5</v>
      </c>
      <c r="N1132" s="4">
        <v>19430.599999999999</v>
      </c>
    </row>
    <row r="1133" spans="1:14" x14ac:dyDescent="0.25">
      <c r="A1133" s="2" t="s">
        <v>292</v>
      </c>
      <c r="B1133" s="2" t="s">
        <v>293</v>
      </c>
      <c r="C1133" s="3">
        <v>74.63</v>
      </c>
      <c r="D1133" s="4">
        <v>1521.7057</v>
      </c>
      <c r="E1133" s="4">
        <v>1231.395</v>
      </c>
      <c r="F1133" s="4">
        <f t="shared" si="75"/>
        <v>290.3107</v>
      </c>
      <c r="G1133" s="5">
        <f t="shared" si="76"/>
        <v>0.19077979401667483</v>
      </c>
      <c r="H1133" s="2" t="s">
        <v>845</v>
      </c>
      <c r="I1133" s="6" t="s">
        <v>32</v>
      </c>
      <c r="J1133" s="2" t="s">
        <v>846</v>
      </c>
      <c r="K1133" s="2" t="s">
        <v>847</v>
      </c>
      <c r="L1133" s="2" t="s">
        <v>28</v>
      </c>
      <c r="M1133" s="2" t="s">
        <v>5</v>
      </c>
      <c r="N1133" s="4">
        <v>19430.599999999999</v>
      </c>
    </row>
    <row r="1134" spans="1:14" x14ac:dyDescent="0.25">
      <c r="A1134" s="2" t="s">
        <v>768</v>
      </c>
      <c r="B1134" s="2" t="s">
        <v>769</v>
      </c>
      <c r="C1134" s="3">
        <v>99.55</v>
      </c>
      <c r="D1134" s="4">
        <v>1757.0574999999999</v>
      </c>
      <c r="E1134" s="4">
        <v>1095.05</v>
      </c>
      <c r="F1134" s="4">
        <f t="shared" si="75"/>
        <v>662.00749999999994</v>
      </c>
      <c r="G1134" s="5">
        <f t="shared" si="76"/>
        <v>0.37677053824362605</v>
      </c>
      <c r="H1134" s="2" t="s">
        <v>845</v>
      </c>
      <c r="I1134" s="6" t="s">
        <v>32</v>
      </c>
      <c r="J1134" s="2" t="s">
        <v>846</v>
      </c>
      <c r="K1134" s="2" t="s">
        <v>847</v>
      </c>
      <c r="L1134" s="2" t="s">
        <v>28</v>
      </c>
      <c r="M1134" s="2" t="s">
        <v>5</v>
      </c>
      <c r="N1134" s="4">
        <v>19430.599999999999</v>
      </c>
    </row>
    <row r="1135" spans="1:14" x14ac:dyDescent="0.25">
      <c r="A1135" s="2" t="s">
        <v>770</v>
      </c>
      <c r="B1135" s="2" t="s">
        <v>771</v>
      </c>
      <c r="C1135" s="3">
        <v>77.900000000000006</v>
      </c>
      <c r="D1135" s="4">
        <v>1149.0250000000001</v>
      </c>
      <c r="E1135" s="4">
        <v>681.625</v>
      </c>
      <c r="F1135" s="4">
        <f t="shared" si="75"/>
        <v>467.40000000000009</v>
      </c>
      <c r="G1135" s="5">
        <f t="shared" si="76"/>
        <v>0.40677966101694918</v>
      </c>
      <c r="H1135" s="2" t="s">
        <v>845</v>
      </c>
      <c r="I1135" s="6" t="s">
        <v>32</v>
      </c>
      <c r="J1135" s="2" t="s">
        <v>846</v>
      </c>
      <c r="K1135" s="2" t="s">
        <v>847</v>
      </c>
      <c r="L1135" s="2" t="s">
        <v>28</v>
      </c>
      <c r="M1135" s="2" t="s">
        <v>5</v>
      </c>
      <c r="N1135" s="4">
        <v>19430.599999999999</v>
      </c>
    </row>
    <row r="1136" spans="1:14" x14ac:dyDescent="0.25">
      <c r="A1136" s="2" t="s">
        <v>294</v>
      </c>
      <c r="B1136" s="2" t="s">
        <v>295</v>
      </c>
      <c r="C1136" s="3">
        <v>15.64</v>
      </c>
      <c r="D1136" s="4">
        <v>254.15</v>
      </c>
      <c r="E1136" s="4">
        <v>126.684</v>
      </c>
      <c r="F1136" s="4">
        <f t="shared" si="75"/>
        <v>127.46600000000001</v>
      </c>
      <c r="G1136" s="5">
        <f t="shared" si="76"/>
        <v>0.5015384615384616</v>
      </c>
      <c r="H1136" s="2" t="s">
        <v>845</v>
      </c>
      <c r="I1136" s="6" t="s">
        <v>32</v>
      </c>
      <c r="J1136" s="2" t="s">
        <v>846</v>
      </c>
      <c r="K1136" s="2" t="s">
        <v>847</v>
      </c>
      <c r="L1136" s="2" t="s">
        <v>28</v>
      </c>
      <c r="M1136" s="2" t="s">
        <v>5</v>
      </c>
      <c r="N1136" s="4">
        <v>19430.599999999999</v>
      </c>
    </row>
    <row r="1137" spans="1:14" x14ac:dyDescent="0.25">
      <c r="A1137" s="2" t="s">
        <v>854</v>
      </c>
      <c r="B1137" s="2" t="s">
        <v>855</v>
      </c>
      <c r="C1137" s="3">
        <v>76.319999999999993</v>
      </c>
      <c r="D1137" s="4">
        <v>1347.048</v>
      </c>
      <c r="E1137" s="4">
        <v>725.04</v>
      </c>
      <c r="F1137" s="4">
        <f t="shared" si="75"/>
        <v>622.00800000000004</v>
      </c>
      <c r="G1137" s="5">
        <f t="shared" si="76"/>
        <v>0.4617563739376771</v>
      </c>
      <c r="H1137" s="2" t="s">
        <v>845</v>
      </c>
      <c r="I1137" s="6" t="s">
        <v>32</v>
      </c>
      <c r="J1137" s="2" t="s">
        <v>846</v>
      </c>
      <c r="K1137" s="2" t="s">
        <v>847</v>
      </c>
      <c r="L1137" s="2" t="s">
        <v>28</v>
      </c>
      <c r="M1137" s="2" t="s">
        <v>5</v>
      </c>
      <c r="N1137" s="4">
        <v>19430.599999999999</v>
      </c>
    </row>
    <row r="1138" spans="1:14" x14ac:dyDescent="0.25">
      <c r="A1138" s="2" t="s">
        <v>296</v>
      </c>
      <c r="B1138" s="2" t="s">
        <v>297</v>
      </c>
      <c r="C1138" s="3">
        <v>46.29</v>
      </c>
      <c r="D1138" s="4">
        <v>536.50109999999995</v>
      </c>
      <c r="E1138" s="4">
        <v>337.91699999999997</v>
      </c>
      <c r="F1138" s="4">
        <f t="shared" si="75"/>
        <v>198.58409999999998</v>
      </c>
      <c r="G1138" s="5">
        <f t="shared" si="76"/>
        <v>0.37014667817083691</v>
      </c>
      <c r="H1138" s="2" t="s">
        <v>845</v>
      </c>
      <c r="I1138" s="6" t="s">
        <v>32</v>
      </c>
      <c r="J1138" s="2" t="s">
        <v>846</v>
      </c>
      <c r="K1138" s="2" t="s">
        <v>847</v>
      </c>
      <c r="L1138" s="2" t="s">
        <v>28</v>
      </c>
      <c r="M1138" s="2" t="s">
        <v>5</v>
      </c>
      <c r="N1138" s="4">
        <v>19430.599999999999</v>
      </c>
    </row>
    <row r="1139" spans="1:14" x14ac:dyDescent="0.25">
      <c r="A1139" s="2" t="s">
        <v>300</v>
      </c>
      <c r="B1139" s="2" t="s">
        <v>301</v>
      </c>
      <c r="C1139" s="3">
        <v>45.65</v>
      </c>
      <c r="D1139" s="4">
        <v>465.17349999999999</v>
      </c>
      <c r="E1139" s="4">
        <v>324.11500000000001</v>
      </c>
      <c r="F1139" s="4">
        <f t="shared" si="75"/>
        <v>141.05849999999998</v>
      </c>
      <c r="G1139" s="5">
        <f t="shared" si="76"/>
        <v>0.30323846908734048</v>
      </c>
      <c r="H1139" s="2" t="s">
        <v>845</v>
      </c>
      <c r="I1139" s="6" t="s">
        <v>32</v>
      </c>
      <c r="J1139" s="2" t="s">
        <v>846</v>
      </c>
      <c r="K1139" s="2" t="s">
        <v>847</v>
      </c>
      <c r="L1139" s="2" t="s">
        <v>28</v>
      </c>
      <c r="M1139" s="2" t="s">
        <v>5</v>
      </c>
      <c r="N1139" s="4">
        <v>19430.599999999999</v>
      </c>
    </row>
    <row r="1140" spans="1:14" x14ac:dyDescent="0.25">
      <c r="A1140" s="2" t="s">
        <v>856</v>
      </c>
      <c r="B1140" s="2" t="s">
        <v>857</v>
      </c>
      <c r="C1140" s="3">
        <v>15.89</v>
      </c>
      <c r="D1140" s="4">
        <v>161.91909999999999</v>
      </c>
      <c r="E1140" s="4">
        <v>112.819</v>
      </c>
      <c r="F1140" s="4">
        <f t="shared" si="75"/>
        <v>49.100099999999983</v>
      </c>
      <c r="G1140" s="5">
        <f t="shared" si="76"/>
        <v>0.30323846908734048</v>
      </c>
      <c r="H1140" s="2" t="s">
        <v>845</v>
      </c>
      <c r="I1140" s="6" t="s">
        <v>32</v>
      </c>
      <c r="J1140" s="2" t="s">
        <v>846</v>
      </c>
      <c r="K1140" s="2" t="s">
        <v>847</v>
      </c>
      <c r="L1140" s="2" t="s">
        <v>28</v>
      </c>
      <c r="M1140" s="2" t="s">
        <v>5</v>
      </c>
      <c r="N1140" s="4">
        <v>19430.599999999999</v>
      </c>
    </row>
    <row r="1141" spans="1:14" x14ac:dyDescent="0.25">
      <c r="A1141" s="2" t="s">
        <v>302</v>
      </c>
      <c r="B1141" s="2" t="s">
        <v>303</v>
      </c>
      <c r="C1141" s="3">
        <v>103.02</v>
      </c>
      <c r="D1141" s="4">
        <v>2095.4268000000002</v>
      </c>
      <c r="E1141" s="4">
        <v>1287.75</v>
      </c>
      <c r="F1141" s="4">
        <f t="shared" si="75"/>
        <v>807.67680000000018</v>
      </c>
      <c r="G1141" s="5">
        <f t="shared" si="76"/>
        <v>0.38544739429695185</v>
      </c>
      <c r="H1141" s="2" t="s">
        <v>845</v>
      </c>
      <c r="I1141" s="6" t="s">
        <v>32</v>
      </c>
      <c r="J1141" s="2" t="s">
        <v>846</v>
      </c>
      <c r="K1141" s="2" t="s">
        <v>847</v>
      </c>
      <c r="L1141" s="2" t="s">
        <v>28</v>
      </c>
      <c r="M1141" s="2" t="s">
        <v>5</v>
      </c>
      <c r="N1141" s="4">
        <v>19430.599999999999</v>
      </c>
    </row>
    <row r="1142" spans="1:14" x14ac:dyDescent="0.25">
      <c r="A1142" s="2" t="s">
        <v>858</v>
      </c>
      <c r="B1142" s="2" t="s">
        <v>859</v>
      </c>
      <c r="C1142" s="3">
        <v>8</v>
      </c>
      <c r="D1142" s="4">
        <v>221.52</v>
      </c>
      <c r="E1142" s="4">
        <v>122</v>
      </c>
      <c r="F1142" s="4">
        <f t="shared" si="75"/>
        <v>99.52000000000001</v>
      </c>
      <c r="G1142" s="5">
        <f t="shared" si="76"/>
        <v>0.44925966052726618</v>
      </c>
      <c r="H1142" s="2" t="s">
        <v>845</v>
      </c>
      <c r="I1142" s="6" t="s">
        <v>32</v>
      </c>
      <c r="J1142" s="2" t="s">
        <v>846</v>
      </c>
      <c r="K1142" s="2" t="s">
        <v>847</v>
      </c>
      <c r="L1142" s="2" t="s">
        <v>28</v>
      </c>
      <c r="M1142" s="2" t="s">
        <v>5</v>
      </c>
      <c r="N1142" s="4">
        <v>19430.599999999999</v>
      </c>
    </row>
    <row r="1143" spans="1:14" x14ac:dyDescent="0.25">
      <c r="A1143" s="2" t="s">
        <v>306</v>
      </c>
      <c r="B1143" s="2" t="s">
        <v>307</v>
      </c>
      <c r="C1143" s="3">
        <v>29.03</v>
      </c>
      <c r="D1143" s="4">
        <v>336.45769999999999</v>
      </c>
      <c r="E1143" s="4">
        <v>275.78500000000003</v>
      </c>
      <c r="F1143" s="4">
        <f t="shared" si="75"/>
        <v>60.672699999999963</v>
      </c>
      <c r="G1143" s="5">
        <f t="shared" si="76"/>
        <v>0.18032786885245891</v>
      </c>
      <c r="H1143" s="2" t="s">
        <v>845</v>
      </c>
      <c r="I1143" s="6" t="s">
        <v>32</v>
      </c>
      <c r="J1143" s="2" t="s">
        <v>846</v>
      </c>
      <c r="K1143" s="2" t="s">
        <v>847</v>
      </c>
      <c r="L1143" s="2" t="s">
        <v>28</v>
      </c>
      <c r="M1143" s="2" t="s">
        <v>5</v>
      </c>
      <c r="N1143" s="4">
        <v>19430.599999999999</v>
      </c>
    </row>
    <row r="1145" spans="1:14" x14ac:dyDescent="0.25">
      <c r="A1145" s="13" t="s">
        <v>59</v>
      </c>
      <c r="B1145" s="21"/>
      <c r="C1145" s="22">
        <f>SUM(C1118:C1144)</f>
        <v>1339.55</v>
      </c>
      <c r="D1145" s="23">
        <f>SUM(D1118:D1144)</f>
        <v>19430.597149999998</v>
      </c>
      <c r="E1145" s="23">
        <f>SUM(E1118:E1144)</f>
        <v>11262.7467</v>
      </c>
      <c r="F1145" s="23">
        <f>D1145-E1145</f>
        <v>8167.8504499999981</v>
      </c>
      <c r="G1145" s="24">
        <f>IF(((D1145)=0),0,(D1145-E1145)/ D1145)</f>
        <v>0.42036023838824732</v>
      </c>
      <c r="H1145" s="21"/>
      <c r="I1145" s="21"/>
      <c r="J1145" s="21"/>
      <c r="K1145" s="21"/>
      <c r="L1145" s="21"/>
      <c r="M1145" s="21"/>
      <c r="N1145" s="21"/>
    </row>
    <row r="1147" spans="1:14" s="17" customFormat="1" ht="18.75" x14ac:dyDescent="0.3"/>
    <row r="1148" spans="1:14" s="7" customFormat="1" x14ac:dyDescent="0.25">
      <c r="A1148" s="13" t="s">
        <v>860</v>
      </c>
      <c r="B1148" s="18" t="s">
        <v>861</v>
      </c>
      <c r="C1148" s="19"/>
      <c r="D1148" s="20" t="s">
        <v>5</v>
      </c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</row>
    <row r="1150" spans="1:14" x14ac:dyDescent="0.25">
      <c r="A1150" s="2" t="s">
        <v>862</v>
      </c>
      <c r="B1150" s="2" t="s">
        <v>863</v>
      </c>
      <c r="C1150" s="3">
        <v>20.11</v>
      </c>
      <c r="D1150" s="4">
        <v>386.51420000000002</v>
      </c>
      <c r="E1150" s="4">
        <v>211.155</v>
      </c>
      <c r="F1150" s="4">
        <f>D1150-E1150</f>
        <v>175.35920000000002</v>
      </c>
      <c r="G1150" s="5">
        <f>IF(((D1150)=0),0,(D1150-E1150)/ D1150)</f>
        <v>0.45369406867845996</v>
      </c>
      <c r="H1150" s="2" t="s">
        <v>864</v>
      </c>
      <c r="I1150" s="6" t="s">
        <v>32</v>
      </c>
      <c r="J1150" s="2" t="s">
        <v>865</v>
      </c>
      <c r="K1150" s="2" t="s">
        <v>5</v>
      </c>
      <c r="L1150" s="2" t="s">
        <v>28</v>
      </c>
      <c r="M1150" s="2" t="s">
        <v>5</v>
      </c>
      <c r="N1150" s="4">
        <v>386.51</v>
      </c>
    </row>
    <row r="1152" spans="1:14" x14ac:dyDescent="0.25">
      <c r="A1152" s="13" t="s">
        <v>59</v>
      </c>
      <c r="B1152" s="21"/>
      <c r="C1152" s="22">
        <f>SUM(C1147:C1151)</f>
        <v>20.11</v>
      </c>
      <c r="D1152" s="23">
        <f>SUM(D1147:D1151)</f>
        <v>386.51420000000002</v>
      </c>
      <c r="E1152" s="23">
        <f>SUM(E1147:E1151)</f>
        <v>211.155</v>
      </c>
      <c r="F1152" s="23">
        <f>D1152-E1152</f>
        <v>175.35920000000002</v>
      </c>
      <c r="G1152" s="24">
        <f>IF(((D1152)=0),0,(D1152-E1152)/ D1152)</f>
        <v>0.45369406867845996</v>
      </c>
      <c r="H1152" s="21"/>
      <c r="I1152" s="21"/>
      <c r="J1152" s="21"/>
      <c r="K1152" s="21"/>
      <c r="L1152" s="21"/>
      <c r="M1152" s="21"/>
      <c r="N1152" s="21"/>
    </row>
    <row r="1154" spans="1:14" s="17" customFormat="1" ht="18.75" x14ac:dyDescent="0.3"/>
    <row r="1155" spans="1:14" s="7" customFormat="1" x14ac:dyDescent="0.25">
      <c r="A1155" s="13" t="s">
        <v>866</v>
      </c>
      <c r="B1155" s="18" t="s">
        <v>867</v>
      </c>
      <c r="C1155" s="19"/>
      <c r="D1155" s="20" t="s">
        <v>5</v>
      </c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</row>
    <row r="1157" spans="1:14" x14ac:dyDescent="0.25">
      <c r="A1157" s="2" t="s">
        <v>128</v>
      </c>
      <c r="B1157" s="2" t="s">
        <v>129</v>
      </c>
      <c r="C1157" s="3">
        <v>25</v>
      </c>
      <c r="D1157" s="4">
        <v>356.5</v>
      </c>
      <c r="E1157" s="4">
        <v>274.5</v>
      </c>
      <c r="F1157" s="4">
        <f t="shared" ref="F1157:F1175" si="77">D1157-E1157</f>
        <v>82</v>
      </c>
      <c r="G1157" s="5">
        <f t="shared" ref="G1157:G1175" si="78">IF(((D1157)=0),0,(D1157-E1157)/ D1157)</f>
        <v>0.23001402524544179</v>
      </c>
      <c r="H1157" s="2" t="s">
        <v>868</v>
      </c>
      <c r="I1157" s="6" t="s">
        <v>74</v>
      </c>
      <c r="J1157" s="2" t="s">
        <v>869</v>
      </c>
      <c r="K1157" s="2" t="s">
        <v>5</v>
      </c>
      <c r="L1157" s="2" t="s">
        <v>28</v>
      </c>
      <c r="M1157" s="2" t="s">
        <v>5</v>
      </c>
      <c r="N1157" s="4">
        <v>8737.34</v>
      </c>
    </row>
    <row r="1158" spans="1:14" x14ac:dyDescent="0.25">
      <c r="A1158" s="2" t="s">
        <v>22</v>
      </c>
      <c r="B1158" s="2" t="s">
        <v>23</v>
      </c>
      <c r="C1158" s="3">
        <v>31.35</v>
      </c>
      <c r="D1158" s="4">
        <v>439.52699999999999</v>
      </c>
      <c r="E1158" s="4">
        <v>344.85</v>
      </c>
      <c r="F1158" s="4">
        <f t="shared" si="77"/>
        <v>94.676999999999964</v>
      </c>
      <c r="G1158" s="5">
        <f t="shared" si="78"/>
        <v>0.21540656205420819</v>
      </c>
      <c r="H1158" s="2" t="s">
        <v>868</v>
      </c>
      <c r="I1158" s="6" t="s">
        <v>74</v>
      </c>
      <c r="J1158" s="2" t="s">
        <v>869</v>
      </c>
      <c r="K1158" s="2" t="s">
        <v>5</v>
      </c>
      <c r="L1158" s="2" t="s">
        <v>28</v>
      </c>
      <c r="M1158" s="2" t="s">
        <v>5</v>
      </c>
      <c r="N1158" s="4">
        <v>8737.34</v>
      </c>
    </row>
    <row r="1159" spans="1:14" x14ac:dyDescent="0.25">
      <c r="A1159" s="2" t="s">
        <v>29</v>
      </c>
      <c r="B1159" s="2" t="s">
        <v>30</v>
      </c>
      <c r="C1159" s="3">
        <v>28.105</v>
      </c>
      <c r="D1159" s="4">
        <v>364.24079999999998</v>
      </c>
      <c r="E1159" s="4">
        <v>281.05</v>
      </c>
      <c r="F1159" s="4">
        <f t="shared" si="77"/>
        <v>83.190799999999967</v>
      </c>
      <c r="G1159" s="5">
        <f t="shared" si="78"/>
        <v>0.22839506172839499</v>
      </c>
      <c r="H1159" s="2" t="s">
        <v>868</v>
      </c>
      <c r="I1159" s="6" t="s">
        <v>74</v>
      </c>
      <c r="J1159" s="2" t="s">
        <v>869</v>
      </c>
      <c r="K1159" s="2" t="s">
        <v>5</v>
      </c>
      <c r="L1159" s="2" t="s">
        <v>28</v>
      </c>
      <c r="M1159" s="2" t="s">
        <v>5</v>
      </c>
      <c r="N1159" s="4">
        <v>8737.34</v>
      </c>
    </row>
    <row r="1160" spans="1:14" x14ac:dyDescent="0.25">
      <c r="A1160" s="2" t="s">
        <v>658</v>
      </c>
      <c r="B1160" s="2" t="s">
        <v>659</v>
      </c>
      <c r="C1160" s="3">
        <v>32.4</v>
      </c>
      <c r="D1160" s="4">
        <v>305.85599999999999</v>
      </c>
      <c r="E1160" s="4">
        <v>178.2</v>
      </c>
      <c r="F1160" s="4">
        <f t="shared" si="77"/>
        <v>127.65600000000001</v>
      </c>
      <c r="G1160" s="5">
        <f t="shared" si="78"/>
        <v>0.41737288135593226</v>
      </c>
      <c r="H1160" s="2" t="s">
        <v>870</v>
      </c>
      <c r="I1160" s="6" t="s">
        <v>32</v>
      </c>
      <c r="J1160" s="2" t="s">
        <v>871</v>
      </c>
      <c r="K1160" s="2" t="s">
        <v>5</v>
      </c>
      <c r="L1160" s="2" t="s">
        <v>28</v>
      </c>
      <c r="M1160" s="2" t="s">
        <v>5</v>
      </c>
      <c r="N1160" s="4">
        <v>305.86</v>
      </c>
    </row>
    <row r="1161" spans="1:14" x14ac:dyDescent="0.25">
      <c r="A1161" s="2" t="s">
        <v>575</v>
      </c>
      <c r="B1161" s="2" t="s">
        <v>576</v>
      </c>
      <c r="C1161" s="3">
        <v>39.909999999999997</v>
      </c>
      <c r="D1161" s="4">
        <v>729.15570000000002</v>
      </c>
      <c r="E1161" s="4">
        <v>409.07749999999999</v>
      </c>
      <c r="F1161" s="4">
        <f t="shared" si="77"/>
        <v>320.07820000000004</v>
      </c>
      <c r="G1161" s="5">
        <f t="shared" si="78"/>
        <v>0.43897099069512868</v>
      </c>
      <c r="H1161" s="2" t="s">
        <v>868</v>
      </c>
      <c r="I1161" s="6" t="s">
        <v>74</v>
      </c>
      <c r="J1161" s="2" t="s">
        <v>869</v>
      </c>
      <c r="K1161" s="2" t="s">
        <v>5</v>
      </c>
      <c r="L1161" s="2" t="s">
        <v>28</v>
      </c>
      <c r="M1161" s="2" t="s">
        <v>5</v>
      </c>
      <c r="N1161" s="4">
        <v>8737.34</v>
      </c>
    </row>
    <row r="1162" spans="1:14" x14ac:dyDescent="0.25">
      <c r="A1162" s="2" t="s">
        <v>203</v>
      </c>
      <c r="B1162" s="2" t="s">
        <v>204</v>
      </c>
      <c r="C1162" s="3">
        <v>46.16</v>
      </c>
      <c r="D1162" s="4">
        <v>741.7912</v>
      </c>
      <c r="E1162" s="4">
        <v>230.8</v>
      </c>
      <c r="F1162" s="4">
        <f t="shared" si="77"/>
        <v>510.99119999999999</v>
      </c>
      <c r="G1162" s="5">
        <f t="shared" si="78"/>
        <v>0.68886123210952088</v>
      </c>
      <c r="H1162" s="2" t="s">
        <v>872</v>
      </c>
      <c r="I1162" s="6" t="s">
        <v>25</v>
      </c>
      <c r="J1162" s="2" t="s">
        <v>871</v>
      </c>
      <c r="K1162" s="2" t="s">
        <v>5</v>
      </c>
      <c r="L1162" s="2" t="s">
        <v>332</v>
      </c>
      <c r="M1162" s="2" t="s">
        <v>5</v>
      </c>
      <c r="N1162" s="4">
        <v>-8.31</v>
      </c>
    </row>
    <row r="1163" spans="1:14" x14ac:dyDescent="0.25">
      <c r="A1163" s="2" t="s">
        <v>118</v>
      </c>
      <c r="B1163" s="2" t="s">
        <v>119</v>
      </c>
      <c r="C1163" s="3">
        <v>24</v>
      </c>
      <c r="D1163" s="4">
        <v>384.24</v>
      </c>
      <c r="E1163" s="4">
        <v>180</v>
      </c>
      <c r="F1163" s="4">
        <f t="shared" si="77"/>
        <v>204.24</v>
      </c>
      <c r="G1163" s="5">
        <f t="shared" si="78"/>
        <v>0.53154278575890068</v>
      </c>
      <c r="H1163" s="2" t="s">
        <v>868</v>
      </c>
      <c r="I1163" s="6" t="s">
        <v>74</v>
      </c>
      <c r="J1163" s="2" t="s">
        <v>869</v>
      </c>
      <c r="K1163" s="2" t="s">
        <v>5</v>
      </c>
      <c r="L1163" s="2" t="s">
        <v>28</v>
      </c>
      <c r="M1163" s="2" t="s">
        <v>5</v>
      </c>
      <c r="N1163" s="4">
        <v>8737.34</v>
      </c>
    </row>
    <row r="1164" spans="1:14" x14ac:dyDescent="0.25">
      <c r="A1164" s="2" t="s">
        <v>620</v>
      </c>
      <c r="B1164" s="2" t="s">
        <v>621</v>
      </c>
      <c r="C1164" s="3">
        <v>30.47</v>
      </c>
      <c r="D1164" s="4">
        <v>316.27859999999998</v>
      </c>
      <c r="E1164" s="4">
        <v>304.7</v>
      </c>
      <c r="F1164" s="4">
        <f t="shared" si="77"/>
        <v>11.578599999999994</v>
      </c>
      <c r="G1164" s="5">
        <f t="shared" si="78"/>
        <v>3.6608863198458561E-2</v>
      </c>
      <c r="H1164" s="2" t="s">
        <v>868</v>
      </c>
      <c r="I1164" s="6" t="s">
        <v>74</v>
      </c>
      <c r="J1164" s="2" t="s">
        <v>869</v>
      </c>
      <c r="K1164" s="2" t="s">
        <v>5</v>
      </c>
      <c r="L1164" s="2" t="s">
        <v>28</v>
      </c>
      <c r="M1164" s="2" t="s">
        <v>5</v>
      </c>
      <c r="N1164" s="4">
        <v>8737.34</v>
      </c>
    </row>
    <row r="1165" spans="1:14" x14ac:dyDescent="0.25">
      <c r="A1165" s="2" t="s">
        <v>152</v>
      </c>
      <c r="B1165" s="2" t="s">
        <v>153</v>
      </c>
      <c r="C1165" s="3">
        <v>45.73</v>
      </c>
      <c r="D1165" s="4">
        <v>743.11249999999995</v>
      </c>
      <c r="E1165" s="4">
        <v>315.53699999999998</v>
      </c>
      <c r="F1165" s="4">
        <f t="shared" si="77"/>
        <v>427.57549999999998</v>
      </c>
      <c r="G1165" s="5">
        <f t="shared" si="78"/>
        <v>0.57538461538461538</v>
      </c>
      <c r="H1165" s="2" t="s">
        <v>868</v>
      </c>
      <c r="I1165" s="6" t="s">
        <v>74</v>
      </c>
      <c r="J1165" s="2" t="s">
        <v>869</v>
      </c>
      <c r="K1165" s="2" t="s">
        <v>5</v>
      </c>
      <c r="L1165" s="2" t="s">
        <v>28</v>
      </c>
      <c r="M1165" s="2" t="s">
        <v>5</v>
      </c>
      <c r="N1165" s="4">
        <v>8737.34</v>
      </c>
    </row>
    <row r="1166" spans="1:14" x14ac:dyDescent="0.25">
      <c r="A1166" s="2" t="s">
        <v>152</v>
      </c>
      <c r="B1166" s="2" t="s">
        <v>153</v>
      </c>
      <c r="C1166" s="3">
        <v>-46.16</v>
      </c>
      <c r="D1166" s="4">
        <v>-750.1</v>
      </c>
      <c r="E1166" s="4">
        <v>-318.50400000000002</v>
      </c>
      <c r="F1166" s="4">
        <f t="shared" si="77"/>
        <v>-431.596</v>
      </c>
      <c r="G1166" s="5">
        <f t="shared" si="78"/>
        <v>0.57538461538461538</v>
      </c>
      <c r="H1166" s="2" t="s">
        <v>872</v>
      </c>
      <c r="I1166" s="6" t="s">
        <v>25</v>
      </c>
      <c r="J1166" s="2" t="s">
        <v>871</v>
      </c>
      <c r="K1166" s="2" t="s">
        <v>5</v>
      </c>
      <c r="L1166" s="2" t="s">
        <v>332</v>
      </c>
      <c r="M1166" s="2" t="s">
        <v>5</v>
      </c>
      <c r="N1166" s="4">
        <v>-8.31</v>
      </c>
    </row>
    <row r="1167" spans="1:14" x14ac:dyDescent="0.25">
      <c r="A1167" s="2" t="s">
        <v>579</v>
      </c>
      <c r="B1167" s="2" t="s">
        <v>580</v>
      </c>
      <c r="C1167" s="3">
        <v>15.9</v>
      </c>
      <c r="D1167" s="4">
        <v>257.73899999999998</v>
      </c>
      <c r="E1167" s="4">
        <v>147.87</v>
      </c>
      <c r="F1167" s="4">
        <f t="shared" si="77"/>
        <v>109.86899999999997</v>
      </c>
      <c r="G1167" s="5">
        <f t="shared" si="78"/>
        <v>0.42628007402837748</v>
      </c>
      <c r="H1167" s="2" t="s">
        <v>868</v>
      </c>
      <c r="I1167" s="6" t="s">
        <v>74</v>
      </c>
      <c r="J1167" s="2" t="s">
        <v>869</v>
      </c>
      <c r="K1167" s="2" t="s">
        <v>5</v>
      </c>
      <c r="L1167" s="2" t="s">
        <v>28</v>
      </c>
      <c r="M1167" s="2" t="s">
        <v>5</v>
      </c>
      <c r="N1167" s="4">
        <v>8737.34</v>
      </c>
    </row>
    <row r="1168" spans="1:14" x14ac:dyDescent="0.25">
      <c r="A1168" s="2" t="s">
        <v>51</v>
      </c>
      <c r="B1168" s="2" t="s">
        <v>52</v>
      </c>
      <c r="C1168" s="3">
        <v>21.5</v>
      </c>
      <c r="D1168" s="4">
        <v>395.17</v>
      </c>
      <c r="E1168" s="4">
        <v>354.75</v>
      </c>
      <c r="F1168" s="4">
        <f t="shared" si="77"/>
        <v>40.420000000000016</v>
      </c>
      <c r="G1168" s="5">
        <f t="shared" si="78"/>
        <v>0.10228509249183899</v>
      </c>
      <c r="H1168" s="2" t="s">
        <v>868</v>
      </c>
      <c r="I1168" s="6" t="s">
        <v>74</v>
      </c>
      <c r="J1168" s="2" t="s">
        <v>869</v>
      </c>
      <c r="K1168" s="2" t="s">
        <v>5</v>
      </c>
      <c r="L1168" s="2" t="s">
        <v>28</v>
      </c>
      <c r="M1168" s="2" t="s">
        <v>5</v>
      </c>
      <c r="N1168" s="4">
        <v>8737.34</v>
      </c>
    </row>
    <row r="1169" spans="1:14" x14ac:dyDescent="0.25">
      <c r="A1169" s="2" t="s">
        <v>217</v>
      </c>
      <c r="B1169" s="2" t="s">
        <v>218</v>
      </c>
      <c r="C1169" s="3">
        <v>12.67</v>
      </c>
      <c r="D1169" s="4">
        <v>171.80520000000001</v>
      </c>
      <c r="E1169" s="4">
        <v>138.10300000000001</v>
      </c>
      <c r="F1169" s="4">
        <f t="shared" si="77"/>
        <v>33.702200000000005</v>
      </c>
      <c r="G1169" s="5">
        <f t="shared" si="78"/>
        <v>0.196165191740413</v>
      </c>
      <c r="H1169" s="2" t="s">
        <v>868</v>
      </c>
      <c r="I1169" s="6" t="s">
        <v>74</v>
      </c>
      <c r="J1169" s="2" t="s">
        <v>869</v>
      </c>
      <c r="K1169" s="2" t="s">
        <v>5</v>
      </c>
      <c r="L1169" s="2" t="s">
        <v>28</v>
      </c>
      <c r="M1169" s="2" t="s">
        <v>5</v>
      </c>
      <c r="N1169" s="4">
        <v>8737.34</v>
      </c>
    </row>
    <row r="1170" spans="1:14" x14ac:dyDescent="0.25">
      <c r="A1170" s="2" t="s">
        <v>583</v>
      </c>
      <c r="B1170" s="2" t="s">
        <v>584</v>
      </c>
      <c r="C1170" s="3">
        <v>22.79</v>
      </c>
      <c r="D1170" s="4">
        <v>312.22300000000001</v>
      </c>
      <c r="E1170" s="4">
        <v>170.92500000000001</v>
      </c>
      <c r="F1170" s="4">
        <f t="shared" si="77"/>
        <v>141.298</v>
      </c>
      <c r="G1170" s="5">
        <f t="shared" si="78"/>
        <v>0.45255474452554745</v>
      </c>
      <c r="H1170" s="2" t="s">
        <v>868</v>
      </c>
      <c r="I1170" s="6" t="s">
        <v>74</v>
      </c>
      <c r="J1170" s="2" t="s">
        <v>869</v>
      </c>
      <c r="K1170" s="2" t="s">
        <v>5</v>
      </c>
      <c r="L1170" s="2" t="s">
        <v>28</v>
      </c>
      <c r="M1170" s="2" t="s">
        <v>5</v>
      </c>
      <c r="N1170" s="4">
        <v>8737.34</v>
      </c>
    </row>
    <row r="1171" spans="1:14" x14ac:dyDescent="0.25">
      <c r="A1171" s="2" t="s">
        <v>122</v>
      </c>
      <c r="B1171" s="2" t="s">
        <v>123</v>
      </c>
      <c r="C1171" s="3">
        <v>15.27</v>
      </c>
      <c r="D1171" s="4">
        <v>132.23820000000001</v>
      </c>
      <c r="E1171" s="4">
        <v>83.984999999999999</v>
      </c>
      <c r="F1171" s="4">
        <f t="shared" si="77"/>
        <v>48.253200000000007</v>
      </c>
      <c r="G1171" s="5">
        <f t="shared" si="78"/>
        <v>0.36489607390300233</v>
      </c>
      <c r="H1171" s="2" t="s">
        <v>868</v>
      </c>
      <c r="I1171" s="6" t="s">
        <v>74</v>
      </c>
      <c r="J1171" s="2" t="s">
        <v>869</v>
      </c>
      <c r="K1171" s="2" t="s">
        <v>5</v>
      </c>
      <c r="L1171" s="2" t="s">
        <v>28</v>
      </c>
      <c r="M1171" s="2" t="s">
        <v>5</v>
      </c>
      <c r="N1171" s="4">
        <v>8737.34</v>
      </c>
    </row>
    <row r="1172" spans="1:14" x14ac:dyDescent="0.25">
      <c r="A1172" s="2" t="s">
        <v>171</v>
      </c>
      <c r="B1172" s="2" t="s">
        <v>172</v>
      </c>
      <c r="C1172" s="3">
        <v>43.52</v>
      </c>
      <c r="D1172" s="4">
        <v>1885.2864</v>
      </c>
      <c r="E1172" s="4">
        <v>1349.12</v>
      </c>
      <c r="F1172" s="4">
        <f t="shared" si="77"/>
        <v>536.16640000000007</v>
      </c>
      <c r="G1172" s="5">
        <f t="shared" si="78"/>
        <v>0.28439519852262241</v>
      </c>
      <c r="H1172" s="2" t="s">
        <v>868</v>
      </c>
      <c r="I1172" s="6" t="s">
        <v>74</v>
      </c>
      <c r="J1172" s="2" t="s">
        <v>869</v>
      </c>
      <c r="K1172" s="2" t="s">
        <v>5</v>
      </c>
      <c r="L1172" s="2" t="s">
        <v>28</v>
      </c>
      <c r="M1172" s="2" t="s">
        <v>5</v>
      </c>
      <c r="N1172" s="4">
        <v>8737.34</v>
      </c>
    </row>
    <row r="1173" spans="1:14" x14ac:dyDescent="0.25">
      <c r="A1173" s="2" t="s">
        <v>136</v>
      </c>
      <c r="B1173" s="2" t="s">
        <v>137</v>
      </c>
      <c r="C1173" s="3">
        <v>39.04</v>
      </c>
      <c r="D1173" s="4">
        <v>1004.4992</v>
      </c>
      <c r="E1173" s="4">
        <v>546.55999999999995</v>
      </c>
      <c r="F1173" s="4">
        <f t="shared" si="77"/>
        <v>457.93920000000003</v>
      </c>
      <c r="G1173" s="5">
        <f t="shared" si="78"/>
        <v>0.45588806840264284</v>
      </c>
      <c r="H1173" s="2" t="s">
        <v>868</v>
      </c>
      <c r="I1173" s="6" t="s">
        <v>74</v>
      </c>
      <c r="J1173" s="2" t="s">
        <v>869</v>
      </c>
      <c r="K1173" s="2" t="s">
        <v>5</v>
      </c>
      <c r="L1173" s="2" t="s">
        <v>28</v>
      </c>
      <c r="M1173" s="2" t="s">
        <v>5</v>
      </c>
      <c r="N1173" s="4">
        <v>8737.34</v>
      </c>
    </row>
    <row r="1174" spans="1:14" x14ac:dyDescent="0.25">
      <c r="A1174" s="2" t="s">
        <v>873</v>
      </c>
      <c r="B1174" s="2" t="s">
        <v>874</v>
      </c>
      <c r="C1174" s="3">
        <v>30.59</v>
      </c>
      <c r="D1174" s="4">
        <v>787.08069999999998</v>
      </c>
      <c r="E1174" s="4">
        <v>428.26</v>
      </c>
      <c r="F1174" s="4">
        <f t="shared" si="77"/>
        <v>358.82069999999999</v>
      </c>
      <c r="G1174" s="5">
        <f t="shared" si="78"/>
        <v>0.45588806840264284</v>
      </c>
      <c r="H1174" s="2" t="s">
        <v>868</v>
      </c>
      <c r="I1174" s="6" t="s">
        <v>74</v>
      </c>
      <c r="J1174" s="2" t="s">
        <v>869</v>
      </c>
      <c r="K1174" s="2" t="s">
        <v>5</v>
      </c>
      <c r="L1174" s="2" t="s">
        <v>28</v>
      </c>
      <c r="M1174" s="2" t="s">
        <v>5</v>
      </c>
      <c r="N1174" s="4">
        <v>8737.34</v>
      </c>
    </row>
    <row r="1175" spans="1:14" x14ac:dyDescent="0.25">
      <c r="A1175" s="2" t="s">
        <v>124</v>
      </c>
      <c r="B1175" s="2" t="s">
        <v>125</v>
      </c>
      <c r="C1175" s="3">
        <v>14.824999999999999</v>
      </c>
      <c r="D1175" s="4">
        <v>458.24074999999999</v>
      </c>
      <c r="E1175" s="4">
        <v>322.44375000000002</v>
      </c>
      <c r="F1175" s="4">
        <f t="shared" si="77"/>
        <v>135.79699999999997</v>
      </c>
      <c r="G1175" s="5">
        <f t="shared" si="78"/>
        <v>0.29634422516984787</v>
      </c>
      <c r="H1175" s="2" t="s">
        <v>868</v>
      </c>
      <c r="I1175" s="6" t="s">
        <v>74</v>
      </c>
      <c r="J1175" s="2" t="s">
        <v>869</v>
      </c>
      <c r="K1175" s="2" t="s">
        <v>5</v>
      </c>
      <c r="L1175" s="2" t="s">
        <v>28</v>
      </c>
      <c r="M1175" s="2" t="s">
        <v>5</v>
      </c>
      <c r="N1175" s="4">
        <v>8737.34</v>
      </c>
    </row>
    <row r="1177" spans="1:14" x14ac:dyDescent="0.25">
      <c r="A1177" s="13" t="s">
        <v>59</v>
      </c>
      <c r="B1177" s="21"/>
      <c r="C1177" s="22">
        <f>SUM(C1154:C1176)</f>
        <v>473.07</v>
      </c>
      <c r="D1177" s="23">
        <f>SUM(D1154:D1176)</f>
        <v>9034.884250000001</v>
      </c>
      <c r="E1177" s="23">
        <f>SUM(E1154:E1176)</f>
        <v>5742.2272499999999</v>
      </c>
      <c r="F1177" s="23">
        <f>D1177-E1177</f>
        <v>3292.6570000000011</v>
      </c>
      <c r="G1177" s="24">
        <f>IF(((D1177)=0),0,(D1177-E1177)/ D1177)</f>
        <v>0.36443820517125058</v>
      </c>
      <c r="H1177" s="21"/>
      <c r="I1177" s="21"/>
      <c r="J1177" s="21"/>
      <c r="K1177" s="21"/>
      <c r="L1177" s="21"/>
      <c r="M1177" s="21"/>
      <c r="N1177" s="21"/>
    </row>
    <row r="1179" spans="1:14" s="17" customFormat="1" ht="18.75" x14ac:dyDescent="0.3"/>
    <row r="1180" spans="1:14" s="7" customFormat="1" x14ac:dyDescent="0.25">
      <c r="A1180" s="13" t="s">
        <v>875</v>
      </c>
      <c r="B1180" s="18" t="s">
        <v>876</v>
      </c>
      <c r="C1180" s="19"/>
      <c r="D1180" s="20" t="s">
        <v>5</v>
      </c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</row>
    <row r="1182" spans="1:14" x14ac:dyDescent="0.25">
      <c r="A1182" s="2" t="s">
        <v>877</v>
      </c>
      <c r="B1182" s="2" t="s">
        <v>878</v>
      </c>
      <c r="C1182" s="3">
        <v>63.91</v>
      </c>
      <c r="D1182" s="4">
        <v>1455.2307000000001</v>
      </c>
      <c r="E1182" s="4">
        <v>798.875</v>
      </c>
      <c r="F1182" s="4">
        <f t="shared" ref="F1182:F1198" si="79">D1182-E1182</f>
        <v>656.35570000000007</v>
      </c>
      <c r="G1182" s="5">
        <f t="shared" ref="G1182:G1198" si="80">IF(((D1182)=0),0,(D1182-E1182)/ D1182)</f>
        <v>0.45103205972771193</v>
      </c>
      <c r="H1182" s="2" t="s">
        <v>879</v>
      </c>
      <c r="I1182" s="6" t="s">
        <v>74</v>
      </c>
      <c r="J1182" s="2" t="s">
        <v>880</v>
      </c>
      <c r="K1182" s="2" t="s">
        <v>881</v>
      </c>
      <c r="L1182" s="2" t="s">
        <v>28</v>
      </c>
      <c r="M1182" s="2" t="s">
        <v>5</v>
      </c>
      <c r="N1182" s="4">
        <v>7848.13</v>
      </c>
    </row>
    <row r="1183" spans="1:14" x14ac:dyDescent="0.25">
      <c r="A1183" s="2" t="s">
        <v>260</v>
      </c>
      <c r="B1183" s="2" t="s">
        <v>261</v>
      </c>
      <c r="C1183" s="3">
        <v>50</v>
      </c>
      <c r="D1183" s="4">
        <v>882</v>
      </c>
      <c r="E1183" s="4">
        <v>500</v>
      </c>
      <c r="F1183" s="4">
        <f t="shared" si="79"/>
        <v>382</v>
      </c>
      <c r="G1183" s="5">
        <f t="shared" si="80"/>
        <v>0.43310657596371882</v>
      </c>
      <c r="H1183" s="2" t="s">
        <v>879</v>
      </c>
      <c r="I1183" s="6" t="s">
        <v>74</v>
      </c>
      <c r="J1183" s="2" t="s">
        <v>880</v>
      </c>
      <c r="K1183" s="2" t="s">
        <v>881</v>
      </c>
      <c r="L1183" s="2" t="s">
        <v>28</v>
      </c>
      <c r="M1183" s="2" t="s">
        <v>5</v>
      </c>
      <c r="N1183" s="4">
        <v>7848.13</v>
      </c>
    </row>
    <row r="1184" spans="1:14" x14ac:dyDescent="0.25">
      <c r="A1184" s="2" t="s">
        <v>270</v>
      </c>
      <c r="B1184" s="2" t="s">
        <v>271</v>
      </c>
      <c r="C1184" s="3">
        <v>48.6</v>
      </c>
      <c r="D1184" s="4">
        <v>857.79</v>
      </c>
      <c r="E1184" s="4">
        <v>534.6</v>
      </c>
      <c r="F1184" s="4">
        <f t="shared" si="79"/>
        <v>323.18999999999994</v>
      </c>
      <c r="G1184" s="5">
        <f t="shared" si="80"/>
        <v>0.376770538243626</v>
      </c>
      <c r="H1184" s="2" t="s">
        <v>879</v>
      </c>
      <c r="I1184" s="6" t="s">
        <v>74</v>
      </c>
      <c r="J1184" s="2" t="s">
        <v>880</v>
      </c>
      <c r="K1184" s="2" t="s">
        <v>881</v>
      </c>
      <c r="L1184" s="2" t="s">
        <v>28</v>
      </c>
      <c r="M1184" s="2" t="s">
        <v>5</v>
      </c>
      <c r="N1184" s="4">
        <v>7848.13</v>
      </c>
    </row>
    <row r="1185" spans="1:14" x14ac:dyDescent="0.25">
      <c r="A1185" s="2" t="s">
        <v>272</v>
      </c>
      <c r="B1185" s="2" t="s">
        <v>273</v>
      </c>
      <c r="C1185" s="3">
        <v>15.24</v>
      </c>
      <c r="D1185" s="4">
        <v>238.9632</v>
      </c>
      <c r="E1185" s="4">
        <v>185.928</v>
      </c>
      <c r="F1185" s="4">
        <f t="shared" si="79"/>
        <v>53.035200000000003</v>
      </c>
      <c r="G1185" s="5">
        <f t="shared" si="80"/>
        <v>0.22193877551020411</v>
      </c>
      <c r="H1185" s="2" t="s">
        <v>879</v>
      </c>
      <c r="I1185" s="6" t="s">
        <v>74</v>
      </c>
      <c r="J1185" s="2" t="s">
        <v>880</v>
      </c>
      <c r="K1185" s="2" t="s">
        <v>881</v>
      </c>
      <c r="L1185" s="2" t="s">
        <v>28</v>
      </c>
      <c r="M1185" s="2" t="s">
        <v>5</v>
      </c>
      <c r="N1185" s="4">
        <v>7848.13</v>
      </c>
    </row>
    <row r="1186" spans="1:14" x14ac:dyDescent="0.25">
      <c r="A1186" s="2" t="s">
        <v>882</v>
      </c>
      <c r="B1186" s="2" t="s">
        <v>883</v>
      </c>
      <c r="C1186" s="3">
        <v>15.33</v>
      </c>
      <c r="D1186" s="4">
        <v>311.81220000000002</v>
      </c>
      <c r="E1186" s="4">
        <v>191.625</v>
      </c>
      <c r="F1186" s="4">
        <f t="shared" si="79"/>
        <v>120.18720000000002</v>
      </c>
      <c r="G1186" s="5">
        <f t="shared" si="80"/>
        <v>0.38544739429695185</v>
      </c>
      <c r="H1186" s="2" t="s">
        <v>879</v>
      </c>
      <c r="I1186" s="6" t="s">
        <v>74</v>
      </c>
      <c r="J1186" s="2" t="s">
        <v>880</v>
      </c>
      <c r="K1186" s="2" t="s">
        <v>881</v>
      </c>
      <c r="L1186" s="2" t="s">
        <v>28</v>
      </c>
      <c r="M1186" s="2" t="s">
        <v>5</v>
      </c>
      <c r="N1186" s="4">
        <v>7848.13</v>
      </c>
    </row>
    <row r="1187" spans="1:14" x14ac:dyDescent="0.25">
      <c r="A1187" s="2" t="s">
        <v>274</v>
      </c>
      <c r="B1187" s="2" t="s">
        <v>275</v>
      </c>
      <c r="C1187" s="3">
        <v>39.799999999999997</v>
      </c>
      <c r="D1187" s="4">
        <v>641.178</v>
      </c>
      <c r="E1187" s="4">
        <v>143.28</v>
      </c>
      <c r="F1187" s="4">
        <f t="shared" si="79"/>
        <v>497.89800000000002</v>
      </c>
      <c r="G1187" s="5">
        <f t="shared" si="80"/>
        <v>0.77653631284916202</v>
      </c>
      <c r="H1187" s="2" t="s">
        <v>879</v>
      </c>
      <c r="I1187" s="6" t="s">
        <v>74</v>
      </c>
      <c r="J1187" s="2" t="s">
        <v>880</v>
      </c>
      <c r="K1187" s="2" t="s">
        <v>881</v>
      </c>
      <c r="L1187" s="2" t="s">
        <v>28</v>
      </c>
      <c r="M1187" s="2" t="s">
        <v>5</v>
      </c>
      <c r="N1187" s="4">
        <v>7848.13</v>
      </c>
    </row>
    <row r="1188" spans="1:14" x14ac:dyDescent="0.25">
      <c r="A1188" s="2" t="s">
        <v>276</v>
      </c>
      <c r="B1188" s="2" t="s">
        <v>277</v>
      </c>
      <c r="C1188" s="3">
        <v>14.82</v>
      </c>
      <c r="D1188" s="4">
        <v>256.08960000000002</v>
      </c>
      <c r="E1188" s="4">
        <v>74.099999999999994</v>
      </c>
      <c r="F1188" s="4">
        <f t="shared" si="79"/>
        <v>181.98960000000002</v>
      </c>
      <c r="G1188" s="5">
        <f t="shared" si="80"/>
        <v>0.71064814814814814</v>
      </c>
      <c r="H1188" s="2" t="s">
        <v>879</v>
      </c>
      <c r="I1188" s="6" t="s">
        <v>74</v>
      </c>
      <c r="J1188" s="2" t="s">
        <v>880</v>
      </c>
      <c r="K1188" s="2" t="s">
        <v>881</v>
      </c>
      <c r="L1188" s="2" t="s">
        <v>28</v>
      </c>
      <c r="M1188" s="2" t="s">
        <v>5</v>
      </c>
      <c r="N1188" s="4">
        <v>7848.13</v>
      </c>
    </row>
    <row r="1189" spans="1:14" x14ac:dyDescent="0.25">
      <c r="A1189" s="2" t="s">
        <v>280</v>
      </c>
      <c r="B1189" s="2" t="s">
        <v>281</v>
      </c>
      <c r="C1189" s="3">
        <v>15.82</v>
      </c>
      <c r="D1189" s="4">
        <v>257.07499999999999</v>
      </c>
      <c r="E1189" s="4">
        <v>109.158</v>
      </c>
      <c r="F1189" s="4">
        <f t="shared" si="79"/>
        <v>147.91699999999997</v>
      </c>
      <c r="G1189" s="5">
        <f t="shared" si="80"/>
        <v>0.57538461538461527</v>
      </c>
      <c r="H1189" s="2" t="s">
        <v>879</v>
      </c>
      <c r="I1189" s="6" t="s">
        <v>74</v>
      </c>
      <c r="J1189" s="2" t="s">
        <v>880</v>
      </c>
      <c r="K1189" s="2" t="s">
        <v>881</v>
      </c>
      <c r="L1189" s="2" t="s">
        <v>28</v>
      </c>
      <c r="M1189" s="2" t="s">
        <v>5</v>
      </c>
      <c r="N1189" s="4">
        <v>7848.13</v>
      </c>
    </row>
    <row r="1190" spans="1:14" x14ac:dyDescent="0.25">
      <c r="A1190" s="2" t="s">
        <v>756</v>
      </c>
      <c r="B1190" s="2" t="s">
        <v>757</v>
      </c>
      <c r="C1190" s="3">
        <v>37.880000000000003</v>
      </c>
      <c r="D1190" s="4">
        <v>254.9324</v>
      </c>
      <c r="E1190" s="4">
        <v>136.36799999999999</v>
      </c>
      <c r="F1190" s="4">
        <f t="shared" si="79"/>
        <v>118.56440000000001</v>
      </c>
      <c r="G1190" s="5">
        <f t="shared" si="80"/>
        <v>0.46508172362555722</v>
      </c>
      <c r="H1190" s="2" t="s">
        <v>879</v>
      </c>
      <c r="I1190" s="6" t="s">
        <v>74</v>
      </c>
      <c r="J1190" s="2" t="s">
        <v>880</v>
      </c>
      <c r="K1190" s="2" t="s">
        <v>881</v>
      </c>
      <c r="L1190" s="2" t="s">
        <v>28</v>
      </c>
      <c r="M1190" s="2" t="s">
        <v>5</v>
      </c>
      <c r="N1190" s="4">
        <v>7848.13</v>
      </c>
    </row>
    <row r="1191" spans="1:14" x14ac:dyDescent="0.25">
      <c r="A1191" s="2" t="s">
        <v>286</v>
      </c>
      <c r="B1191" s="2" t="s">
        <v>287</v>
      </c>
      <c r="C1191" s="3">
        <v>17.097999999999999</v>
      </c>
      <c r="D1191" s="4">
        <v>241.59474</v>
      </c>
      <c r="E1191" s="4">
        <v>141.74242000000001</v>
      </c>
      <c r="F1191" s="4">
        <f t="shared" si="79"/>
        <v>99.852319999999992</v>
      </c>
      <c r="G1191" s="5">
        <f t="shared" si="80"/>
        <v>0.41330502476999287</v>
      </c>
      <c r="H1191" s="2" t="s">
        <v>879</v>
      </c>
      <c r="I1191" s="6" t="s">
        <v>74</v>
      </c>
      <c r="J1191" s="2" t="s">
        <v>880</v>
      </c>
      <c r="K1191" s="2" t="s">
        <v>881</v>
      </c>
      <c r="L1191" s="2" t="s">
        <v>28</v>
      </c>
      <c r="M1191" s="2" t="s">
        <v>5</v>
      </c>
      <c r="N1191" s="4">
        <v>7848.13</v>
      </c>
    </row>
    <row r="1192" spans="1:14" x14ac:dyDescent="0.25">
      <c r="A1192" s="2" t="s">
        <v>884</v>
      </c>
      <c r="B1192" s="2" t="s">
        <v>885</v>
      </c>
      <c r="C1192" s="3">
        <v>5</v>
      </c>
      <c r="D1192" s="4">
        <v>71.2</v>
      </c>
      <c r="E1192" s="4">
        <v>39.35</v>
      </c>
      <c r="F1192" s="4">
        <f t="shared" si="79"/>
        <v>31.85</v>
      </c>
      <c r="G1192" s="5">
        <f t="shared" si="80"/>
        <v>0.4473314606741573</v>
      </c>
      <c r="H1192" s="2" t="s">
        <v>879</v>
      </c>
      <c r="I1192" s="6" t="s">
        <v>74</v>
      </c>
      <c r="J1192" s="2" t="s">
        <v>880</v>
      </c>
      <c r="K1192" s="2" t="s">
        <v>881</v>
      </c>
      <c r="L1192" s="2" t="s">
        <v>28</v>
      </c>
      <c r="M1192" s="2" t="s">
        <v>5</v>
      </c>
      <c r="N1192" s="4">
        <v>7848.13</v>
      </c>
    </row>
    <row r="1193" spans="1:14" x14ac:dyDescent="0.25">
      <c r="A1193" s="2" t="s">
        <v>288</v>
      </c>
      <c r="B1193" s="2" t="s">
        <v>289</v>
      </c>
      <c r="C1193" s="3">
        <v>8.3450000000000006</v>
      </c>
      <c r="D1193" s="4">
        <v>156.80255</v>
      </c>
      <c r="E1193" s="4">
        <v>86.370750000000001</v>
      </c>
      <c r="F1193" s="4">
        <f t="shared" si="79"/>
        <v>70.431799999999996</v>
      </c>
      <c r="G1193" s="5">
        <f t="shared" si="80"/>
        <v>0.4491750931346461</v>
      </c>
      <c r="H1193" s="2" t="s">
        <v>879</v>
      </c>
      <c r="I1193" s="6" t="s">
        <v>74</v>
      </c>
      <c r="J1193" s="2" t="s">
        <v>880</v>
      </c>
      <c r="K1193" s="2" t="s">
        <v>881</v>
      </c>
      <c r="L1193" s="2" t="s">
        <v>28</v>
      </c>
      <c r="M1193" s="2" t="s">
        <v>5</v>
      </c>
      <c r="N1193" s="4">
        <v>7848.13</v>
      </c>
    </row>
    <row r="1194" spans="1:14" x14ac:dyDescent="0.25">
      <c r="A1194" s="2" t="s">
        <v>290</v>
      </c>
      <c r="B1194" s="2" t="s">
        <v>291</v>
      </c>
      <c r="C1194" s="3">
        <v>16</v>
      </c>
      <c r="D1194" s="4">
        <v>370.08</v>
      </c>
      <c r="E1194" s="4">
        <v>260</v>
      </c>
      <c r="F1194" s="4">
        <f t="shared" si="79"/>
        <v>110.07999999999998</v>
      </c>
      <c r="G1194" s="5">
        <f t="shared" si="80"/>
        <v>0.29744920017293552</v>
      </c>
      <c r="H1194" s="2" t="s">
        <v>879</v>
      </c>
      <c r="I1194" s="6" t="s">
        <v>74</v>
      </c>
      <c r="J1194" s="2" t="s">
        <v>880</v>
      </c>
      <c r="K1194" s="2" t="s">
        <v>881</v>
      </c>
      <c r="L1194" s="2" t="s">
        <v>28</v>
      </c>
      <c r="M1194" s="2" t="s">
        <v>5</v>
      </c>
      <c r="N1194" s="4">
        <v>7848.13</v>
      </c>
    </row>
    <row r="1195" spans="1:14" x14ac:dyDescent="0.25">
      <c r="A1195" s="2" t="s">
        <v>292</v>
      </c>
      <c r="B1195" s="2" t="s">
        <v>293</v>
      </c>
      <c r="C1195" s="3">
        <v>42.92</v>
      </c>
      <c r="D1195" s="4">
        <v>875.13879999999995</v>
      </c>
      <c r="E1195" s="4">
        <v>708.18</v>
      </c>
      <c r="F1195" s="4">
        <f t="shared" si="79"/>
        <v>166.9588</v>
      </c>
      <c r="G1195" s="5">
        <f t="shared" si="80"/>
        <v>0.19077979401667486</v>
      </c>
      <c r="H1195" s="2" t="s">
        <v>879</v>
      </c>
      <c r="I1195" s="6" t="s">
        <v>74</v>
      </c>
      <c r="J1195" s="2" t="s">
        <v>880</v>
      </c>
      <c r="K1195" s="2" t="s">
        <v>881</v>
      </c>
      <c r="L1195" s="2" t="s">
        <v>28</v>
      </c>
      <c r="M1195" s="2" t="s">
        <v>5</v>
      </c>
      <c r="N1195" s="4">
        <v>7848.13</v>
      </c>
    </row>
    <row r="1196" spans="1:14" x14ac:dyDescent="0.25">
      <c r="A1196" s="2" t="s">
        <v>886</v>
      </c>
      <c r="B1196" s="2" t="s">
        <v>887</v>
      </c>
      <c r="C1196" s="3">
        <v>15.66</v>
      </c>
      <c r="D1196" s="4">
        <v>159.5754</v>
      </c>
      <c r="E1196" s="4">
        <v>111.18600000000001</v>
      </c>
      <c r="F1196" s="4">
        <f t="shared" si="79"/>
        <v>48.389399999999995</v>
      </c>
      <c r="G1196" s="5">
        <f t="shared" si="80"/>
        <v>0.30323846908734048</v>
      </c>
      <c r="H1196" s="2" t="s">
        <v>879</v>
      </c>
      <c r="I1196" s="6" t="s">
        <v>74</v>
      </c>
      <c r="J1196" s="2" t="s">
        <v>880</v>
      </c>
      <c r="K1196" s="2" t="s">
        <v>881</v>
      </c>
      <c r="L1196" s="2" t="s">
        <v>28</v>
      </c>
      <c r="M1196" s="2" t="s">
        <v>5</v>
      </c>
      <c r="N1196" s="4">
        <v>7848.13</v>
      </c>
    </row>
    <row r="1197" spans="1:14" x14ac:dyDescent="0.25">
      <c r="A1197" s="2" t="s">
        <v>300</v>
      </c>
      <c r="B1197" s="2" t="s">
        <v>301</v>
      </c>
      <c r="C1197" s="3">
        <v>14.54</v>
      </c>
      <c r="D1197" s="4">
        <v>148.1626</v>
      </c>
      <c r="E1197" s="4">
        <v>103.23399999999999</v>
      </c>
      <c r="F1197" s="4">
        <f t="shared" si="79"/>
        <v>44.928600000000003</v>
      </c>
      <c r="G1197" s="5">
        <f t="shared" si="80"/>
        <v>0.30323846908734053</v>
      </c>
      <c r="H1197" s="2" t="s">
        <v>879</v>
      </c>
      <c r="I1197" s="6" t="s">
        <v>74</v>
      </c>
      <c r="J1197" s="2" t="s">
        <v>880</v>
      </c>
      <c r="K1197" s="2" t="s">
        <v>881</v>
      </c>
      <c r="L1197" s="2" t="s">
        <v>28</v>
      </c>
      <c r="M1197" s="2" t="s">
        <v>5</v>
      </c>
      <c r="N1197" s="4">
        <v>7848.13</v>
      </c>
    </row>
    <row r="1198" spans="1:14" x14ac:dyDescent="0.25">
      <c r="A1198" s="2" t="s">
        <v>772</v>
      </c>
      <c r="B1198" s="2" t="s">
        <v>773</v>
      </c>
      <c r="C1198" s="3">
        <v>45</v>
      </c>
      <c r="D1198" s="4">
        <v>670.5</v>
      </c>
      <c r="E1198" s="4">
        <v>382.5</v>
      </c>
      <c r="F1198" s="4">
        <f t="shared" si="79"/>
        <v>288</v>
      </c>
      <c r="G1198" s="5">
        <f t="shared" si="80"/>
        <v>0.42953020134228187</v>
      </c>
      <c r="H1198" s="2" t="s">
        <v>879</v>
      </c>
      <c r="I1198" s="6" t="s">
        <v>74</v>
      </c>
      <c r="J1198" s="2" t="s">
        <v>880</v>
      </c>
      <c r="K1198" s="2" t="s">
        <v>881</v>
      </c>
      <c r="L1198" s="2" t="s">
        <v>28</v>
      </c>
      <c r="M1198" s="2" t="s">
        <v>5</v>
      </c>
      <c r="N1198" s="4">
        <v>7848.13</v>
      </c>
    </row>
    <row r="1200" spans="1:14" x14ac:dyDescent="0.25">
      <c r="A1200" s="13" t="s">
        <v>59</v>
      </c>
      <c r="B1200" s="21"/>
      <c r="C1200" s="22">
        <f>SUM(C1179:C1199)</f>
        <v>465.96300000000008</v>
      </c>
      <c r="D1200" s="23">
        <f>SUM(D1179:D1199)</f>
        <v>7848.1251899999988</v>
      </c>
      <c r="E1200" s="23">
        <f>SUM(E1179:E1199)</f>
        <v>4506.4971699999996</v>
      </c>
      <c r="F1200" s="23">
        <f>D1200-E1200</f>
        <v>3341.6280199999992</v>
      </c>
      <c r="G1200" s="24">
        <f>IF(((D1200)=0),0,(D1200-E1200)/ D1200)</f>
        <v>0.42578678844953538</v>
      </c>
      <c r="H1200" s="21"/>
      <c r="I1200" s="21"/>
      <c r="J1200" s="21"/>
      <c r="K1200" s="21"/>
      <c r="L1200" s="21"/>
      <c r="M1200" s="21"/>
      <c r="N1200" s="21"/>
    </row>
    <row r="1202" spans="1:14" s="17" customFormat="1" ht="18.75" x14ac:dyDescent="0.3"/>
    <row r="1203" spans="1:14" s="7" customFormat="1" x14ac:dyDescent="0.25">
      <c r="A1203" s="13" t="s">
        <v>888</v>
      </c>
      <c r="B1203" s="18" t="s">
        <v>889</v>
      </c>
      <c r="C1203" s="19"/>
      <c r="D1203" s="20" t="s">
        <v>5</v>
      </c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</row>
    <row r="1205" spans="1:14" x14ac:dyDescent="0.25">
      <c r="A1205" s="2" t="s">
        <v>877</v>
      </c>
      <c r="B1205" s="2" t="s">
        <v>878</v>
      </c>
      <c r="C1205" s="3">
        <v>83.405000000000001</v>
      </c>
      <c r="D1205" s="4">
        <v>1899.13185</v>
      </c>
      <c r="E1205" s="4">
        <v>1042.5625</v>
      </c>
      <c r="F1205" s="4">
        <f t="shared" ref="F1205:F1219" si="81">D1205-E1205</f>
        <v>856.56934999999999</v>
      </c>
      <c r="G1205" s="5">
        <f t="shared" ref="G1205:G1219" si="82">IF(((D1205)=0),0,(D1205-E1205)/ D1205)</f>
        <v>0.45103205972771188</v>
      </c>
      <c r="H1205" s="2" t="s">
        <v>890</v>
      </c>
      <c r="I1205" s="6" t="s">
        <v>32</v>
      </c>
      <c r="J1205" s="2" t="s">
        <v>891</v>
      </c>
      <c r="K1205" s="2" t="s">
        <v>892</v>
      </c>
      <c r="L1205" s="2" t="s">
        <v>28</v>
      </c>
      <c r="M1205" s="2" t="s">
        <v>5</v>
      </c>
      <c r="N1205" s="4">
        <v>7556.67</v>
      </c>
    </row>
    <row r="1206" spans="1:14" x14ac:dyDescent="0.25">
      <c r="A1206" s="2" t="s">
        <v>260</v>
      </c>
      <c r="B1206" s="2" t="s">
        <v>261</v>
      </c>
      <c r="C1206" s="3">
        <v>80</v>
      </c>
      <c r="D1206" s="4">
        <v>1411.2</v>
      </c>
      <c r="E1206" s="4">
        <v>800</v>
      </c>
      <c r="F1206" s="4">
        <f t="shared" si="81"/>
        <v>611.20000000000005</v>
      </c>
      <c r="G1206" s="5">
        <f t="shared" si="82"/>
        <v>0.43310657596371882</v>
      </c>
      <c r="H1206" s="2" t="s">
        <v>890</v>
      </c>
      <c r="I1206" s="6" t="s">
        <v>32</v>
      </c>
      <c r="J1206" s="2" t="s">
        <v>891</v>
      </c>
      <c r="K1206" s="2" t="s">
        <v>892</v>
      </c>
      <c r="L1206" s="2" t="s">
        <v>28</v>
      </c>
      <c r="M1206" s="2" t="s">
        <v>5</v>
      </c>
      <c r="N1206" s="4">
        <v>7556.67</v>
      </c>
    </row>
    <row r="1207" spans="1:14" x14ac:dyDescent="0.25">
      <c r="A1207" s="2" t="s">
        <v>268</v>
      </c>
      <c r="B1207" s="2" t="s">
        <v>269</v>
      </c>
      <c r="C1207" s="3">
        <v>15.12</v>
      </c>
      <c r="D1207" s="4">
        <v>307.54079999999999</v>
      </c>
      <c r="E1207" s="4">
        <v>178.416</v>
      </c>
      <c r="F1207" s="4">
        <f t="shared" si="81"/>
        <v>129.12479999999999</v>
      </c>
      <c r="G1207" s="5">
        <f t="shared" si="82"/>
        <v>0.41986234021632252</v>
      </c>
      <c r="H1207" s="2" t="s">
        <v>890</v>
      </c>
      <c r="I1207" s="6" t="s">
        <v>32</v>
      </c>
      <c r="J1207" s="2" t="s">
        <v>891</v>
      </c>
      <c r="K1207" s="2" t="s">
        <v>892</v>
      </c>
      <c r="L1207" s="2" t="s">
        <v>28</v>
      </c>
      <c r="M1207" s="2" t="s">
        <v>5</v>
      </c>
      <c r="N1207" s="4">
        <v>7556.67</v>
      </c>
    </row>
    <row r="1208" spans="1:14" x14ac:dyDescent="0.25">
      <c r="A1208" s="2" t="s">
        <v>270</v>
      </c>
      <c r="B1208" s="2" t="s">
        <v>271</v>
      </c>
      <c r="C1208" s="3">
        <v>29.88</v>
      </c>
      <c r="D1208" s="4">
        <v>527.38199999999995</v>
      </c>
      <c r="E1208" s="4">
        <v>328.68</v>
      </c>
      <c r="F1208" s="4">
        <f t="shared" si="81"/>
        <v>198.70199999999994</v>
      </c>
      <c r="G1208" s="5">
        <f t="shared" si="82"/>
        <v>0.376770538243626</v>
      </c>
      <c r="H1208" s="2" t="s">
        <v>890</v>
      </c>
      <c r="I1208" s="6" t="s">
        <v>32</v>
      </c>
      <c r="J1208" s="2" t="s">
        <v>891</v>
      </c>
      <c r="K1208" s="2" t="s">
        <v>892</v>
      </c>
      <c r="L1208" s="2" t="s">
        <v>28</v>
      </c>
      <c r="M1208" s="2" t="s">
        <v>5</v>
      </c>
      <c r="N1208" s="4">
        <v>7556.67</v>
      </c>
    </row>
    <row r="1209" spans="1:14" x14ac:dyDescent="0.25">
      <c r="A1209" s="2" t="s">
        <v>272</v>
      </c>
      <c r="B1209" s="2" t="s">
        <v>273</v>
      </c>
      <c r="C1209" s="3">
        <v>15.24</v>
      </c>
      <c r="D1209" s="4">
        <v>238.9632</v>
      </c>
      <c r="E1209" s="4">
        <v>152.4</v>
      </c>
      <c r="F1209" s="4">
        <f t="shared" si="81"/>
        <v>86.563199999999995</v>
      </c>
      <c r="G1209" s="5">
        <f t="shared" si="82"/>
        <v>0.36224489795918363</v>
      </c>
      <c r="H1209" s="2" t="s">
        <v>890</v>
      </c>
      <c r="I1209" s="6" t="s">
        <v>32</v>
      </c>
      <c r="J1209" s="2" t="s">
        <v>891</v>
      </c>
      <c r="K1209" s="2" t="s">
        <v>892</v>
      </c>
      <c r="L1209" s="2" t="s">
        <v>28</v>
      </c>
      <c r="M1209" s="2" t="s">
        <v>5</v>
      </c>
      <c r="N1209" s="4">
        <v>7556.67</v>
      </c>
    </row>
    <row r="1210" spans="1:14" x14ac:dyDescent="0.25">
      <c r="A1210" s="2" t="s">
        <v>280</v>
      </c>
      <c r="B1210" s="2" t="s">
        <v>281</v>
      </c>
      <c r="C1210" s="3">
        <v>46.18</v>
      </c>
      <c r="D1210" s="4">
        <v>750.42499999999995</v>
      </c>
      <c r="E1210" s="4">
        <v>318.642</v>
      </c>
      <c r="F1210" s="4">
        <f t="shared" si="81"/>
        <v>431.78299999999996</v>
      </c>
      <c r="G1210" s="5">
        <f t="shared" si="82"/>
        <v>0.57538461538461538</v>
      </c>
      <c r="H1210" s="2" t="s">
        <v>890</v>
      </c>
      <c r="I1210" s="6" t="s">
        <v>32</v>
      </c>
      <c r="J1210" s="2" t="s">
        <v>891</v>
      </c>
      <c r="K1210" s="2" t="s">
        <v>892</v>
      </c>
      <c r="L1210" s="2" t="s">
        <v>28</v>
      </c>
      <c r="M1210" s="2" t="s">
        <v>5</v>
      </c>
      <c r="N1210" s="4">
        <v>7556.67</v>
      </c>
    </row>
    <row r="1211" spans="1:14" x14ac:dyDescent="0.25">
      <c r="A1211" s="2" t="s">
        <v>754</v>
      </c>
      <c r="B1211" s="2" t="s">
        <v>755</v>
      </c>
      <c r="C1211" s="3">
        <v>4.49</v>
      </c>
      <c r="D1211" s="4">
        <v>104.57210000000001</v>
      </c>
      <c r="E1211" s="4">
        <v>57.561799999999998</v>
      </c>
      <c r="F1211" s="4">
        <f t="shared" si="81"/>
        <v>47.010300000000008</v>
      </c>
      <c r="G1211" s="5">
        <f t="shared" si="82"/>
        <v>0.44954916273078582</v>
      </c>
      <c r="H1211" s="2" t="s">
        <v>890</v>
      </c>
      <c r="I1211" s="6" t="s">
        <v>32</v>
      </c>
      <c r="J1211" s="2" t="s">
        <v>891</v>
      </c>
      <c r="K1211" s="2" t="s">
        <v>892</v>
      </c>
      <c r="L1211" s="2" t="s">
        <v>28</v>
      </c>
      <c r="M1211" s="2" t="s">
        <v>5</v>
      </c>
      <c r="N1211" s="4">
        <v>7556.67</v>
      </c>
    </row>
    <row r="1212" spans="1:14" x14ac:dyDescent="0.25">
      <c r="A1212" s="2" t="s">
        <v>852</v>
      </c>
      <c r="B1212" s="2" t="s">
        <v>853</v>
      </c>
      <c r="C1212" s="3">
        <v>10</v>
      </c>
      <c r="D1212" s="4">
        <v>110.2</v>
      </c>
      <c r="E1212" s="4">
        <v>60.9</v>
      </c>
      <c r="F1212" s="4">
        <f t="shared" si="81"/>
        <v>49.300000000000004</v>
      </c>
      <c r="G1212" s="5">
        <f t="shared" si="82"/>
        <v>0.44736842105263158</v>
      </c>
      <c r="H1212" s="2" t="s">
        <v>890</v>
      </c>
      <c r="I1212" s="6" t="s">
        <v>32</v>
      </c>
      <c r="J1212" s="2" t="s">
        <v>891</v>
      </c>
      <c r="K1212" s="2" t="s">
        <v>892</v>
      </c>
      <c r="L1212" s="2" t="s">
        <v>28</v>
      </c>
      <c r="M1212" s="2" t="s">
        <v>5</v>
      </c>
      <c r="N1212" s="4">
        <v>7556.67</v>
      </c>
    </row>
    <row r="1213" spans="1:14" x14ac:dyDescent="0.25">
      <c r="A1213" s="2" t="s">
        <v>286</v>
      </c>
      <c r="B1213" s="2" t="s">
        <v>287</v>
      </c>
      <c r="C1213" s="3">
        <v>18.84</v>
      </c>
      <c r="D1213" s="4">
        <v>266.20920000000001</v>
      </c>
      <c r="E1213" s="4">
        <v>156.18360000000001</v>
      </c>
      <c r="F1213" s="4">
        <f t="shared" si="81"/>
        <v>110.0256</v>
      </c>
      <c r="G1213" s="5">
        <f t="shared" si="82"/>
        <v>0.41330502476999292</v>
      </c>
      <c r="H1213" s="2" t="s">
        <v>890</v>
      </c>
      <c r="I1213" s="6" t="s">
        <v>32</v>
      </c>
      <c r="J1213" s="2" t="s">
        <v>891</v>
      </c>
      <c r="K1213" s="2" t="s">
        <v>892</v>
      </c>
      <c r="L1213" s="2" t="s">
        <v>28</v>
      </c>
      <c r="M1213" s="2" t="s">
        <v>5</v>
      </c>
      <c r="N1213" s="4">
        <v>7556.67</v>
      </c>
    </row>
    <row r="1214" spans="1:14" x14ac:dyDescent="0.25">
      <c r="A1214" s="2" t="s">
        <v>770</v>
      </c>
      <c r="B1214" s="2" t="s">
        <v>771</v>
      </c>
      <c r="C1214" s="3">
        <v>30</v>
      </c>
      <c r="D1214" s="4">
        <v>442.5</v>
      </c>
      <c r="E1214" s="4">
        <v>262.5</v>
      </c>
      <c r="F1214" s="4">
        <f t="shared" si="81"/>
        <v>180</v>
      </c>
      <c r="G1214" s="5">
        <f t="shared" si="82"/>
        <v>0.40677966101694918</v>
      </c>
      <c r="H1214" s="2" t="s">
        <v>890</v>
      </c>
      <c r="I1214" s="6" t="s">
        <v>32</v>
      </c>
      <c r="J1214" s="2" t="s">
        <v>891</v>
      </c>
      <c r="K1214" s="2" t="s">
        <v>892</v>
      </c>
      <c r="L1214" s="2" t="s">
        <v>28</v>
      </c>
      <c r="M1214" s="2" t="s">
        <v>5</v>
      </c>
      <c r="N1214" s="4">
        <v>7556.67</v>
      </c>
    </row>
    <row r="1215" spans="1:14" x14ac:dyDescent="0.25">
      <c r="A1215" s="2" t="s">
        <v>296</v>
      </c>
      <c r="B1215" s="2" t="s">
        <v>297</v>
      </c>
      <c r="C1215" s="3">
        <v>46.37</v>
      </c>
      <c r="D1215" s="4">
        <v>537.42830000000004</v>
      </c>
      <c r="E1215" s="4">
        <v>338.50099999999998</v>
      </c>
      <c r="F1215" s="4">
        <f t="shared" si="81"/>
        <v>198.92730000000006</v>
      </c>
      <c r="G1215" s="5">
        <f t="shared" si="82"/>
        <v>0.37014667817083702</v>
      </c>
      <c r="H1215" s="2" t="s">
        <v>890</v>
      </c>
      <c r="I1215" s="6" t="s">
        <v>32</v>
      </c>
      <c r="J1215" s="2" t="s">
        <v>891</v>
      </c>
      <c r="K1215" s="2" t="s">
        <v>892</v>
      </c>
      <c r="L1215" s="2" t="s">
        <v>28</v>
      </c>
      <c r="M1215" s="2" t="s">
        <v>5</v>
      </c>
      <c r="N1215" s="4">
        <v>7556.67</v>
      </c>
    </row>
    <row r="1216" spans="1:14" x14ac:dyDescent="0.25">
      <c r="A1216" s="2" t="s">
        <v>298</v>
      </c>
      <c r="B1216" s="2" t="s">
        <v>299</v>
      </c>
      <c r="C1216" s="3">
        <v>31.3</v>
      </c>
      <c r="D1216" s="4">
        <v>382.173</v>
      </c>
      <c r="E1216" s="4">
        <v>228.49</v>
      </c>
      <c r="F1216" s="4">
        <f t="shared" si="81"/>
        <v>153.68299999999999</v>
      </c>
      <c r="G1216" s="5">
        <f t="shared" si="82"/>
        <v>0.40212940212940212</v>
      </c>
      <c r="H1216" s="2" t="s">
        <v>890</v>
      </c>
      <c r="I1216" s="6" t="s">
        <v>32</v>
      </c>
      <c r="J1216" s="2" t="s">
        <v>891</v>
      </c>
      <c r="K1216" s="2" t="s">
        <v>892</v>
      </c>
      <c r="L1216" s="2" t="s">
        <v>28</v>
      </c>
      <c r="M1216" s="2" t="s">
        <v>5</v>
      </c>
      <c r="N1216" s="4">
        <v>7556.67</v>
      </c>
    </row>
    <row r="1217" spans="1:14" x14ac:dyDescent="0.25">
      <c r="A1217" s="2" t="s">
        <v>893</v>
      </c>
      <c r="B1217" s="2" t="s">
        <v>894</v>
      </c>
      <c r="C1217" s="3">
        <v>15.14</v>
      </c>
      <c r="D1217" s="4">
        <v>246.02500000000001</v>
      </c>
      <c r="E1217" s="4">
        <v>132.47499999999999</v>
      </c>
      <c r="F1217" s="4">
        <f t="shared" si="81"/>
        <v>113.55000000000001</v>
      </c>
      <c r="G1217" s="5">
        <f t="shared" si="82"/>
        <v>0.46153846153846156</v>
      </c>
      <c r="H1217" s="2" t="s">
        <v>890</v>
      </c>
      <c r="I1217" s="6" t="s">
        <v>32</v>
      </c>
      <c r="J1217" s="2" t="s">
        <v>891</v>
      </c>
      <c r="K1217" s="2" t="s">
        <v>892</v>
      </c>
      <c r="L1217" s="2" t="s">
        <v>28</v>
      </c>
      <c r="M1217" s="2" t="s">
        <v>5</v>
      </c>
      <c r="N1217" s="4">
        <v>7556.67</v>
      </c>
    </row>
    <row r="1218" spans="1:14" x14ac:dyDescent="0.25">
      <c r="A1218" s="2" t="s">
        <v>858</v>
      </c>
      <c r="B1218" s="2" t="s">
        <v>859</v>
      </c>
      <c r="C1218" s="3">
        <v>6</v>
      </c>
      <c r="D1218" s="4">
        <v>166.14</v>
      </c>
      <c r="E1218" s="4">
        <v>91.5</v>
      </c>
      <c r="F1218" s="4">
        <f t="shared" si="81"/>
        <v>74.639999999999986</v>
      </c>
      <c r="G1218" s="5">
        <f t="shared" si="82"/>
        <v>0.44925966052726612</v>
      </c>
      <c r="H1218" s="2" t="s">
        <v>890</v>
      </c>
      <c r="I1218" s="6" t="s">
        <v>32</v>
      </c>
      <c r="J1218" s="2" t="s">
        <v>891</v>
      </c>
      <c r="K1218" s="2" t="s">
        <v>892</v>
      </c>
      <c r="L1218" s="2" t="s">
        <v>28</v>
      </c>
      <c r="M1218" s="2" t="s">
        <v>5</v>
      </c>
      <c r="N1218" s="4">
        <v>7556.67</v>
      </c>
    </row>
    <row r="1219" spans="1:14" x14ac:dyDescent="0.25">
      <c r="A1219" s="2" t="s">
        <v>304</v>
      </c>
      <c r="B1219" s="2" t="s">
        <v>305</v>
      </c>
      <c r="C1219" s="3">
        <v>14.39</v>
      </c>
      <c r="D1219" s="4">
        <v>166.7801</v>
      </c>
      <c r="E1219" s="4">
        <v>107.925</v>
      </c>
      <c r="F1219" s="4">
        <f t="shared" si="81"/>
        <v>58.855100000000007</v>
      </c>
      <c r="G1219" s="5">
        <f t="shared" si="82"/>
        <v>0.35289042277825716</v>
      </c>
      <c r="H1219" s="2" t="s">
        <v>890</v>
      </c>
      <c r="I1219" s="6" t="s">
        <v>32</v>
      </c>
      <c r="J1219" s="2" t="s">
        <v>891</v>
      </c>
      <c r="K1219" s="2" t="s">
        <v>892</v>
      </c>
      <c r="L1219" s="2" t="s">
        <v>28</v>
      </c>
      <c r="M1219" s="2" t="s">
        <v>5</v>
      </c>
      <c r="N1219" s="4">
        <v>7556.67</v>
      </c>
    </row>
    <row r="1221" spans="1:14" x14ac:dyDescent="0.25">
      <c r="A1221" s="13" t="s">
        <v>59</v>
      </c>
      <c r="B1221" s="21"/>
      <c r="C1221" s="22">
        <f>SUM(C1202:C1220)</f>
        <v>446.35499999999996</v>
      </c>
      <c r="D1221" s="23">
        <f>SUM(D1202:D1220)</f>
        <v>7556.6705500000007</v>
      </c>
      <c r="E1221" s="23">
        <f>SUM(E1202:E1220)</f>
        <v>4256.736899999999</v>
      </c>
      <c r="F1221" s="23">
        <f>D1221-E1221</f>
        <v>3299.9336500000018</v>
      </c>
      <c r="G1221" s="24">
        <f>IF(((D1221)=0),0,(D1221-E1221)/ D1221)</f>
        <v>0.43669148048276385</v>
      </c>
      <c r="H1221" s="21"/>
      <c r="I1221" s="21"/>
      <c r="J1221" s="21"/>
      <c r="K1221" s="21"/>
      <c r="L1221" s="21"/>
      <c r="M1221" s="21"/>
      <c r="N1221" s="21"/>
    </row>
    <row r="1223" spans="1:14" s="17" customFormat="1" ht="18.75" x14ac:dyDescent="0.3"/>
    <row r="1224" spans="1:14" s="7" customFormat="1" x14ac:dyDescent="0.25">
      <c r="A1224" s="13" t="s">
        <v>895</v>
      </c>
      <c r="B1224" s="18" t="s">
        <v>896</v>
      </c>
      <c r="C1224" s="19"/>
      <c r="D1224" s="20" t="s">
        <v>5</v>
      </c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</row>
    <row r="1226" spans="1:14" x14ac:dyDescent="0.25">
      <c r="A1226" s="2" t="s">
        <v>682</v>
      </c>
      <c r="B1226" s="2" t="s">
        <v>683</v>
      </c>
      <c r="C1226" s="3">
        <v>49.3</v>
      </c>
      <c r="D1226" s="4">
        <v>733.09100000000001</v>
      </c>
      <c r="E1226" s="4">
        <v>342.63499999999999</v>
      </c>
      <c r="F1226" s="4">
        <f>D1226-E1226</f>
        <v>390.45600000000002</v>
      </c>
      <c r="G1226" s="5">
        <f>IF(((D1226)=0),0,(D1226-E1226)/ D1226)</f>
        <v>0.53261600537995968</v>
      </c>
      <c r="H1226" s="2" t="s">
        <v>897</v>
      </c>
      <c r="I1226" s="6" t="s">
        <v>32</v>
      </c>
      <c r="J1226" s="2" t="s">
        <v>898</v>
      </c>
      <c r="K1226" s="2" t="s">
        <v>5</v>
      </c>
      <c r="L1226" s="2" t="s">
        <v>28</v>
      </c>
      <c r="M1226" s="2" t="s">
        <v>5</v>
      </c>
      <c r="N1226" s="4">
        <v>985.16</v>
      </c>
    </row>
    <row r="1227" spans="1:14" x14ac:dyDescent="0.25">
      <c r="A1227" s="2" t="s">
        <v>682</v>
      </c>
      <c r="B1227" s="2" t="s">
        <v>683</v>
      </c>
      <c r="C1227" s="3">
        <v>30</v>
      </c>
      <c r="D1227" s="4">
        <v>446.1</v>
      </c>
      <c r="E1227" s="4">
        <v>208.5</v>
      </c>
      <c r="F1227" s="4">
        <f>D1227-E1227</f>
        <v>237.60000000000002</v>
      </c>
      <c r="G1227" s="5">
        <f>IF(((D1227)=0),0,(D1227-E1227)/ D1227)</f>
        <v>0.53261600537995968</v>
      </c>
      <c r="H1227" s="2" t="s">
        <v>899</v>
      </c>
      <c r="I1227" s="6" t="s">
        <v>69</v>
      </c>
      <c r="J1227" s="2" t="s">
        <v>900</v>
      </c>
      <c r="K1227" s="2" t="s">
        <v>5</v>
      </c>
      <c r="L1227" s="2" t="s">
        <v>28</v>
      </c>
      <c r="M1227" s="2" t="s">
        <v>5</v>
      </c>
      <c r="N1227" s="4">
        <v>0</v>
      </c>
    </row>
    <row r="1228" spans="1:14" x14ac:dyDescent="0.25">
      <c r="A1228" s="2" t="s">
        <v>682</v>
      </c>
      <c r="B1228" s="2" t="s">
        <v>683</v>
      </c>
      <c r="C1228" s="3">
        <v>-30</v>
      </c>
      <c r="D1228" s="4">
        <v>-446.1</v>
      </c>
      <c r="E1228" s="4">
        <v>-208.5</v>
      </c>
      <c r="F1228" s="4">
        <f>D1228-E1228</f>
        <v>-237.60000000000002</v>
      </c>
      <c r="G1228" s="5">
        <f>IF(((D1228)=0),0,(D1228-E1228)/ D1228)</f>
        <v>0.53261600537995968</v>
      </c>
      <c r="H1228" s="2" t="s">
        <v>901</v>
      </c>
      <c r="I1228" s="6" t="s">
        <v>69</v>
      </c>
      <c r="J1228" s="2" t="s">
        <v>900</v>
      </c>
      <c r="K1228" s="2" t="s">
        <v>5</v>
      </c>
      <c r="L1228" s="2" t="s">
        <v>332</v>
      </c>
      <c r="M1228" s="2" t="s">
        <v>5</v>
      </c>
      <c r="N1228" s="4">
        <v>0</v>
      </c>
    </row>
    <row r="1229" spans="1:14" x14ac:dyDescent="0.25">
      <c r="A1229" s="2" t="s">
        <v>611</v>
      </c>
      <c r="B1229" s="2" t="s">
        <v>612</v>
      </c>
      <c r="C1229" s="3">
        <v>47.56</v>
      </c>
      <c r="D1229" s="4">
        <v>252.06800000000001</v>
      </c>
      <c r="E1229" s="4">
        <v>171.21600000000001</v>
      </c>
      <c r="F1229" s="4">
        <f>D1229-E1229</f>
        <v>80.852000000000004</v>
      </c>
      <c r="G1229" s="5">
        <f>IF(((D1229)=0),0,(D1229-E1229)/ D1229)</f>
        <v>0.32075471698113206</v>
      </c>
      <c r="H1229" s="2" t="s">
        <v>897</v>
      </c>
      <c r="I1229" s="6" t="s">
        <v>32</v>
      </c>
      <c r="J1229" s="2" t="s">
        <v>898</v>
      </c>
      <c r="K1229" s="2" t="s">
        <v>5</v>
      </c>
      <c r="L1229" s="2" t="s">
        <v>28</v>
      </c>
      <c r="M1229" s="2" t="s">
        <v>5</v>
      </c>
      <c r="N1229" s="4">
        <v>985.16</v>
      </c>
    </row>
    <row r="1231" spans="1:14" x14ac:dyDescent="0.25">
      <c r="A1231" s="13" t="s">
        <v>59</v>
      </c>
      <c r="B1231" s="21"/>
      <c r="C1231" s="22">
        <f>SUM(C1223:C1230)</f>
        <v>96.86</v>
      </c>
      <c r="D1231" s="23">
        <f>SUM(D1223:D1230)</f>
        <v>985.15899999999999</v>
      </c>
      <c r="E1231" s="23">
        <f>SUM(E1223:E1230)</f>
        <v>513.851</v>
      </c>
      <c r="F1231" s="23">
        <f>D1231-E1231</f>
        <v>471.30799999999999</v>
      </c>
      <c r="G1231" s="24">
        <f>IF(((D1231)=0),0,(D1231-E1231)/ D1231)</f>
        <v>0.47840805392835067</v>
      </c>
      <c r="H1231" s="21"/>
      <c r="I1231" s="21"/>
      <c r="J1231" s="21"/>
      <c r="K1231" s="21"/>
      <c r="L1231" s="21"/>
      <c r="M1231" s="21"/>
      <c r="N1231" s="21"/>
    </row>
    <row r="1233" spans="1:14" s="17" customFormat="1" ht="18.75" x14ac:dyDescent="0.3"/>
    <row r="1234" spans="1:14" s="7" customFormat="1" x14ac:dyDescent="0.25">
      <c r="A1234" s="13" t="s">
        <v>902</v>
      </c>
      <c r="B1234" s="18" t="s">
        <v>903</v>
      </c>
      <c r="C1234" s="19"/>
      <c r="D1234" s="20" t="s">
        <v>5</v>
      </c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</row>
    <row r="1236" spans="1:14" x14ac:dyDescent="0.25">
      <c r="A1236" s="2" t="s">
        <v>904</v>
      </c>
      <c r="B1236" s="2" t="s">
        <v>905</v>
      </c>
      <c r="C1236" s="3">
        <v>10.1</v>
      </c>
      <c r="D1236" s="4">
        <v>146.34899999999999</v>
      </c>
      <c r="E1236" s="4">
        <v>123.22</v>
      </c>
      <c r="F1236" s="4">
        <f t="shared" ref="F1236:F1258" si="83">D1236-E1236</f>
        <v>23.128999999999991</v>
      </c>
      <c r="G1236" s="5">
        <f t="shared" ref="G1236:G1258" si="84">IF(((D1236)=0),0,(D1236-E1236)/ D1236)</f>
        <v>0.15804002760524494</v>
      </c>
      <c r="H1236" s="2" t="s">
        <v>906</v>
      </c>
      <c r="I1236" s="6" t="s">
        <v>39</v>
      </c>
      <c r="J1236" s="2" t="s">
        <v>907</v>
      </c>
      <c r="K1236" s="2" t="s">
        <v>5</v>
      </c>
      <c r="L1236" s="2" t="s">
        <v>28</v>
      </c>
      <c r="M1236" s="2" t="s">
        <v>5</v>
      </c>
      <c r="N1236" s="4">
        <v>4615.1899999999996</v>
      </c>
    </row>
    <row r="1237" spans="1:14" x14ac:dyDescent="0.25">
      <c r="A1237" s="2" t="s">
        <v>908</v>
      </c>
      <c r="B1237" s="2" t="s">
        <v>909</v>
      </c>
      <c r="C1237" s="3">
        <v>3.3860000000000001</v>
      </c>
      <c r="D1237" s="4">
        <v>200.34961999999999</v>
      </c>
      <c r="E1237" s="4">
        <v>125.282</v>
      </c>
      <c r="F1237" s="4">
        <f t="shared" si="83"/>
        <v>75.067619999999991</v>
      </c>
      <c r="G1237" s="5">
        <f t="shared" si="84"/>
        <v>0.37468311644414398</v>
      </c>
      <c r="H1237" s="2" t="s">
        <v>910</v>
      </c>
      <c r="I1237" s="6" t="s">
        <v>69</v>
      </c>
      <c r="J1237" s="2" t="s">
        <v>911</v>
      </c>
      <c r="K1237" s="2" t="s">
        <v>5</v>
      </c>
      <c r="L1237" s="2" t="s">
        <v>28</v>
      </c>
      <c r="M1237" s="2" t="s">
        <v>5</v>
      </c>
      <c r="N1237" s="4">
        <v>889.33</v>
      </c>
    </row>
    <row r="1238" spans="1:14" x14ac:dyDescent="0.25">
      <c r="A1238" s="2" t="s">
        <v>908</v>
      </c>
      <c r="B1238" s="2" t="s">
        <v>909</v>
      </c>
      <c r="C1238" s="3">
        <v>13.385</v>
      </c>
      <c r="D1238" s="4">
        <v>791.99045000000001</v>
      </c>
      <c r="E1238" s="4">
        <v>495.245</v>
      </c>
      <c r="F1238" s="4">
        <f t="shared" si="83"/>
        <v>296.74545000000001</v>
      </c>
      <c r="G1238" s="5">
        <f t="shared" si="84"/>
        <v>0.37468311644414398</v>
      </c>
      <c r="H1238" s="2" t="s">
        <v>906</v>
      </c>
      <c r="I1238" s="6" t="s">
        <v>39</v>
      </c>
      <c r="J1238" s="2" t="s">
        <v>907</v>
      </c>
      <c r="K1238" s="2" t="s">
        <v>5</v>
      </c>
      <c r="L1238" s="2" t="s">
        <v>28</v>
      </c>
      <c r="M1238" s="2" t="s">
        <v>5</v>
      </c>
      <c r="N1238" s="4">
        <v>4615.1899999999996</v>
      </c>
    </row>
    <row r="1239" spans="1:14" x14ac:dyDescent="0.25">
      <c r="A1239" s="2" t="s">
        <v>908</v>
      </c>
      <c r="B1239" s="2" t="s">
        <v>909</v>
      </c>
      <c r="C1239" s="3">
        <v>4.1159999999999997</v>
      </c>
      <c r="D1239" s="4">
        <v>243.54372000000001</v>
      </c>
      <c r="E1239" s="4">
        <v>152.292</v>
      </c>
      <c r="F1239" s="4">
        <f t="shared" si="83"/>
        <v>91.251720000000006</v>
      </c>
      <c r="G1239" s="5">
        <f t="shared" si="84"/>
        <v>0.37468311644414398</v>
      </c>
      <c r="H1239" s="2" t="s">
        <v>912</v>
      </c>
      <c r="I1239" s="6" t="s">
        <v>32</v>
      </c>
      <c r="J1239" s="2" t="s">
        <v>913</v>
      </c>
      <c r="K1239" s="2" t="s">
        <v>5</v>
      </c>
      <c r="L1239" s="2" t="s">
        <v>28</v>
      </c>
      <c r="M1239" s="2" t="s">
        <v>5</v>
      </c>
      <c r="N1239" s="4">
        <v>1672.35</v>
      </c>
    </row>
    <row r="1240" spans="1:14" x14ac:dyDescent="0.25">
      <c r="A1240" s="2" t="s">
        <v>914</v>
      </c>
      <c r="B1240" s="2" t="s">
        <v>915</v>
      </c>
      <c r="C1240" s="3">
        <v>0.82199999999999995</v>
      </c>
      <c r="D1240" s="4">
        <v>45.177120000000002</v>
      </c>
      <c r="E1240" s="4">
        <v>40.195799999999998</v>
      </c>
      <c r="F1240" s="4">
        <f t="shared" si="83"/>
        <v>4.9813200000000037</v>
      </c>
      <c r="G1240" s="5">
        <f t="shared" si="84"/>
        <v>0.11026200873362453</v>
      </c>
      <c r="H1240" s="2" t="s">
        <v>912</v>
      </c>
      <c r="I1240" s="6" t="s">
        <v>32</v>
      </c>
      <c r="J1240" s="2" t="s">
        <v>913</v>
      </c>
      <c r="K1240" s="2" t="s">
        <v>5</v>
      </c>
      <c r="L1240" s="2" t="s">
        <v>28</v>
      </c>
      <c r="M1240" s="2" t="s">
        <v>5</v>
      </c>
      <c r="N1240" s="4">
        <v>1672.35</v>
      </c>
    </row>
    <row r="1241" spans="1:14" x14ac:dyDescent="0.25">
      <c r="A1241" s="2" t="s">
        <v>914</v>
      </c>
      <c r="B1241" s="2" t="s">
        <v>915</v>
      </c>
      <c r="C1241" s="3">
        <v>4.28</v>
      </c>
      <c r="D1241" s="4">
        <v>235.22880000000001</v>
      </c>
      <c r="E1241" s="4">
        <v>209.292</v>
      </c>
      <c r="F1241" s="4">
        <f t="shared" si="83"/>
        <v>25.936800000000005</v>
      </c>
      <c r="G1241" s="5">
        <f t="shared" si="84"/>
        <v>0.11026200873362448</v>
      </c>
      <c r="H1241" s="2" t="s">
        <v>906</v>
      </c>
      <c r="I1241" s="6" t="s">
        <v>39</v>
      </c>
      <c r="J1241" s="2" t="s">
        <v>907</v>
      </c>
      <c r="K1241" s="2" t="s">
        <v>5</v>
      </c>
      <c r="L1241" s="2" t="s">
        <v>28</v>
      </c>
      <c r="M1241" s="2" t="s">
        <v>5</v>
      </c>
      <c r="N1241" s="4">
        <v>4615.1899999999996</v>
      </c>
    </row>
    <row r="1242" spans="1:14" x14ac:dyDescent="0.25">
      <c r="A1242" s="2" t="s">
        <v>916</v>
      </c>
      <c r="B1242" s="2" t="s">
        <v>917</v>
      </c>
      <c r="C1242" s="3">
        <v>8.43</v>
      </c>
      <c r="D1242" s="4">
        <v>189.92789999999999</v>
      </c>
      <c r="E1242" s="4">
        <v>127.29300000000001</v>
      </c>
      <c r="F1242" s="4">
        <f t="shared" si="83"/>
        <v>62.634899999999988</v>
      </c>
      <c r="G1242" s="5">
        <f t="shared" si="84"/>
        <v>0.32978251220594756</v>
      </c>
      <c r="H1242" s="2" t="s">
        <v>906</v>
      </c>
      <c r="I1242" s="6" t="s">
        <v>39</v>
      </c>
      <c r="J1242" s="2" t="s">
        <v>907</v>
      </c>
      <c r="K1242" s="2" t="s">
        <v>5</v>
      </c>
      <c r="L1242" s="2" t="s">
        <v>28</v>
      </c>
      <c r="M1242" s="2" t="s">
        <v>5</v>
      </c>
      <c r="N1242" s="4">
        <v>4615.1899999999996</v>
      </c>
    </row>
    <row r="1243" spans="1:14" x14ac:dyDescent="0.25">
      <c r="A1243" s="2" t="s">
        <v>918</v>
      </c>
      <c r="B1243" s="2" t="s">
        <v>919</v>
      </c>
      <c r="C1243" s="3">
        <v>16.989999999999998</v>
      </c>
      <c r="D1243" s="4">
        <v>301.06279999999998</v>
      </c>
      <c r="E1243" s="4">
        <v>219.17099999999999</v>
      </c>
      <c r="F1243" s="4">
        <f t="shared" si="83"/>
        <v>81.891799999999989</v>
      </c>
      <c r="G1243" s="5">
        <f t="shared" si="84"/>
        <v>0.27200902934537247</v>
      </c>
      <c r="H1243" s="2" t="s">
        <v>912</v>
      </c>
      <c r="I1243" s="6" t="s">
        <v>32</v>
      </c>
      <c r="J1243" s="2" t="s">
        <v>913</v>
      </c>
      <c r="K1243" s="2" t="s">
        <v>5</v>
      </c>
      <c r="L1243" s="2" t="s">
        <v>28</v>
      </c>
      <c r="M1243" s="2" t="s">
        <v>5</v>
      </c>
      <c r="N1243" s="4">
        <v>1672.35</v>
      </c>
    </row>
    <row r="1244" spans="1:14" x14ac:dyDescent="0.25">
      <c r="A1244" s="2" t="s">
        <v>920</v>
      </c>
      <c r="B1244" s="2" t="s">
        <v>921</v>
      </c>
      <c r="C1244" s="3">
        <v>2.4900000000000002</v>
      </c>
      <c r="D1244" s="4">
        <v>122.4084</v>
      </c>
      <c r="E1244" s="4">
        <v>74.7</v>
      </c>
      <c r="F1244" s="4">
        <f t="shared" si="83"/>
        <v>47.708399999999997</v>
      </c>
      <c r="G1244" s="5">
        <f t="shared" si="84"/>
        <v>0.38974776240846215</v>
      </c>
      <c r="H1244" s="2" t="s">
        <v>912</v>
      </c>
      <c r="I1244" s="6" t="s">
        <v>32</v>
      </c>
      <c r="J1244" s="2" t="s">
        <v>913</v>
      </c>
      <c r="K1244" s="2" t="s">
        <v>5</v>
      </c>
      <c r="L1244" s="2" t="s">
        <v>28</v>
      </c>
      <c r="M1244" s="2" t="s">
        <v>5</v>
      </c>
      <c r="N1244" s="4">
        <v>1672.35</v>
      </c>
    </row>
    <row r="1245" spans="1:14" x14ac:dyDescent="0.25">
      <c r="A1245" s="2" t="s">
        <v>920</v>
      </c>
      <c r="B1245" s="2" t="s">
        <v>921</v>
      </c>
      <c r="C1245" s="3">
        <v>5.7519999999999998</v>
      </c>
      <c r="D1245" s="4">
        <v>282.76832000000002</v>
      </c>
      <c r="E1245" s="4">
        <v>172.56</v>
      </c>
      <c r="F1245" s="4">
        <f t="shared" si="83"/>
        <v>110.20832000000001</v>
      </c>
      <c r="G1245" s="5">
        <f t="shared" si="84"/>
        <v>0.38974776240846221</v>
      </c>
      <c r="H1245" s="2" t="s">
        <v>906</v>
      </c>
      <c r="I1245" s="6" t="s">
        <v>39</v>
      </c>
      <c r="J1245" s="2" t="s">
        <v>907</v>
      </c>
      <c r="K1245" s="2" t="s">
        <v>5</v>
      </c>
      <c r="L1245" s="2" t="s">
        <v>28</v>
      </c>
      <c r="M1245" s="2" t="s">
        <v>5</v>
      </c>
      <c r="N1245" s="4">
        <v>4615.1899999999996</v>
      </c>
    </row>
    <row r="1246" spans="1:14" x14ac:dyDescent="0.25">
      <c r="A1246" s="2" t="s">
        <v>922</v>
      </c>
      <c r="B1246" s="2" t="s">
        <v>923</v>
      </c>
      <c r="C1246" s="3">
        <v>2.71</v>
      </c>
      <c r="D1246" s="4">
        <v>257.45</v>
      </c>
      <c r="E1246" s="4">
        <v>216.8</v>
      </c>
      <c r="F1246" s="4">
        <f t="shared" si="83"/>
        <v>40.649999999999977</v>
      </c>
      <c r="G1246" s="5">
        <f t="shared" si="84"/>
        <v>0.15789473684210517</v>
      </c>
      <c r="H1246" s="2" t="s">
        <v>906</v>
      </c>
      <c r="I1246" s="6" t="s">
        <v>39</v>
      </c>
      <c r="J1246" s="2" t="s">
        <v>907</v>
      </c>
      <c r="K1246" s="2" t="s">
        <v>5</v>
      </c>
      <c r="L1246" s="2" t="s">
        <v>28</v>
      </c>
      <c r="M1246" s="2" t="s">
        <v>5</v>
      </c>
      <c r="N1246" s="4">
        <v>4615.1899999999996</v>
      </c>
    </row>
    <row r="1247" spans="1:14" x14ac:dyDescent="0.25">
      <c r="A1247" s="2" t="s">
        <v>922</v>
      </c>
      <c r="B1247" s="2" t="s">
        <v>923</v>
      </c>
      <c r="C1247" s="3">
        <v>2.56</v>
      </c>
      <c r="D1247" s="4">
        <v>243.2</v>
      </c>
      <c r="E1247" s="4">
        <v>204.8</v>
      </c>
      <c r="F1247" s="4">
        <f t="shared" si="83"/>
        <v>38.399999999999977</v>
      </c>
      <c r="G1247" s="5">
        <f t="shared" si="84"/>
        <v>0.15789473684210517</v>
      </c>
      <c r="H1247" s="2" t="s">
        <v>910</v>
      </c>
      <c r="I1247" s="6" t="s">
        <v>69</v>
      </c>
      <c r="J1247" s="2" t="s">
        <v>911</v>
      </c>
      <c r="K1247" s="2" t="s">
        <v>5</v>
      </c>
      <c r="L1247" s="2" t="s">
        <v>28</v>
      </c>
      <c r="M1247" s="2" t="s">
        <v>5</v>
      </c>
      <c r="N1247" s="4">
        <v>889.33</v>
      </c>
    </row>
    <row r="1248" spans="1:14" x14ac:dyDescent="0.25">
      <c r="A1248" s="2" t="s">
        <v>924</v>
      </c>
      <c r="B1248" s="2" t="s">
        <v>925</v>
      </c>
      <c r="C1248" s="3">
        <v>13.14</v>
      </c>
      <c r="D1248" s="4">
        <v>664.09559999999999</v>
      </c>
      <c r="E1248" s="4">
        <v>459.9</v>
      </c>
      <c r="F1248" s="4">
        <f t="shared" si="83"/>
        <v>204.19560000000001</v>
      </c>
      <c r="G1248" s="5">
        <f t="shared" si="84"/>
        <v>0.30747922437673131</v>
      </c>
      <c r="H1248" s="2" t="s">
        <v>906</v>
      </c>
      <c r="I1248" s="6" t="s">
        <v>39</v>
      </c>
      <c r="J1248" s="2" t="s">
        <v>907</v>
      </c>
      <c r="K1248" s="2" t="s">
        <v>5</v>
      </c>
      <c r="L1248" s="2" t="s">
        <v>28</v>
      </c>
      <c r="M1248" s="2" t="s">
        <v>5</v>
      </c>
      <c r="N1248" s="4">
        <v>4615.1899999999996</v>
      </c>
    </row>
    <row r="1249" spans="1:14" x14ac:dyDescent="0.25">
      <c r="A1249" s="2" t="s">
        <v>926</v>
      </c>
      <c r="B1249" s="2" t="s">
        <v>927</v>
      </c>
      <c r="C1249" s="3">
        <v>16.28</v>
      </c>
      <c r="D1249" s="4">
        <v>822.7912</v>
      </c>
      <c r="E1249" s="4">
        <v>553.52</v>
      </c>
      <c r="F1249" s="4">
        <f t="shared" si="83"/>
        <v>269.27120000000002</v>
      </c>
      <c r="G1249" s="5">
        <f t="shared" si="84"/>
        <v>0.32726553225168187</v>
      </c>
      <c r="H1249" s="2" t="s">
        <v>906</v>
      </c>
      <c r="I1249" s="6" t="s">
        <v>39</v>
      </c>
      <c r="J1249" s="2" t="s">
        <v>907</v>
      </c>
      <c r="K1249" s="2" t="s">
        <v>5</v>
      </c>
      <c r="L1249" s="2" t="s">
        <v>28</v>
      </c>
      <c r="M1249" s="2" t="s">
        <v>5</v>
      </c>
      <c r="N1249" s="4">
        <v>4615.1899999999996</v>
      </c>
    </row>
    <row r="1250" spans="1:14" x14ac:dyDescent="0.25">
      <c r="A1250" s="2" t="s">
        <v>926</v>
      </c>
      <c r="B1250" s="2" t="s">
        <v>927</v>
      </c>
      <c r="C1250" s="3">
        <v>6.65</v>
      </c>
      <c r="D1250" s="4">
        <v>336.09100000000001</v>
      </c>
      <c r="E1250" s="4">
        <v>226.1</v>
      </c>
      <c r="F1250" s="4">
        <f t="shared" si="83"/>
        <v>109.99100000000001</v>
      </c>
      <c r="G1250" s="5">
        <f t="shared" si="84"/>
        <v>0.32726553225168187</v>
      </c>
      <c r="H1250" s="2" t="s">
        <v>912</v>
      </c>
      <c r="I1250" s="6" t="s">
        <v>32</v>
      </c>
      <c r="J1250" s="2" t="s">
        <v>913</v>
      </c>
      <c r="K1250" s="2" t="s">
        <v>5</v>
      </c>
      <c r="L1250" s="2" t="s">
        <v>28</v>
      </c>
      <c r="M1250" s="2" t="s">
        <v>5</v>
      </c>
      <c r="N1250" s="4">
        <v>1672.35</v>
      </c>
    </row>
    <row r="1251" spans="1:14" x14ac:dyDescent="0.25">
      <c r="A1251" s="2" t="s">
        <v>928</v>
      </c>
      <c r="B1251" s="2" t="s">
        <v>929</v>
      </c>
      <c r="C1251" s="3">
        <v>16.28</v>
      </c>
      <c r="D1251" s="4">
        <v>492.95839999999998</v>
      </c>
      <c r="E1251" s="4">
        <v>240.13</v>
      </c>
      <c r="F1251" s="4">
        <f t="shared" si="83"/>
        <v>252.82839999999999</v>
      </c>
      <c r="G1251" s="5">
        <f t="shared" si="84"/>
        <v>0.5128797886393659</v>
      </c>
      <c r="H1251" s="2" t="s">
        <v>906</v>
      </c>
      <c r="I1251" s="6" t="s">
        <v>39</v>
      </c>
      <c r="J1251" s="2" t="s">
        <v>907</v>
      </c>
      <c r="K1251" s="2" t="s">
        <v>5</v>
      </c>
      <c r="L1251" s="2" t="s">
        <v>28</v>
      </c>
      <c r="M1251" s="2" t="s">
        <v>5</v>
      </c>
      <c r="N1251" s="4">
        <v>4615.1899999999996</v>
      </c>
    </row>
    <row r="1252" spans="1:14" x14ac:dyDescent="0.25">
      <c r="A1252" s="2" t="s">
        <v>928</v>
      </c>
      <c r="B1252" s="2" t="s">
        <v>929</v>
      </c>
      <c r="C1252" s="3">
        <v>10.5</v>
      </c>
      <c r="D1252" s="4">
        <v>317.94</v>
      </c>
      <c r="E1252" s="4">
        <v>154.875</v>
      </c>
      <c r="F1252" s="4">
        <f t="shared" si="83"/>
        <v>163.065</v>
      </c>
      <c r="G1252" s="5">
        <f t="shared" si="84"/>
        <v>0.5128797886393659</v>
      </c>
      <c r="H1252" s="2" t="s">
        <v>912</v>
      </c>
      <c r="I1252" s="6" t="s">
        <v>32</v>
      </c>
      <c r="J1252" s="2" t="s">
        <v>913</v>
      </c>
      <c r="K1252" s="2" t="s">
        <v>5</v>
      </c>
      <c r="L1252" s="2" t="s">
        <v>28</v>
      </c>
      <c r="M1252" s="2" t="s">
        <v>5</v>
      </c>
      <c r="N1252" s="4">
        <v>1672.35</v>
      </c>
    </row>
    <row r="1253" spans="1:14" x14ac:dyDescent="0.25">
      <c r="A1253" s="2" t="s">
        <v>928</v>
      </c>
      <c r="B1253" s="2" t="s">
        <v>929</v>
      </c>
      <c r="C1253" s="3">
        <v>6.43</v>
      </c>
      <c r="D1253" s="4">
        <v>194.7004</v>
      </c>
      <c r="E1253" s="4">
        <v>94.842500000000001</v>
      </c>
      <c r="F1253" s="4">
        <f t="shared" si="83"/>
        <v>99.857900000000001</v>
      </c>
      <c r="G1253" s="5">
        <f t="shared" si="84"/>
        <v>0.5128797886393659</v>
      </c>
      <c r="H1253" s="2" t="s">
        <v>910</v>
      </c>
      <c r="I1253" s="6" t="s">
        <v>69</v>
      </c>
      <c r="J1253" s="2" t="s">
        <v>911</v>
      </c>
      <c r="K1253" s="2" t="s">
        <v>5</v>
      </c>
      <c r="L1253" s="2" t="s">
        <v>28</v>
      </c>
      <c r="M1253" s="2" t="s">
        <v>5</v>
      </c>
      <c r="N1253" s="4">
        <v>889.33</v>
      </c>
    </row>
    <row r="1254" spans="1:14" x14ac:dyDescent="0.25">
      <c r="A1254" s="2" t="s">
        <v>930</v>
      </c>
      <c r="B1254" s="2" t="s">
        <v>931</v>
      </c>
      <c r="C1254" s="3">
        <v>10.11</v>
      </c>
      <c r="D1254" s="4">
        <v>306.13080000000002</v>
      </c>
      <c r="E1254" s="4">
        <v>149.1225</v>
      </c>
      <c r="F1254" s="4">
        <f t="shared" si="83"/>
        <v>157.00830000000002</v>
      </c>
      <c r="G1254" s="5">
        <f t="shared" si="84"/>
        <v>0.5128797886393659</v>
      </c>
      <c r="H1254" s="2" t="s">
        <v>912</v>
      </c>
      <c r="I1254" s="6" t="s">
        <v>32</v>
      </c>
      <c r="J1254" s="2" t="s">
        <v>913</v>
      </c>
      <c r="K1254" s="2" t="s">
        <v>5</v>
      </c>
      <c r="L1254" s="2" t="s">
        <v>28</v>
      </c>
      <c r="M1254" s="2" t="s">
        <v>5</v>
      </c>
      <c r="N1254" s="4">
        <v>1672.35</v>
      </c>
    </row>
    <row r="1255" spans="1:14" x14ac:dyDescent="0.25">
      <c r="A1255" s="2" t="s">
        <v>930</v>
      </c>
      <c r="B1255" s="2" t="s">
        <v>931</v>
      </c>
      <c r="C1255" s="3">
        <v>12.65</v>
      </c>
      <c r="D1255" s="4">
        <v>383.04199999999997</v>
      </c>
      <c r="E1255" s="4">
        <v>186.58750000000001</v>
      </c>
      <c r="F1255" s="4">
        <f t="shared" si="83"/>
        <v>196.45449999999997</v>
      </c>
      <c r="G1255" s="5">
        <f t="shared" si="84"/>
        <v>0.5128797886393659</v>
      </c>
      <c r="H1255" s="2" t="s">
        <v>906</v>
      </c>
      <c r="I1255" s="6" t="s">
        <v>39</v>
      </c>
      <c r="J1255" s="2" t="s">
        <v>907</v>
      </c>
      <c r="K1255" s="2" t="s">
        <v>5</v>
      </c>
      <c r="L1255" s="2" t="s">
        <v>28</v>
      </c>
      <c r="M1255" s="2" t="s">
        <v>5</v>
      </c>
      <c r="N1255" s="4">
        <v>4615.1899999999996</v>
      </c>
    </row>
    <row r="1256" spans="1:14" x14ac:dyDescent="0.25">
      <c r="A1256" s="2" t="s">
        <v>932</v>
      </c>
      <c r="B1256" s="2" t="s">
        <v>933</v>
      </c>
      <c r="C1256" s="3">
        <v>4.13</v>
      </c>
      <c r="D1256" s="4">
        <v>105.81059999999999</v>
      </c>
      <c r="E1256" s="4">
        <v>59.884999999999998</v>
      </c>
      <c r="F1256" s="4">
        <f t="shared" si="83"/>
        <v>45.925599999999996</v>
      </c>
      <c r="G1256" s="5">
        <f t="shared" si="84"/>
        <v>0.43403590944574549</v>
      </c>
      <c r="H1256" s="2" t="s">
        <v>910</v>
      </c>
      <c r="I1256" s="6" t="s">
        <v>69</v>
      </c>
      <c r="J1256" s="2" t="s">
        <v>911</v>
      </c>
      <c r="K1256" s="2" t="s">
        <v>5</v>
      </c>
      <c r="L1256" s="2" t="s">
        <v>28</v>
      </c>
      <c r="M1256" s="2" t="s">
        <v>5</v>
      </c>
      <c r="N1256" s="4">
        <v>889.33</v>
      </c>
    </row>
    <row r="1257" spans="1:14" x14ac:dyDescent="0.25">
      <c r="A1257" s="2" t="s">
        <v>934</v>
      </c>
      <c r="B1257" s="2" t="s">
        <v>935</v>
      </c>
      <c r="C1257" s="3">
        <v>5.67</v>
      </c>
      <c r="D1257" s="4">
        <v>145.2654</v>
      </c>
      <c r="E1257" s="4">
        <v>82.215000000000003</v>
      </c>
      <c r="F1257" s="4">
        <f t="shared" si="83"/>
        <v>63.050399999999996</v>
      </c>
      <c r="G1257" s="5">
        <f t="shared" si="84"/>
        <v>0.43403590944574549</v>
      </c>
      <c r="H1257" s="2" t="s">
        <v>910</v>
      </c>
      <c r="I1257" s="6" t="s">
        <v>69</v>
      </c>
      <c r="J1257" s="2" t="s">
        <v>911</v>
      </c>
      <c r="K1257" s="2" t="s">
        <v>5</v>
      </c>
      <c r="L1257" s="2" t="s">
        <v>28</v>
      </c>
      <c r="M1257" s="2" t="s">
        <v>5</v>
      </c>
      <c r="N1257" s="4">
        <v>889.33</v>
      </c>
    </row>
    <row r="1258" spans="1:14" x14ac:dyDescent="0.25">
      <c r="A1258" s="2" t="s">
        <v>936</v>
      </c>
      <c r="B1258" s="2" t="s">
        <v>937</v>
      </c>
      <c r="C1258" s="3">
        <v>10.56</v>
      </c>
      <c r="D1258" s="4">
        <v>348.5856</v>
      </c>
      <c r="E1258" s="4">
        <v>248.16</v>
      </c>
      <c r="F1258" s="4">
        <f t="shared" si="83"/>
        <v>100.4256</v>
      </c>
      <c r="G1258" s="5">
        <f t="shared" si="84"/>
        <v>0.28809451681308695</v>
      </c>
      <c r="H1258" s="2" t="s">
        <v>906</v>
      </c>
      <c r="I1258" s="6" t="s">
        <v>39</v>
      </c>
      <c r="J1258" s="2" t="s">
        <v>907</v>
      </c>
      <c r="K1258" s="2" t="s">
        <v>5</v>
      </c>
      <c r="L1258" s="2" t="s">
        <v>28</v>
      </c>
      <c r="M1258" s="2" t="s">
        <v>5</v>
      </c>
      <c r="N1258" s="4">
        <v>4615.1899999999996</v>
      </c>
    </row>
    <row r="1260" spans="1:14" x14ac:dyDescent="0.25">
      <c r="A1260" s="13" t="s">
        <v>59</v>
      </c>
      <c r="B1260" s="21"/>
      <c r="C1260" s="22">
        <f>SUM(C1233:C1259)</f>
        <v>187.42099999999999</v>
      </c>
      <c r="D1260" s="23">
        <f>SUM(D1233:D1259)</f>
        <v>7176.8671300000005</v>
      </c>
      <c r="E1260" s="23">
        <f>SUM(E1233:E1259)</f>
        <v>4616.1883000000007</v>
      </c>
      <c r="F1260" s="23">
        <f>D1260-E1260</f>
        <v>2560.6788299999998</v>
      </c>
      <c r="G1260" s="24">
        <f>IF(((D1260)=0),0,(D1260-E1260)/ D1260)</f>
        <v>0.35679618747518871</v>
      </c>
      <c r="H1260" s="21"/>
      <c r="I1260" s="21"/>
      <c r="J1260" s="21"/>
      <c r="K1260" s="21"/>
      <c r="L1260" s="21"/>
      <c r="M1260" s="21"/>
      <c r="N1260" s="21"/>
    </row>
    <row r="1262" spans="1:14" s="17" customFormat="1" ht="18.75" x14ac:dyDescent="0.3"/>
    <row r="1263" spans="1:14" s="7" customFormat="1" x14ac:dyDescent="0.25">
      <c r="A1263" s="13" t="s">
        <v>938</v>
      </c>
      <c r="B1263" s="18" t="s">
        <v>939</v>
      </c>
      <c r="C1263" s="19"/>
      <c r="D1263" s="20" t="s">
        <v>5</v>
      </c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</row>
    <row r="1265" spans="1:14" x14ac:dyDescent="0.25">
      <c r="A1265" s="2" t="s">
        <v>128</v>
      </c>
      <c r="B1265" s="2" t="s">
        <v>129</v>
      </c>
      <c r="C1265" s="3">
        <v>10</v>
      </c>
      <c r="D1265" s="4">
        <v>153.19999999999999</v>
      </c>
      <c r="E1265" s="4">
        <v>109.8</v>
      </c>
      <c r="F1265" s="4">
        <f>D1265-E1265</f>
        <v>43.399999999999991</v>
      </c>
      <c r="G1265" s="5">
        <f>IF(((D1265)=0),0,(D1265-E1265)/ D1265)</f>
        <v>0.28328981723237595</v>
      </c>
      <c r="H1265" s="2" t="s">
        <v>940</v>
      </c>
      <c r="I1265" s="6" t="s">
        <v>32</v>
      </c>
      <c r="J1265" s="2" t="s">
        <v>941</v>
      </c>
      <c r="K1265" s="2" t="s">
        <v>5</v>
      </c>
      <c r="L1265" s="2" t="s">
        <v>28</v>
      </c>
      <c r="M1265" s="2" t="s">
        <v>5</v>
      </c>
      <c r="N1265" s="4">
        <v>153.19999999999999</v>
      </c>
    </row>
    <row r="1266" spans="1:14" x14ac:dyDescent="0.25">
      <c r="A1266" s="2" t="s">
        <v>128</v>
      </c>
      <c r="B1266" s="2" t="s">
        <v>129</v>
      </c>
      <c r="C1266" s="3">
        <v>5</v>
      </c>
      <c r="D1266" s="4">
        <v>76.599999999999994</v>
      </c>
      <c r="E1266" s="4">
        <v>54.9</v>
      </c>
      <c r="F1266" s="4">
        <f>D1266-E1266</f>
        <v>21.699999999999996</v>
      </c>
      <c r="G1266" s="5">
        <f>IF(((D1266)=0),0,(D1266-E1266)/ D1266)</f>
        <v>0.28328981723237595</v>
      </c>
      <c r="H1266" s="2" t="s">
        <v>942</v>
      </c>
      <c r="I1266" s="6" t="s">
        <v>69</v>
      </c>
      <c r="J1266" s="2" t="s">
        <v>943</v>
      </c>
      <c r="K1266" s="2" t="s">
        <v>5</v>
      </c>
      <c r="L1266" s="2" t="s">
        <v>28</v>
      </c>
      <c r="M1266" s="2" t="s">
        <v>5</v>
      </c>
      <c r="N1266" s="4">
        <v>234.89</v>
      </c>
    </row>
    <row r="1267" spans="1:14" x14ac:dyDescent="0.25">
      <c r="A1267" s="2" t="s">
        <v>566</v>
      </c>
      <c r="B1267" s="2" t="s">
        <v>567</v>
      </c>
      <c r="C1267" s="3">
        <v>9.0399999999999991</v>
      </c>
      <c r="D1267" s="4">
        <v>158.29040000000001</v>
      </c>
      <c r="E1267" s="4">
        <v>103.056</v>
      </c>
      <c r="F1267" s="4">
        <f>D1267-E1267</f>
        <v>55.234400000000008</v>
      </c>
      <c r="G1267" s="5">
        <f>IF(((D1267)=0),0,(D1267-E1267)/ D1267)</f>
        <v>0.34894346087949746</v>
      </c>
      <c r="H1267" s="2" t="s">
        <v>942</v>
      </c>
      <c r="I1267" s="6" t="s">
        <v>69</v>
      </c>
      <c r="J1267" s="2" t="s">
        <v>943</v>
      </c>
      <c r="K1267" s="2" t="s">
        <v>5</v>
      </c>
      <c r="L1267" s="2" t="s">
        <v>28</v>
      </c>
      <c r="M1267" s="2" t="s">
        <v>5</v>
      </c>
      <c r="N1267" s="4">
        <v>234.89</v>
      </c>
    </row>
    <row r="1269" spans="1:14" x14ac:dyDescent="0.25">
      <c r="A1269" s="13" t="s">
        <v>59</v>
      </c>
      <c r="B1269" s="21"/>
      <c r="C1269" s="22">
        <f>SUM(C1262:C1268)</f>
        <v>24.04</v>
      </c>
      <c r="D1269" s="23">
        <f>SUM(D1262:D1268)</f>
        <v>388.09039999999999</v>
      </c>
      <c r="E1269" s="23">
        <f>SUM(E1262:E1268)</f>
        <v>267.75599999999997</v>
      </c>
      <c r="F1269" s="23">
        <f>D1269-E1269</f>
        <v>120.33440000000002</v>
      </c>
      <c r="G1269" s="24">
        <f>IF(((D1269)=0),0,(D1269-E1269)/ D1269)</f>
        <v>0.31006796354663763</v>
      </c>
      <c r="H1269" s="21"/>
      <c r="I1269" s="21"/>
      <c r="J1269" s="21"/>
      <c r="K1269" s="21"/>
      <c r="L1269" s="21"/>
      <c r="M1269" s="21"/>
      <c r="N1269" s="21"/>
    </row>
    <row r="1271" spans="1:14" s="17" customFormat="1" ht="18.75" x14ac:dyDescent="0.3"/>
    <row r="1272" spans="1:14" s="7" customFormat="1" x14ac:dyDescent="0.25">
      <c r="A1272" s="13" t="s">
        <v>944</v>
      </c>
      <c r="B1272" s="18" t="s">
        <v>945</v>
      </c>
      <c r="C1272" s="19"/>
      <c r="D1272" s="20" t="s">
        <v>5</v>
      </c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</row>
    <row r="1274" spans="1:14" x14ac:dyDescent="0.25">
      <c r="A1274" s="2" t="s">
        <v>260</v>
      </c>
      <c r="B1274" s="2" t="s">
        <v>261</v>
      </c>
      <c r="C1274" s="3">
        <v>80</v>
      </c>
      <c r="D1274" s="4">
        <v>1411.2</v>
      </c>
      <c r="E1274" s="4">
        <v>800</v>
      </c>
      <c r="F1274" s="4">
        <f t="shared" ref="F1274:F1290" si="85">D1274-E1274</f>
        <v>611.20000000000005</v>
      </c>
      <c r="G1274" s="5">
        <f t="shared" ref="G1274:G1290" si="86">IF(((D1274)=0),0,(D1274-E1274)/ D1274)</f>
        <v>0.43310657596371882</v>
      </c>
      <c r="H1274" s="2" t="s">
        <v>946</v>
      </c>
      <c r="I1274" s="6" t="s">
        <v>69</v>
      </c>
      <c r="J1274" s="2" t="s">
        <v>947</v>
      </c>
      <c r="K1274" s="2" t="s">
        <v>948</v>
      </c>
      <c r="L1274" s="2" t="s">
        <v>28</v>
      </c>
      <c r="M1274" s="2" t="s">
        <v>5</v>
      </c>
      <c r="N1274" s="4">
        <v>13519.05</v>
      </c>
    </row>
    <row r="1275" spans="1:14" x14ac:dyDescent="0.25">
      <c r="A1275" s="2" t="s">
        <v>268</v>
      </c>
      <c r="B1275" s="2" t="s">
        <v>269</v>
      </c>
      <c r="C1275" s="3">
        <v>56.1</v>
      </c>
      <c r="D1275" s="4">
        <v>1141.0740000000001</v>
      </c>
      <c r="E1275" s="4">
        <v>661.98</v>
      </c>
      <c r="F1275" s="4">
        <f t="shared" si="85"/>
        <v>479.09400000000005</v>
      </c>
      <c r="G1275" s="5">
        <f t="shared" si="86"/>
        <v>0.41986234021632252</v>
      </c>
      <c r="H1275" s="2" t="s">
        <v>946</v>
      </c>
      <c r="I1275" s="6" t="s">
        <v>69</v>
      </c>
      <c r="J1275" s="2" t="s">
        <v>947</v>
      </c>
      <c r="K1275" s="2" t="s">
        <v>948</v>
      </c>
      <c r="L1275" s="2" t="s">
        <v>28</v>
      </c>
      <c r="M1275" s="2" t="s">
        <v>5</v>
      </c>
      <c r="N1275" s="4">
        <v>13519.05</v>
      </c>
    </row>
    <row r="1276" spans="1:14" x14ac:dyDescent="0.25">
      <c r="A1276" s="2" t="s">
        <v>272</v>
      </c>
      <c r="B1276" s="2" t="s">
        <v>273</v>
      </c>
      <c r="C1276" s="3">
        <v>58.5</v>
      </c>
      <c r="D1276" s="4">
        <v>917.28</v>
      </c>
      <c r="E1276" s="4">
        <v>713.7</v>
      </c>
      <c r="F1276" s="4">
        <f t="shared" si="85"/>
        <v>203.57999999999993</v>
      </c>
      <c r="G1276" s="5">
        <f t="shared" si="86"/>
        <v>0.22193877551020402</v>
      </c>
      <c r="H1276" s="2" t="s">
        <v>946</v>
      </c>
      <c r="I1276" s="6" t="s">
        <v>69</v>
      </c>
      <c r="J1276" s="2" t="s">
        <v>947</v>
      </c>
      <c r="K1276" s="2" t="s">
        <v>948</v>
      </c>
      <c r="L1276" s="2" t="s">
        <v>28</v>
      </c>
      <c r="M1276" s="2" t="s">
        <v>5</v>
      </c>
      <c r="N1276" s="4">
        <v>13519.05</v>
      </c>
    </row>
    <row r="1277" spans="1:14" x14ac:dyDescent="0.25">
      <c r="A1277" s="2" t="s">
        <v>850</v>
      </c>
      <c r="B1277" s="2" t="s">
        <v>851</v>
      </c>
      <c r="C1277" s="3">
        <v>36</v>
      </c>
      <c r="D1277" s="4">
        <v>283.32</v>
      </c>
      <c r="E1277" s="4">
        <v>171</v>
      </c>
      <c r="F1277" s="4">
        <f t="shared" si="85"/>
        <v>112.32</v>
      </c>
      <c r="G1277" s="5">
        <f t="shared" si="86"/>
        <v>0.39644218551461241</v>
      </c>
      <c r="H1277" s="2" t="s">
        <v>946</v>
      </c>
      <c r="I1277" s="6" t="s">
        <v>69</v>
      </c>
      <c r="J1277" s="2" t="s">
        <v>947</v>
      </c>
      <c r="K1277" s="2" t="s">
        <v>948</v>
      </c>
      <c r="L1277" s="2" t="s">
        <v>28</v>
      </c>
      <c r="M1277" s="2" t="s">
        <v>5</v>
      </c>
      <c r="N1277" s="4">
        <v>13519.05</v>
      </c>
    </row>
    <row r="1278" spans="1:14" x14ac:dyDescent="0.25">
      <c r="A1278" s="2" t="s">
        <v>274</v>
      </c>
      <c r="B1278" s="2" t="s">
        <v>275</v>
      </c>
      <c r="C1278" s="3">
        <v>28.9</v>
      </c>
      <c r="D1278" s="4">
        <v>465.57900000000001</v>
      </c>
      <c r="E1278" s="4">
        <v>104.04</v>
      </c>
      <c r="F1278" s="4">
        <f t="shared" si="85"/>
        <v>361.53899999999999</v>
      </c>
      <c r="G1278" s="5">
        <f t="shared" si="86"/>
        <v>0.77653631284916202</v>
      </c>
      <c r="H1278" s="2" t="s">
        <v>946</v>
      </c>
      <c r="I1278" s="6" t="s">
        <v>69</v>
      </c>
      <c r="J1278" s="2" t="s">
        <v>947</v>
      </c>
      <c r="K1278" s="2" t="s">
        <v>948</v>
      </c>
      <c r="L1278" s="2" t="s">
        <v>28</v>
      </c>
      <c r="M1278" s="2" t="s">
        <v>5</v>
      </c>
      <c r="N1278" s="4">
        <v>13519.05</v>
      </c>
    </row>
    <row r="1279" spans="1:14" x14ac:dyDescent="0.25">
      <c r="A1279" s="2" t="s">
        <v>276</v>
      </c>
      <c r="B1279" s="2" t="s">
        <v>277</v>
      </c>
      <c r="C1279" s="3">
        <v>46.18</v>
      </c>
      <c r="D1279" s="4">
        <v>797.99040000000002</v>
      </c>
      <c r="E1279" s="4">
        <v>230.9</v>
      </c>
      <c r="F1279" s="4">
        <f t="shared" si="85"/>
        <v>567.09040000000005</v>
      </c>
      <c r="G1279" s="5">
        <f t="shared" si="86"/>
        <v>0.71064814814814814</v>
      </c>
      <c r="H1279" s="2" t="s">
        <v>946</v>
      </c>
      <c r="I1279" s="6" t="s">
        <v>69</v>
      </c>
      <c r="J1279" s="2" t="s">
        <v>947</v>
      </c>
      <c r="K1279" s="2" t="s">
        <v>948</v>
      </c>
      <c r="L1279" s="2" t="s">
        <v>28</v>
      </c>
      <c r="M1279" s="2" t="s">
        <v>5</v>
      </c>
      <c r="N1279" s="4">
        <v>13519.05</v>
      </c>
    </row>
    <row r="1280" spans="1:14" x14ac:dyDescent="0.25">
      <c r="A1280" s="2" t="s">
        <v>278</v>
      </c>
      <c r="B1280" s="2" t="s">
        <v>279</v>
      </c>
      <c r="C1280" s="3">
        <v>46.67</v>
      </c>
      <c r="D1280" s="4">
        <v>314.08909999999997</v>
      </c>
      <c r="E1280" s="4">
        <v>168.012</v>
      </c>
      <c r="F1280" s="4">
        <f t="shared" si="85"/>
        <v>146.07709999999997</v>
      </c>
      <c r="G1280" s="5">
        <f t="shared" si="86"/>
        <v>0.46508172362555716</v>
      </c>
      <c r="H1280" s="2" t="s">
        <v>946</v>
      </c>
      <c r="I1280" s="6" t="s">
        <v>69</v>
      </c>
      <c r="J1280" s="2" t="s">
        <v>947</v>
      </c>
      <c r="K1280" s="2" t="s">
        <v>948</v>
      </c>
      <c r="L1280" s="2" t="s">
        <v>28</v>
      </c>
      <c r="M1280" s="2" t="s">
        <v>5</v>
      </c>
      <c r="N1280" s="4">
        <v>13519.05</v>
      </c>
    </row>
    <row r="1281" spans="1:14" x14ac:dyDescent="0.25">
      <c r="A1281" s="2" t="s">
        <v>284</v>
      </c>
      <c r="B1281" s="2" t="s">
        <v>285</v>
      </c>
      <c r="C1281" s="3">
        <v>46.95</v>
      </c>
      <c r="D1281" s="4">
        <v>254.9385</v>
      </c>
      <c r="E1281" s="4">
        <v>117.375</v>
      </c>
      <c r="F1281" s="4">
        <f t="shared" si="85"/>
        <v>137.5635</v>
      </c>
      <c r="G1281" s="5">
        <f t="shared" si="86"/>
        <v>0.53959484346224673</v>
      </c>
      <c r="H1281" s="2" t="s">
        <v>946</v>
      </c>
      <c r="I1281" s="6" t="s">
        <v>69</v>
      </c>
      <c r="J1281" s="2" t="s">
        <v>947</v>
      </c>
      <c r="K1281" s="2" t="s">
        <v>948</v>
      </c>
      <c r="L1281" s="2" t="s">
        <v>28</v>
      </c>
      <c r="M1281" s="2" t="s">
        <v>5</v>
      </c>
      <c r="N1281" s="4">
        <v>13519.05</v>
      </c>
    </row>
    <row r="1282" spans="1:14" x14ac:dyDescent="0.25">
      <c r="A1282" s="2" t="s">
        <v>290</v>
      </c>
      <c r="B1282" s="2" t="s">
        <v>291</v>
      </c>
      <c r="C1282" s="3">
        <v>48</v>
      </c>
      <c r="D1282" s="4">
        <v>1110.24</v>
      </c>
      <c r="E1282" s="4">
        <v>780</v>
      </c>
      <c r="F1282" s="4">
        <f t="shared" si="85"/>
        <v>330.24</v>
      </c>
      <c r="G1282" s="5">
        <f t="shared" si="86"/>
        <v>0.29744920017293558</v>
      </c>
      <c r="H1282" s="2" t="s">
        <v>946</v>
      </c>
      <c r="I1282" s="6" t="s">
        <v>69</v>
      </c>
      <c r="J1282" s="2" t="s">
        <v>947</v>
      </c>
      <c r="K1282" s="2" t="s">
        <v>948</v>
      </c>
      <c r="L1282" s="2" t="s">
        <v>28</v>
      </c>
      <c r="M1282" s="2" t="s">
        <v>5</v>
      </c>
      <c r="N1282" s="4">
        <v>13519.05</v>
      </c>
    </row>
    <row r="1283" spans="1:14" x14ac:dyDescent="0.25">
      <c r="A1283" s="2" t="s">
        <v>949</v>
      </c>
      <c r="B1283" s="2" t="s">
        <v>950</v>
      </c>
      <c r="C1283" s="3">
        <v>41.75</v>
      </c>
      <c r="D1283" s="4">
        <v>766.94749999999999</v>
      </c>
      <c r="E1283" s="4">
        <v>388.27499999999998</v>
      </c>
      <c r="F1283" s="4">
        <f t="shared" si="85"/>
        <v>378.67250000000001</v>
      </c>
      <c r="G1283" s="5">
        <f t="shared" si="86"/>
        <v>0.49373979314099076</v>
      </c>
      <c r="H1283" s="2" t="s">
        <v>946</v>
      </c>
      <c r="I1283" s="6" t="s">
        <v>69</v>
      </c>
      <c r="J1283" s="2" t="s">
        <v>947</v>
      </c>
      <c r="K1283" s="2" t="s">
        <v>948</v>
      </c>
      <c r="L1283" s="2" t="s">
        <v>28</v>
      </c>
      <c r="M1283" s="2" t="s">
        <v>5</v>
      </c>
      <c r="N1283" s="4">
        <v>13519.05</v>
      </c>
    </row>
    <row r="1284" spans="1:14" x14ac:dyDescent="0.25">
      <c r="A1284" s="2" t="s">
        <v>292</v>
      </c>
      <c r="B1284" s="2" t="s">
        <v>293</v>
      </c>
      <c r="C1284" s="3">
        <v>62.54</v>
      </c>
      <c r="D1284" s="4">
        <v>1275.1905999999999</v>
      </c>
      <c r="E1284" s="4">
        <v>1031.9100000000001</v>
      </c>
      <c r="F1284" s="4">
        <f t="shared" si="85"/>
        <v>243.28059999999982</v>
      </c>
      <c r="G1284" s="5">
        <f t="shared" si="86"/>
        <v>0.19077979401667472</v>
      </c>
      <c r="H1284" s="2" t="s">
        <v>946</v>
      </c>
      <c r="I1284" s="6" t="s">
        <v>69</v>
      </c>
      <c r="J1284" s="2" t="s">
        <v>947</v>
      </c>
      <c r="K1284" s="2" t="s">
        <v>948</v>
      </c>
      <c r="L1284" s="2" t="s">
        <v>28</v>
      </c>
      <c r="M1284" s="2" t="s">
        <v>5</v>
      </c>
      <c r="N1284" s="4">
        <v>13519.05</v>
      </c>
    </row>
    <row r="1285" spans="1:14" x14ac:dyDescent="0.25">
      <c r="A1285" s="2" t="s">
        <v>296</v>
      </c>
      <c r="B1285" s="2" t="s">
        <v>297</v>
      </c>
      <c r="C1285" s="3">
        <v>43.43</v>
      </c>
      <c r="D1285" s="4">
        <v>503.3537</v>
      </c>
      <c r="E1285" s="4">
        <v>317.03899999999999</v>
      </c>
      <c r="F1285" s="4">
        <f t="shared" si="85"/>
        <v>186.31470000000002</v>
      </c>
      <c r="G1285" s="5">
        <f t="shared" si="86"/>
        <v>0.37014667817083696</v>
      </c>
      <c r="H1285" s="2" t="s">
        <v>946</v>
      </c>
      <c r="I1285" s="6" t="s">
        <v>69</v>
      </c>
      <c r="J1285" s="2" t="s">
        <v>947</v>
      </c>
      <c r="K1285" s="2" t="s">
        <v>948</v>
      </c>
      <c r="L1285" s="2" t="s">
        <v>28</v>
      </c>
      <c r="M1285" s="2" t="s">
        <v>5</v>
      </c>
      <c r="N1285" s="4">
        <v>13519.05</v>
      </c>
    </row>
    <row r="1286" spans="1:14" x14ac:dyDescent="0.25">
      <c r="A1286" s="2" t="s">
        <v>298</v>
      </c>
      <c r="B1286" s="2" t="s">
        <v>299</v>
      </c>
      <c r="C1286" s="3">
        <v>50.84</v>
      </c>
      <c r="D1286" s="4">
        <v>620.75639999999999</v>
      </c>
      <c r="E1286" s="4">
        <v>371.13200000000001</v>
      </c>
      <c r="F1286" s="4">
        <f t="shared" si="85"/>
        <v>249.62439999999998</v>
      </c>
      <c r="G1286" s="5">
        <f t="shared" si="86"/>
        <v>0.40212940212940212</v>
      </c>
      <c r="H1286" s="2" t="s">
        <v>946</v>
      </c>
      <c r="I1286" s="6" t="s">
        <v>69</v>
      </c>
      <c r="J1286" s="2" t="s">
        <v>947</v>
      </c>
      <c r="K1286" s="2" t="s">
        <v>948</v>
      </c>
      <c r="L1286" s="2" t="s">
        <v>28</v>
      </c>
      <c r="M1286" s="2" t="s">
        <v>5</v>
      </c>
      <c r="N1286" s="4">
        <v>13519.05</v>
      </c>
    </row>
    <row r="1287" spans="1:14" x14ac:dyDescent="0.25">
      <c r="A1287" s="2" t="s">
        <v>951</v>
      </c>
      <c r="B1287" s="2" t="s">
        <v>952</v>
      </c>
      <c r="C1287" s="3">
        <v>40.479999999999997</v>
      </c>
      <c r="D1287" s="4">
        <v>523.81119999999999</v>
      </c>
      <c r="E1287" s="4">
        <v>303.60000000000002</v>
      </c>
      <c r="F1287" s="4">
        <f t="shared" si="85"/>
        <v>220.21119999999996</v>
      </c>
      <c r="G1287" s="5">
        <f t="shared" si="86"/>
        <v>0.42040185471406488</v>
      </c>
      <c r="H1287" s="2" t="s">
        <v>946</v>
      </c>
      <c r="I1287" s="6" t="s">
        <v>69</v>
      </c>
      <c r="J1287" s="2" t="s">
        <v>947</v>
      </c>
      <c r="K1287" s="2" t="s">
        <v>948</v>
      </c>
      <c r="L1287" s="2" t="s">
        <v>28</v>
      </c>
      <c r="M1287" s="2" t="s">
        <v>5</v>
      </c>
      <c r="N1287" s="4">
        <v>13519.05</v>
      </c>
    </row>
    <row r="1288" spans="1:14" x14ac:dyDescent="0.25">
      <c r="A1288" s="2" t="s">
        <v>300</v>
      </c>
      <c r="B1288" s="2" t="s">
        <v>301</v>
      </c>
      <c r="C1288" s="3">
        <v>29.414999999999999</v>
      </c>
      <c r="D1288" s="4">
        <v>299.73885000000001</v>
      </c>
      <c r="E1288" s="4">
        <v>208.84649999999999</v>
      </c>
      <c r="F1288" s="4">
        <f t="shared" si="85"/>
        <v>90.892350000000022</v>
      </c>
      <c r="G1288" s="5">
        <f t="shared" si="86"/>
        <v>0.30323846908734059</v>
      </c>
      <c r="H1288" s="2" t="s">
        <v>946</v>
      </c>
      <c r="I1288" s="6" t="s">
        <v>69</v>
      </c>
      <c r="J1288" s="2" t="s">
        <v>947</v>
      </c>
      <c r="K1288" s="2" t="s">
        <v>948</v>
      </c>
      <c r="L1288" s="2" t="s">
        <v>28</v>
      </c>
      <c r="M1288" s="2" t="s">
        <v>5</v>
      </c>
      <c r="N1288" s="4">
        <v>13519.05</v>
      </c>
    </row>
    <row r="1289" spans="1:14" x14ac:dyDescent="0.25">
      <c r="A1289" s="2" t="s">
        <v>302</v>
      </c>
      <c r="B1289" s="2" t="s">
        <v>303</v>
      </c>
      <c r="C1289" s="3">
        <v>125.59</v>
      </c>
      <c r="D1289" s="4">
        <v>2554.5005999999998</v>
      </c>
      <c r="E1289" s="4">
        <v>1569.875</v>
      </c>
      <c r="F1289" s="4">
        <f t="shared" si="85"/>
        <v>984.62559999999985</v>
      </c>
      <c r="G1289" s="5">
        <f t="shared" si="86"/>
        <v>0.3854473942969518</v>
      </c>
      <c r="H1289" s="2" t="s">
        <v>946</v>
      </c>
      <c r="I1289" s="6" t="s">
        <v>69</v>
      </c>
      <c r="J1289" s="2" t="s">
        <v>947</v>
      </c>
      <c r="K1289" s="2" t="s">
        <v>948</v>
      </c>
      <c r="L1289" s="2" t="s">
        <v>28</v>
      </c>
      <c r="M1289" s="2" t="s">
        <v>5</v>
      </c>
      <c r="N1289" s="4">
        <v>13519.05</v>
      </c>
    </row>
    <row r="1290" spans="1:14" x14ac:dyDescent="0.25">
      <c r="A1290" s="2" t="s">
        <v>953</v>
      </c>
      <c r="B1290" s="2" t="s">
        <v>954</v>
      </c>
      <c r="C1290" s="3">
        <v>16</v>
      </c>
      <c r="D1290" s="4">
        <v>279.04000000000002</v>
      </c>
      <c r="E1290" s="4">
        <v>153.44</v>
      </c>
      <c r="F1290" s="4">
        <f t="shared" si="85"/>
        <v>125.60000000000002</v>
      </c>
      <c r="G1290" s="5">
        <f t="shared" si="86"/>
        <v>0.45011467889908263</v>
      </c>
      <c r="H1290" s="2" t="s">
        <v>946</v>
      </c>
      <c r="I1290" s="6" t="s">
        <v>69</v>
      </c>
      <c r="J1290" s="2" t="s">
        <v>947</v>
      </c>
      <c r="K1290" s="2" t="s">
        <v>948</v>
      </c>
      <c r="L1290" s="2" t="s">
        <v>28</v>
      </c>
      <c r="M1290" s="2" t="s">
        <v>5</v>
      </c>
      <c r="N1290" s="4">
        <v>13519.05</v>
      </c>
    </row>
    <row r="1292" spans="1:14" x14ac:dyDescent="0.25">
      <c r="A1292" s="13" t="s">
        <v>59</v>
      </c>
      <c r="B1292" s="21"/>
      <c r="C1292" s="22">
        <f>SUM(C1271:C1291)</f>
        <v>857.34500000000003</v>
      </c>
      <c r="D1292" s="23">
        <f>SUM(D1271:D1291)</f>
        <v>13519.049849999999</v>
      </c>
      <c r="E1292" s="23">
        <f>SUM(E1271:E1291)</f>
        <v>8091.124499999999</v>
      </c>
      <c r="F1292" s="23">
        <f>D1292-E1292</f>
        <v>5427.9253500000004</v>
      </c>
      <c r="G1292" s="24">
        <f>IF(((D1292)=0),0,(D1292-E1292)/ D1292)</f>
        <v>0.40150198499342027</v>
      </c>
      <c r="H1292" s="21"/>
      <c r="I1292" s="21"/>
      <c r="J1292" s="21"/>
      <c r="K1292" s="21"/>
      <c r="L1292" s="21"/>
      <c r="M1292" s="21"/>
      <c r="N1292" s="21"/>
    </row>
    <row r="1294" spans="1:14" s="17" customFormat="1" ht="18.75" x14ac:dyDescent="0.3"/>
    <row r="1295" spans="1:14" s="7" customFormat="1" x14ac:dyDescent="0.25">
      <c r="A1295" s="13" t="s">
        <v>955</v>
      </c>
      <c r="B1295" s="18" t="s">
        <v>956</v>
      </c>
      <c r="C1295" s="19"/>
      <c r="D1295" s="20" t="s">
        <v>5</v>
      </c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</row>
    <row r="1297" spans="1:14" x14ac:dyDescent="0.25">
      <c r="A1297" s="2" t="s">
        <v>566</v>
      </c>
      <c r="B1297" s="2" t="s">
        <v>567</v>
      </c>
      <c r="C1297" s="3">
        <v>6.23</v>
      </c>
      <c r="D1297" s="4">
        <v>88.902100000000004</v>
      </c>
      <c r="E1297" s="4">
        <v>71.022000000000006</v>
      </c>
      <c r="F1297" s="4">
        <f t="shared" ref="F1297:F1313" si="87">D1297-E1297</f>
        <v>17.880099999999999</v>
      </c>
      <c r="G1297" s="5">
        <f t="shared" ref="G1297:G1313" si="88">IF(((D1297)=0),0,(D1297-E1297)/ D1297)</f>
        <v>0.20112123335669232</v>
      </c>
      <c r="H1297" s="2" t="s">
        <v>957</v>
      </c>
      <c r="I1297" s="6" t="s">
        <v>69</v>
      </c>
      <c r="J1297" s="2" t="s">
        <v>958</v>
      </c>
      <c r="K1297" s="2" t="s">
        <v>5</v>
      </c>
      <c r="L1297" s="2" t="s">
        <v>28</v>
      </c>
      <c r="M1297" s="2" t="s">
        <v>5</v>
      </c>
      <c r="N1297" s="4">
        <v>3484.78</v>
      </c>
    </row>
    <row r="1298" spans="1:14" x14ac:dyDescent="0.25">
      <c r="A1298" s="2" t="s">
        <v>566</v>
      </c>
      <c r="B1298" s="2" t="s">
        <v>567</v>
      </c>
      <c r="C1298" s="3">
        <v>8.3249999999999993</v>
      </c>
      <c r="D1298" s="4">
        <v>118.79774999999999</v>
      </c>
      <c r="E1298" s="4">
        <v>94.905000000000001</v>
      </c>
      <c r="F1298" s="4">
        <f t="shared" si="87"/>
        <v>23.892749999999992</v>
      </c>
      <c r="G1298" s="5">
        <f t="shared" si="88"/>
        <v>0.2011212333566923</v>
      </c>
      <c r="H1298" s="2" t="s">
        <v>959</v>
      </c>
      <c r="I1298" s="6" t="s">
        <v>32</v>
      </c>
      <c r="J1298" s="2" t="s">
        <v>960</v>
      </c>
      <c r="K1298" s="2" t="s">
        <v>961</v>
      </c>
      <c r="L1298" s="2" t="s">
        <v>28</v>
      </c>
      <c r="M1298" s="2" t="s">
        <v>5</v>
      </c>
      <c r="N1298" s="4">
        <v>745.49</v>
      </c>
    </row>
    <row r="1299" spans="1:14" x14ac:dyDescent="0.25">
      <c r="A1299" s="2" t="s">
        <v>566</v>
      </c>
      <c r="B1299" s="2" t="s">
        <v>567</v>
      </c>
      <c r="C1299" s="3">
        <v>36.68</v>
      </c>
      <c r="D1299" s="4">
        <v>523.42359999999996</v>
      </c>
      <c r="E1299" s="4">
        <v>418.15199999999999</v>
      </c>
      <c r="F1299" s="4">
        <f t="shared" si="87"/>
        <v>105.27159999999998</v>
      </c>
      <c r="G1299" s="5">
        <f t="shared" si="88"/>
        <v>0.20112123335669232</v>
      </c>
      <c r="H1299" s="2" t="s">
        <v>962</v>
      </c>
      <c r="I1299" s="6" t="s">
        <v>32</v>
      </c>
      <c r="J1299" s="2" t="s">
        <v>963</v>
      </c>
      <c r="K1299" s="2" t="s">
        <v>5</v>
      </c>
      <c r="L1299" s="2" t="s">
        <v>28</v>
      </c>
      <c r="M1299" s="2" t="s">
        <v>5</v>
      </c>
      <c r="N1299" s="4">
        <v>5570.98</v>
      </c>
    </row>
    <row r="1300" spans="1:14" x14ac:dyDescent="0.25">
      <c r="A1300" s="2" t="s">
        <v>22</v>
      </c>
      <c r="B1300" s="2" t="s">
        <v>23</v>
      </c>
      <c r="C1300" s="3">
        <v>105.23</v>
      </c>
      <c r="D1300" s="4">
        <v>1394.2974999999999</v>
      </c>
      <c r="E1300" s="4">
        <v>1157.53</v>
      </c>
      <c r="F1300" s="4">
        <f t="shared" si="87"/>
        <v>236.76749999999993</v>
      </c>
      <c r="G1300" s="5">
        <f t="shared" si="88"/>
        <v>0.16981132075471694</v>
      </c>
      <c r="H1300" s="2" t="s">
        <v>962</v>
      </c>
      <c r="I1300" s="6" t="s">
        <v>32</v>
      </c>
      <c r="J1300" s="2" t="s">
        <v>963</v>
      </c>
      <c r="K1300" s="2" t="s">
        <v>5</v>
      </c>
      <c r="L1300" s="2" t="s">
        <v>28</v>
      </c>
      <c r="M1300" s="2" t="s">
        <v>5</v>
      </c>
      <c r="N1300" s="4">
        <v>5570.98</v>
      </c>
    </row>
    <row r="1301" spans="1:14" x14ac:dyDescent="0.25">
      <c r="A1301" s="2" t="s">
        <v>29</v>
      </c>
      <c r="B1301" s="2" t="s">
        <v>30</v>
      </c>
      <c r="C1301" s="3">
        <v>12.03</v>
      </c>
      <c r="D1301" s="4">
        <v>150.375</v>
      </c>
      <c r="E1301" s="4">
        <v>120.3</v>
      </c>
      <c r="F1301" s="4">
        <f t="shared" si="87"/>
        <v>30.075000000000003</v>
      </c>
      <c r="G1301" s="5">
        <f t="shared" si="88"/>
        <v>0.2</v>
      </c>
      <c r="H1301" s="2" t="s">
        <v>957</v>
      </c>
      <c r="I1301" s="6" t="s">
        <v>69</v>
      </c>
      <c r="J1301" s="2" t="s">
        <v>958</v>
      </c>
      <c r="K1301" s="2" t="s">
        <v>5</v>
      </c>
      <c r="L1301" s="2" t="s">
        <v>28</v>
      </c>
      <c r="M1301" s="2" t="s">
        <v>5</v>
      </c>
      <c r="N1301" s="4">
        <v>3484.78</v>
      </c>
    </row>
    <row r="1302" spans="1:14" x14ac:dyDescent="0.25">
      <c r="A1302" s="2" t="s">
        <v>29</v>
      </c>
      <c r="B1302" s="2" t="s">
        <v>30</v>
      </c>
      <c r="C1302" s="3">
        <v>48.23</v>
      </c>
      <c r="D1302" s="4">
        <v>602.875</v>
      </c>
      <c r="E1302" s="4">
        <v>482.3</v>
      </c>
      <c r="F1302" s="4">
        <f t="shared" si="87"/>
        <v>120.57499999999999</v>
      </c>
      <c r="G1302" s="5">
        <f t="shared" si="88"/>
        <v>0.19999999999999998</v>
      </c>
      <c r="H1302" s="2" t="s">
        <v>962</v>
      </c>
      <c r="I1302" s="6" t="s">
        <v>32</v>
      </c>
      <c r="J1302" s="2" t="s">
        <v>963</v>
      </c>
      <c r="K1302" s="2" t="s">
        <v>5</v>
      </c>
      <c r="L1302" s="2" t="s">
        <v>28</v>
      </c>
      <c r="M1302" s="2" t="s">
        <v>5</v>
      </c>
      <c r="N1302" s="4">
        <v>5570.98</v>
      </c>
    </row>
    <row r="1303" spans="1:14" x14ac:dyDescent="0.25">
      <c r="A1303" s="2" t="s">
        <v>41</v>
      </c>
      <c r="B1303" s="2" t="s">
        <v>42</v>
      </c>
      <c r="C1303" s="3">
        <v>12.71</v>
      </c>
      <c r="D1303" s="4">
        <v>219.37459999999999</v>
      </c>
      <c r="E1303" s="4">
        <v>149.3425</v>
      </c>
      <c r="F1303" s="4">
        <f t="shared" si="87"/>
        <v>70.032099999999986</v>
      </c>
      <c r="G1303" s="5">
        <f t="shared" si="88"/>
        <v>0.31923522595596748</v>
      </c>
      <c r="H1303" s="2" t="s">
        <v>964</v>
      </c>
      <c r="I1303" s="6" t="s">
        <v>69</v>
      </c>
      <c r="J1303" s="2" t="s">
        <v>965</v>
      </c>
      <c r="K1303" s="2" t="s">
        <v>5</v>
      </c>
      <c r="L1303" s="2" t="s">
        <v>28</v>
      </c>
      <c r="M1303" s="2" t="s">
        <v>5</v>
      </c>
      <c r="N1303" s="4">
        <v>516.9</v>
      </c>
    </row>
    <row r="1304" spans="1:14" x14ac:dyDescent="0.25">
      <c r="A1304" s="2" t="s">
        <v>41</v>
      </c>
      <c r="B1304" s="2" t="s">
        <v>42</v>
      </c>
      <c r="C1304" s="3">
        <v>12.09</v>
      </c>
      <c r="D1304" s="4">
        <v>208.67339999999999</v>
      </c>
      <c r="E1304" s="4">
        <v>142.0575</v>
      </c>
      <c r="F1304" s="4">
        <f t="shared" si="87"/>
        <v>66.615899999999982</v>
      </c>
      <c r="G1304" s="5">
        <f t="shared" si="88"/>
        <v>0.31923522595596748</v>
      </c>
      <c r="H1304" s="2" t="s">
        <v>959</v>
      </c>
      <c r="I1304" s="6" t="s">
        <v>32</v>
      </c>
      <c r="J1304" s="2" t="s">
        <v>960</v>
      </c>
      <c r="K1304" s="2" t="s">
        <v>961</v>
      </c>
      <c r="L1304" s="2" t="s">
        <v>28</v>
      </c>
      <c r="M1304" s="2" t="s">
        <v>5</v>
      </c>
      <c r="N1304" s="4">
        <v>745.49</v>
      </c>
    </row>
    <row r="1305" spans="1:14" x14ac:dyDescent="0.25">
      <c r="A1305" s="2" t="s">
        <v>966</v>
      </c>
      <c r="B1305" s="2" t="s">
        <v>967</v>
      </c>
      <c r="C1305" s="3">
        <v>108.47</v>
      </c>
      <c r="D1305" s="4">
        <v>1355.875</v>
      </c>
      <c r="E1305" s="4">
        <v>1279.9459999999999</v>
      </c>
      <c r="F1305" s="4">
        <f t="shared" si="87"/>
        <v>75.929000000000087</v>
      </c>
      <c r="G1305" s="5">
        <f t="shared" si="88"/>
        <v>5.6000000000000064E-2</v>
      </c>
      <c r="H1305" s="2" t="s">
        <v>962</v>
      </c>
      <c r="I1305" s="6" t="s">
        <v>32</v>
      </c>
      <c r="J1305" s="2" t="s">
        <v>963</v>
      </c>
      <c r="K1305" s="2" t="s">
        <v>5</v>
      </c>
      <c r="L1305" s="2" t="s">
        <v>28</v>
      </c>
      <c r="M1305" s="2" t="s">
        <v>5</v>
      </c>
      <c r="N1305" s="4">
        <v>5570.98</v>
      </c>
    </row>
    <row r="1306" spans="1:14" x14ac:dyDescent="0.25">
      <c r="A1306" s="2" t="s">
        <v>966</v>
      </c>
      <c r="B1306" s="2" t="s">
        <v>967</v>
      </c>
      <c r="C1306" s="3">
        <v>259.64</v>
      </c>
      <c r="D1306" s="4">
        <v>3245.5</v>
      </c>
      <c r="E1306" s="4">
        <v>3063.752</v>
      </c>
      <c r="F1306" s="4">
        <f t="shared" si="87"/>
        <v>181.74800000000005</v>
      </c>
      <c r="G1306" s="5">
        <f t="shared" si="88"/>
        <v>5.6000000000000015E-2</v>
      </c>
      <c r="H1306" s="2" t="s">
        <v>957</v>
      </c>
      <c r="I1306" s="6" t="s">
        <v>69</v>
      </c>
      <c r="J1306" s="2" t="s">
        <v>958</v>
      </c>
      <c r="K1306" s="2" t="s">
        <v>5</v>
      </c>
      <c r="L1306" s="2" t="s">
        <v>28</v>
      </c>
      <c r="M1306" s="2" t="s">
        <v>5</v>
      </c>
      <c r="N1306" s="4">
        <v>3484.78</v>
      </c>
    </row>
    <row r="1307" spans="1:14" x14ac:dyDescent="0.25">
      <c r="A1307" s="2" t="s">
        <v>968</v>
      </c>
      <c r="B1307" s="2" t="s">
        <v>969</v>
      </c>
      <c r="C1307" s="3">
        <v>3.3380000000000001</v>
      </c>
      <c r="D1307" s="4">
        <v>50.604080000000003</v>
      </c>
      <c r="E1307" s="4">
        <v>23.0322</v>
      </c>
      <c r="F1307" s="4">
        <f t="shared" si="87"/>
        <v>27.571880000000004</v>
      </c>
      <c r="G1307" s="5">
        <f t="shared" si="88"/>
        <v>0.54485488126649084</v>
      </c>
      <c r="H1307" s="2" t="s">
        <v>959</v>
      </c>
      <c r="I1307" s="6" t="s">
        <v>32</v>
      </c>
      <c r="J1307" s="2" t="s">
        <v>960</v>
      </c>
      <c r="K1307" s="2" t="s">
        <v>961</v>
      </c>
      <c r="L1307" s="2" t="s">
        <v>28</v>
      </c>
      <c r="M1307" s="2" t="s">
        <v>5</v>
      </c>
      <c r="N1307" s="4">
        <v>745.49</v>
      </c>
    </row>
    <row r="1308" spans="1:14" x14ac:dyDescent="0.25">
      <c r="A1308" s="2" t="s">
        <v>968</v>
      </c>
      <c r="B1308" s="2" t="s">
        <v>969</v>
      </c>
      <c r="C1308" s="3">
        <v>3.02</v>
      </c>
      <c r="D1308" s="4">
        <v>45.783200000000001</v>
      </c>
      <c r="E1308" s="4">
        <v>20.838000000000001</v>
      </c>
      <c r="F1308" s="4">
        <f t="shared" si="87"/>
        <v>24.9452</v>
      </c>
      <c r="G1308" s="5">
        <f t="shared" si="88"/>
        <v>0.54485488126649073</v>
      </c>
      <c r="H1308" s="2" t="s">
        <v>964</v>
      </c>
      <c r="I1308" s="6" t="s">
        <v>69</v>
      </c>
      <c r="J1308" s="2" t="s">
        <v>965</v>
      </c>
      <c r="K1308" s="2" t="s">
        <v>5</v>
      </c>
      <c r="L1308" s="2" t="s">
        <v>28</v>
      </c>
      <c r="M1308" s="2" t="s">
        <v>5</v>
      </c>
      <c r="N1308" s="4">
        <v>516.9</v>
      </c>
    </row>
    <row r="1309" spans="1:14" x14ac:dyDescent="0.25">
      <c r="A1309" s="2" t="s">
        <v>152</v>
      </c>
      <c r="B1309" s="2" t="s">
        <v>153</v>
      </c>
      <c r="C1309" s="3">
        <v>15.53</v>
      </c>
      <c r="D1309" s="4">
        <v>251.7413</v>
      </c>
      <c r="E1309" s="4">
        <v>107.157</v>
      </c>
      <c r="F1309" s="4">
        <f t="shared" si="87"/>
        <v>144.58429999999998</v>
      </c>
      <c r="G1309" s="5">
        <f t="shared" si="88"/>
        <v>0.57433682911782846</v>
      </c>
      <c r="H1309" s="2" t="s">
        <v>964</v>
      </c>
      <c r="I1309" s="6" t="s">
        <v>69</v>
      </c>
      <c r="J1309" s="2" t="s">
        <v>965</v>
      </c>
      <c r="K1309" s="2" t="s">
        <v>5</v>
      </c>
      <c r="L1309" s="2" t="s">
        <v>28</v>
      </c>
      <c r="M1309" s="2" t="s">
        <v>5</v>
      </c>
      <c r="N1309" s="4">
        <v>516.9</v>
      </c>
    </row>
    <row r="1310" spans="1:14" x14ac:dyDescent="0.25">
      <c r="A1310" s="2" t="s">
        <v>152</v>
      </c>
      <c r="B1310" s="2" t="s">
        <v>153</v>
      </c>
      <c r="C1310" s="3">
        <v>15.68</v>
      </c>
      <c r="D1310" s="4">
        <v>254.1728</v>
      </c>
      <c r="E1310" s="4">
        <v>108.19199999999999</v>
      </c>
      <c r="F1310" s="4">
        <f t="shared" si="87"/>
        <v>145.98079999999999</v>
      </c>
      <c r="G1310" s="5">
        <f t="shared" si="88"/>
        <v>0.57433682911782846</v>
      </c>
      <c r="H1310" s="2" t="s">
        <v>959</v>
      </c>
      <c r="I1310" s="6" t="s">
        <v>32</v>
      </c>
      <c r="J1310" s="2" t="s">
        <v>960</v>
      </c>
      <c r="K1310" s="2" t="s">
        <v>961</v>
      </c>
      <c r="L1310" s="2" t="s">
        <v>28</v>
      </c>
      <c r="M1310" s="2" t="s">
        <v>5</v>
      </c>
      <c r="N1310" s="4">
        <v>745.49</v>
      </c>
    </row>
    <row r="1311" spans="1:14" x14ac:dyDescent="0.25">
      <c r="A1311" s="2" t="s">
        <v>707</v>
      </c>
      <c r="B1311" s="2" t="s">
        <v>708</v>
      </c>
      <c r="C1311" s="3">
        <v>39.81</v>
      </c>
      <c r="D1311" s="4">
        <v>409.64490000000001</v>
      </c>
      <c r="E1311" s="4">
        <v>330.0249</v>
      </c>
      <c r="F1311" s="4">
        <f t="shared" si="87"/>
        <v>79.62</v>
      </c>
      <c r="G1311" s="5">
        <f t="shared" si="88"/>
        <v>0.19436345966958213</v>
      </c>
      <c r="H1311" s="2" t="s">
        <v>962</v>
      </c>
      <c r="I1311" s="6" t="s">
        <v>32</v>
      </c>
      <c r="J1311" s="2" t="s">
        <v>963</v>
      </c>
      <c r="K1311" s="2" t="s">
        <v>5</v>
      </c>
      <c r="L1311" s="2" t="s">
        <v>28</v>
      </c>
      <c r="M1311" s="2" t="s">
        <v>5</v>
      </c>
      <c r="N1311" s="4">
        <v>5570.98</v>
      </c>
    </row>
    <row r="1312" spans="1:14" x14ac:dyDescent="0.25">
      <c r="A1312" s="2" t="s">
        <v>624</v>
      </c>
      <c r="B1312" s="2" t="s">
        <v>625</v>
      </c>
      <c r="C1312" s="3">
        <v>8.06</v>
      </c>
      <c r="D1312" s="4">
        <v>113.24299999999999</v>
      </c>
      <c r="E1312" s="4">
        <v>60.45</v>
      </c>
      <c r="F1312" s="4">
        <f t="shared" si="87"/>
        <v>52.792999999999992</v>
      </c>
      <c r="G1312" s="5">
        <f t="shared" si="88"/>
        <v>0.46619217081850528</v>
      </c>
      <c r="H1312" s="2" t="s">
        <v>959</v>
      </c>
      <c r="I1312" s="6" t="s">
        <v>32</v>
      </c>
      <c r="J1312" s="2" t="s">
        <v>960</v>
      </c>
      <c r="K1312" s="2" t="s">
        <v>961</v>
      </c>
      <c r="L1312" s="2" t="s">
        <v>28</v>
      </c>
      <c r="M1312" s="2" t="s">
        <v>5</v>
      </c>
      <c r="N1312" s="4">
        <v>745.49</v>
      </c>
    </row>
    <row r="1313" spans="1:14" x14ac:dyDescent="0.25">
      <c r="A1313" s="2" t="s">
        <v>250</v>
      </c>
      <c r="B1313" s="2" t="s">
        <v>251</v>
      </c>
      <c r="C1313" s="3">
        <v>110.1</v>
      </c>
      <c r="D1313" s="4">
        <v>1284.867</v>
      </c>
      <c r="E1313" s="4">
        <v>935.85</v>
      </c>
      <c r="F1313" s="4">
        <f t="shared" si="87"/>
        <v>349.01699999999994</v>
      </c>
      <c r="G1313" s="5">
        <f t="shared" si="88"/>
        <v>0.27163667523564694</v>
      </c>
      <c r="H1313" s="2" t="s">
        <v>962</v>
      </c>
      <c r="I1313" s="6" t="s">
        <v>32</v>
      </c>
      <c r="J1313" s="2" t="s">
        <v>963</v>
      </c>
      <c r="K1313" s="2" t="s">
        <v>5</v>
      </c>
      <c r="L1313" s="2" t="s">
        <v>28</v>
      </c>
      <c r="M1313" s="2" t="s">
        <v>5</v>
      </c>
      <c r="N1313" s="4">
        <v>5570.98</v>
      </c>
    </row>
    <row r="1315" spans="1:14" x14ac:dyDescent="0.25">
      <c r="A1315" s="13" t="s">
        <v>59</v>
      </c>
      <c r="B1315" s="21"/>
      <c r="C1315" s="22">
        <f>SUM(C1294:C1314)</f>
        <v>805.17299999999989</v>
      </c>
      <c r="D1315" s="23">
        <f>SUM(D1294:D1314)</f>
        <v>10318.150230000001</v>
      </c>
      <c r="E1315" s="23">
        <f>SUM(E1294:E1314)</f>
        <v>8564.8510999999999</v>
      </c>
      <c r="F1315" s="23">
        <f>D1315-E1315</f>
        <v>1753.2991300000012</v>
      </c>
      <c r="G1315" s="24">
        <f>IF(((D1315)=0),0,(D1315-E1315)/ D1315)</f>
        <v>0.16992378390675952</v>
      </c>
      <c r="H1315" s="21"/>
      <c r="I1315" s="21"/>
      <c r="J1315" s="21"/>
      <c r="K1315" s="21"/>
      <c r="L1315" s="21"/>
      <c r="M1315" s="21"/>
      <c r="N1315" s="21"/>
    </row>
    <row r="1317" spans="1:14" s="17" customFormat="1" ht="18.75" x14ac:dyDescent="0.3"/>
    <row r="1318" spans="1:14" s="7" customFormat="1" x14ac:dyDescent="0.25">
      <c r="A1318" s="13" t="s">
        <v>970</v>
      </c>
      <c r="B1318" s="18" t="s">
        <v>971</v>
      </c>
      <c r="C1318" s="19"/>
      <c r="D1318" s="20" t="s">
        <v>5</v>
      </c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</row>
    <row r="1320" spans="1:14" x14ac:dyDescent="0.25">
      <c r="A1320" s="2" t="s">
        <v>972</v>
      </c>
      <c r="B1320" s="2" t="s">
        <v>973</v>
      </c>
      <c r="C1320" s="3">
        <v>3.29</v>
      </c>
      <c r="D1320" s="4">
        <v>106.53019999999999</v>
      </c>
      <c r="E1320" s="4">
        <v>71.557500000000005</v>
      </c>
      <c r="F1320" s="4">
        <f>D1320-E1320</f>
        <v>34.972699999999989</v>
      </c>
      <c r="G1320" s="5">
        <f>IF(((D1320)=0),0,(D1320-E1320)/ D1320)</f>
        <v>0.3282890673255095</v>
      </c>
      <c r="H1320" s="2" t="s">
        <v>974</v>
      </c>
      <c r="I1320" s="6" t="s">
        <v>39</v>
      </c>
      <c r="J1320" s="2" t="s">
        <v>975</v>
      </c>
      <c r="K1320" s="2" t="s">
        <v>5</v>
      </c>
      <c r="L1320" s="2" t="s">
        <v>28</v>
      </c>
      <c r="M1320" s="2" t="s">
        <v>5</v>
      </c>
      <c r="N1320" s="4">
        <v>106.53</v>
      </c>
    </row>
    <row r="1322" spans="1:14" x14ac:dyDescent="0.25">
      <c r="A1322" s="13" t="s">
        <v>59</v>
      </c>
      <c r="B1322" s="21"/>
      <c r="C1322" s="22">
        <f>SUM(C1317:C1321)</f>
        <v>3.29</v>
      </c>
      <c r="D1322" s="23">
        <f>SUM(D1317:D1321)</f>
        <v>106.53019999999999</v>
      </c>
      <c r="E1322" s="23">
        <f>SUM(E1317:E1321)</f>
        <v>71.557500000000005</v>
      </c>
      <c r="F1322" s="23">
        <f>D1322-E1322</f>
        <v>34.972699999999989</v>
      </c>
      <c r="G1322" s="24">
        <f>IF(((D1322)=0),0,(D1322-E1322)/ D1322)</f>
        <v>0.3282890673255095</v>
      </c>
      <c r="H1322" s="21"/>
      <c r="I1322" s="21"/>
      <c r="J1322" s="21"/>
      <c r="K1322" s="21"/>
      <c r="L1322" s="21"/>
      <c r="M1322" s="21"/>
      <c r="N1322" s="21"/>
    </row>
    <row r="1324" spans="1:14" s="17" customFormat="1" ht="18.75" x14ac:dyDescent="0.3"/>
    <row r="1325" spans="1:14" s="7" customFormat="1" x14ac:dyDescent="0.25">
      <c r="A1325" s="13" t="s">
        <v>976</v>
      </c>
      <c r="B1325" s="18" t="s">
        <v>977</v>
      </c>
      <c r="C1325" s="19"/>
      <c r="D1325" s="20" t="s">
        <v>5</v>
      </c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</row>
    <row r="1327" spans="1:14" x14ac:dyDescent="0.25">
      <c r="A1327" s="2" t="s">
        <v>862</v>
      </c>
      <c r="B1327" s="2" t="s">
        <v>863</v>
      </c>
      <c r="C1327" s="3">
        <v>10.09</v>
      </c>
      <c r="D1327" s="4">
        <v>183.7389</v>
      </c>
      <c r="E1327" s="4">
        <v>105.94499999999999</v>
      </c>
      <c r="F1327" s="4">
        <f t="shared" ref="F1327:F1336" si="89">D1327-E1327</f>
        <v>77.793900000000008</v>
      </c>
      <c r="G1327" s="5">
        <f t="shared" ref="G1327:G1336" si="90">IF(((D1327)=0),0,(D1327-E1327)/ D1327)</f>
        <v>0.42339373970345967</v>
      </c>
      <c r="H1327" s="2" t="s">
        <v>978</v>
      </c>
      <c r="I1327" s="6" t="s">
        <v>69</v>
      </c>
      <c r="J1327" s="2" t="s">
        <v>979</v>
      </c>
      <c r="K1327" s="2" t="s">
        <v>980</v>
      </c>
      <c r="L1327" s="2" t="s">
        <v>28</v>
      </c>
      <c r="M1327" s="2" t="s">
        <v>5</v>
      </c>
      <c r="N1327" s="4">
        <v>183.74</v>
      </c>
    </row>
    <row r="1328" spans="1:14" x14ac:dyDescent="0.25">
      <c r="A1328" s="2" t="s">
        <v>45</v>
      </c>
      <c r="B1328" s="2" t="s">
        <v>46</v>
      </c>
      <c r="C1328" s="3">
        <v>20.968</v>
      </c>
      <c r="D1328" s="4">
        <v>259.16448000000003</v>
      </c>
      <c r="E1328" s="4">
        <v>153.06639999999999</v>
      </c>
      <c r="F1328" s="4">
        <f t="shared" si="89"/>
        <v>106.09808000000004</v>
      </c>
      <c r="G1328" s="5">
        <f t="shared" si="90"/>
        <v>0.40938511326860855</v>
      </c>
      <c r="H1328" s="2" t="s">
        <v>981</v>
      </c>
      <c r="I1328" s="6" t="s">
        <v>74</v>
      </c>
      <c r="J1328" s="2" t="s">
        <v>982</v>
      </c>
      <c r="K1328" s="2" t="s">
        <v>983</v>
      </c>
      <c r="L1328" s="2" t="s">
        <v>28</v>
      </c>
      <c r="M1328" s="2" t="s">
        <v>5</v>
      </c>
      <c r="N1328" s="4">
        <v>259.16000000000003</v>
      </c>
    </row>
    <row r="1329" spans="1:14" x14ac:dyDescent="0.25">
      <c r="A1329" s="2" t="s">
        <v>45</v>
      </c>
      <c r="B1329" s="2" t="s">
        <v>46</v>
      </c>
      <c r="C1329" s="3">
        <v>38.97</v>
      </c>
      <c r="D1329" s="4">
        <v>481.66919999999999</v>
      </c>
      <c r="E1329" s="4">
        <v>284.48099999999999</v>
      </c>
      <c r="F1329" s="4">
        <f t="shared" si="89"/>
        <v>197.18819999999999</v>
      </c>
      <c r="G1329" s="5">
        <f t="shared" si="90"/>
        <v>0.40938511326860844</v>
      </c>
      <c r="H1329" s="2" t="s">
        <v>984</v>
      </c>
      <c r="I1329" s="6" t="s">
        <v>25</v>
      </c>
      <c r="J1329" s="2" t="s">
        <v>985</v>
      </c>
      <c r="K1329" s="2" t="s">
        <v>980</v>
      </c>
      <c r="L1329" s="2" t="s">
        <v>28</v>
      </c>
      <c r="M1329" s="2" t="s">
        <v>5</v>
      </c>
      <c r="N1329" s="4">
        <v>481.67</v>
      </c>
    </row>
    <row r="1330" spans="1:14" x14ac:dyDescent="0.25">
      <c r="A1330" s="2" t="s">
        <v>45</v>
      </c>
      <c r="B1330" s="2" t="s">
        <v>46</v>
      </c>
      <c r="C1330" s="3">
        <v>11.78</v>
      </c>
      <c r="D1330" s="4">
        <v>145.60079999999999</v>
      </c>
      <c r="E1330" s="4">
        <v>85.994</v>
      </c>
      <c r="F1330" s="4">
        <f t="shared" si="89"/>
        <v>59.606799999999993</v>
      </c>
      <c r="G1330" s="5">
        <f t="shared" si="90"/>
        <v>0.40938511326860838</v>
      </c>
      <c r="H1330" s="2" t="s">
        <v>986</v>
      </c>
      <c r="I1330" s="6" t="s">
        <v>25</v>
      </c>
      <c r="J1330" s="2" t="s">
        <v>987</v>
      </c>
      <c r="K1330" s="2" t="s">
        <v>983</v>
      </c>
      <c r="L1330" s="2" t="s">
        <v>28</v>
      </c>
      <c r="M1330" s="2" t="s">
        <v>5</v>
      </c>
      <c r="N1330" s="4">
        <v>145.6</v>
      </c>
    </row>
    <row r="1331" spans="1:14" x14ac:dyDescent="0.25">
      <c r="A1331" s="2" t="s">
        <v>45</v>
      </c>
      <c r="B1331" s="2" t="s">
        <v>46</v>
      </c>
      <c r="C1331" s="3">
        <v>20.738</v>
      </c>
      <c r="D1331" s="4">
        <v>256.32168000000001</v>
      </c>
      <c r="E1331" s="4">
        <v>151.38740000000001</v>
      </c>
      <c r="F1331" s="4">
        <f t="shared" si="89"/>
        <v>104.93428</v>
      </c>
      <c r="G1331" s="5">
        <f t="shared" si="90"/>
        <v>0.40938511326860838</v>
      </c>
      <c r="H1331" s="2" t="s">
        <v>988</v>
      </c>
      <c r="I1331" s="6" t="s">
        <v>32</v>
      </c>
      <c r="J1331" s="2" t="s">
        <v>989</v>
      </c>
      <c r="K1331" s="2" t="s">
        <v>983</v>
      </c>
      <c r="L1331" s="2" t="s">
        <v>28</v>
      </c>
      <c r="M1331" s="2" t="s">
        <v>5</v>
      </c>
      <c r="N1331" s="4">
        <v>256.32</v>
      </c>
    </row>
    <row r="1332" spans="1:14" x14ac:dyDescent="0.25">
      <c r="A1332" s="2" t="s">
        <v>45</v>
      </c>
      <c r="B1332" s="2" t="s">
        <v>46</v>
      </c>
      <c r="C1332" s="3">
        <v>30.02</v>
      </c>
      <c r="D1332" s="4">
        <v>371.04719999999998</v>
      </c>
      <c r="E1332" s="4">
        <v>219.14599999999999</v>
      </c>
      <c r="F1332" s="4">
        <f t="shared" si="89"/>
        <v>151.90119999999999</v>
      </c>
      <c r="G1332" s="5">
        <f t="shared" si="90"/>
        <v>0.40938511326860844</v>
      </c>
      <c r="H1332" s="2" t="s">
        <v>990</v>
      </c>
      <c r="I1332" s="6" t="s">
        <v>32</v>
      </c>
      <c r="J1332" s="2" t="s">
        <v>991</v>
      </c>
      <c r="K1332" s="2" t="s">
        <v>980</v>
      </c>
      <c r="L1332" s="2" t="s">
        <v>28</v>
      </c>
      <c r="M1332" s="2" t="s">
        <v>5</v>
      </c>
      <c r="N1332" s="4">
        <v>371.05</v>
      </c>
    </row>
    <row r="1333" spans="1:14" x14ac:dyDescent="0.25">
      <c r="A1333" s="2" t="s">
        <v>45</v>
      </c>
      <c r="B1333" s="2" t="s">
        <v>46</v>
      </c>
      <c r="C1333" s="3">
        <v>57.86</v>
      </c>
      <c r="D1333" s="4">
        <v>715.14959999999996</v>
      </c>
      <c r="E1333" s="4">
        <v>422.37799999999999</v>
      </c>
      <c r="F1333" s="4">
        <f t="shared" si="89"/>
        <v>292.77159999999998</v>
      </c>
      <c r="G1333" s="5">
        <f t="shared" si="90"/>
        <v>0.40938511326860838</v>
      </c>
      <c r="H1333" s="2" t="s">
        <v>992</v>
      </c>
      <c r="I1333" s="6" t="s">
        <v>39</v>
      </c>
      <c r="J1333" s="2" t="s">
        <v>993</v>
      </c>
      <c r="K1333" s="2" t="s">
        <v>980</v>
      </c>
      <c r="L1333" s="2" t="s">
        <v>28</v>
      </c>
      <c r="M1333" s="2" t="s">
        <v>5</v>
      </c>
      <c r="N1333" s="4">
        <v>715.15</v>
      </c>
    </row>
    <row r="1334" spans="1:14" x14ac:dyDescent="0.25">
      <c r="A1334" s="2" t="s">
        <v>45</v>
      </c>
      <c r="B1334" s="2" t="s">
        <v>46</v>
      </c>
      <c r="C1334" s="3">
        <v>19.3</v>
      </c>
      <c r="D1334" s="4">
        <v>238.548</v>
      </c>
      <c r="E1334" s="4">
        <v>140.88999999999999</v>
      </c>
      <c r="F1334" s="4">
        <f t="shared" si="89"/>
        <v>97.658000000000015</v>
      </c>
      <c r="G1334" s="5">
        <f t="shared" si="90"/>
        <v>0.40938511326860849</v>
      </c>
      <c r="H1334" s="2" t="s">
        <v>994</v>
      </c>
      <c r="I1334" s="6" t="s">
        <v>39</v>
      </c>
      <c r="J1334" s="2" t="s">
        <v>995</v>
      </c>
      <c r="K1334" s="2" t="s">
        <v>983</v>
      </c>
      <c r="L1334" s="2" t="s">
        <v>28</v>
      </c>
      <c r="M1334" s="2" t="s">
        <v>5</v>
      </c>
      <c r="N1334" s="4">
        <v>238.55</v>
      </c>
    </row>
    <row r="1335" spans="1:14" x14ac:dyDescent="0.25">
      <c r="A1335" s="2" t="s">
        <v>45</v>
      </c>
      <c r="B1335" s="2" t="s">
        <v>46</v>
      </c>
      <c r="C1335" s="3">
        <v>9.84</v>
      </c>
      <c r="D1335" s="4">
        <v>121.6224</v>
      </c>
      <c r="E1335" s="4">
        <v>71.831999999999994</v>
      </c>
      <c r="F1335" s="4">
        <f t="shared" si="89"/>
        <v>49.790400000000005</v>
      </c>
      <c r="G1335" s="5">
        <f t="shared" si="90"/>
        <v>0.40938511326860844</v>
      </c>
      <c r="H1335" s="2" t="s">
        <v>996</v>
      </c>
      <c r="I1335" s="6" t="s">
        <v>69</v>
      </c>
      <c r="J1335" s="2" t="s">
        <v>997</v>
      </c>
      <c r="K1335" s="2" t="s">
        <v>998</v>
      </c>
      <c r="L1335" s="2" t="s">
        <v>28</v>
      </c>
      <c r="M1335" s="2" t="s">
        <v>5</v>
      </c>
      <c r="N1335" s="4">
        <v>121.62</v>
      </c>
    </row>
    <row r="1336" spans="1:14" x14ac:dyDescent="0.25">
      <c r="A1336" s="2" t="s">
        <v>45</v>
      </c>
      <c r="B1336" s="2" t="s">
        <v>46</v>
      </c>
      <c r="C1336" s="3">
        <v>21.234000000000002</v>
      </c>
      <c r="D1336" s="4">
        <v>262.45224000000002</v>
      </c>
      <c r="E1336" s="4">
        <v>155.00819999999999</v>
      </c>
      <c r="F1336" s="4">
        <f t="shared" si="89"/>
        <v>107.44404000000003</v>
      </c>
      <c r="G1336" s="5">
        <f t="shared" si="90"/>
        <v>0.40938511326860849</v>
      </c>
      <c r="H1336" s="2" t="s">
        <v>999</v>
      </c>
      <c r="I1336" s="6" t="s">
        <v>69</v>
      </c>
      <c r="J1336" s="2" t="s">
        <v>1000</v>
      </c>
      <c r="K1336" s="2" t="s">
        <v>1001</v>
      </c>
      <c r="L1336" s="2" t="s">
        <v>28</v>
      </c>
      <c r="M1336" s="2" t="s">
        <v>5</v>
      </c>
      <c r="N1336" s="4">
        <v>262.45</v>
      </c>
    </row>
    <row r="1338" spans="1:14" x14ac:dyDescent="0.25">
      <c r="A1338" s="13" t="s">
        <v>59</v>
      </c>
      <c r="B1338" s="21"/>
      <c r="C1338" s="22">
        <f>SUM(C1324:C1337)</f>
        <v>240.8</v>
      </c>
      <c r="D1338" s="23">
        <f>SUM(D1324:D1337)</f>
        <v>3035.3145</v>
      </c>
      <c r="E1338" s="23">
        <f>SUM(E1324:E1337)</f>
        <v>1790.1279999999999</v>
      </c>
      <c r="F1338" s="23">
        <f>D1338-E1338</f>
        <v>1245.1865</v>
      </c>
      <c r="G1338" s="24">
        <f>IF(((D1338)=0),0,(D1338-E1338)/ D1338)</f>
        <v>0.41023310764008147</v>
      </c>
      <c r="H1338" s="21"/>
      <c r="I1338" s="21"/>
      <c r="J1338" s="21"/>
      <c r="K1338" s="21"/>
      <c r="L1338" s="21"/>
      <c r="M1338" s="21"/>
      <c r="N1338" s="21"/>
    </row>
    <row r="1340" spans="1:14" s="17" customFormat="1" ht="18.75" x14ac:dyDescent="0.3"/>
    <row r="1341" spans="1:14" s="7" customFormat="1" x14ac:dyDescent="0.25">
      <c r="A1341" s="13" t="s">
        <v>1002</v>
      </c>
      <c r="B1341" s="18" t="s">
        <v>1003</v>
      </c>
      <c r="C1341" s="19"/>
      <c r="D1341" s="20" t="s">
        <v>5</v>
      </c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</row>
    <row r="1343" spans="1:14" x14ac:dyDescent="0.25">
      <c r="A1343" s="2" t="s">
        <v>719</v>
      </c>
      <c r="B1343" s="2" t="s">
        <v>720</v>
      </c>
      <c r="C1343" s="3">
        <v>2</v>
      </c>
      <c r="D1343" s="4">
        <v>26.1</v>
      </c>
      <c r="E1343" s="4">
        <v>14.4</v>
      </c>
      <c r="F1343" s="4">
        <f t="shared" ref="F1343:F1350" si="91">D1343-E1343</f>
        <v>11.700000000000001</v>
      </c>
      <c r="G1343" s="5">
        <f t="shared" ref="G1343:G1350" si="92">IF(((D1343)=0),0,(D1343-E1343)/ D1343)</f>
        <v>0.44827586206896552</v>
      </c>
      <c r="H1343" s="2" t="s">
        <v>1004</v>
      </c>
      <c r="I1343" s="6" t="s">
        <v>32</v>
      </c>
      <c r="J1343" s="2" t="s">
        <v>1005</v>
      </c>
      <c r="K1343" s="2" t="s">
        <v>5</v>
      </c>
      <c r="L1343" s="2" t="s">
        <v>28</v>
      </c>
      <c r="M1343" s="2" t="s">
        <v>5</v>
      </c>
      <c r="N1343" s="4">
        <v>898.08</v>
      </c>
    </row>
    <row r="1344" spans="1:14" x14ac:dyDescent="0.25">
      <c r="A1344" s="2" t="s">
        <v>29</v>
      </c>
      <c r="B1344" s="2" t="s">
        <v>30</v>
      </c>
      <c r="C1344" s="3">
        <v>4.0999999999999996</v>
      </c>
      <c r="D1344" s="4">
        <v>62.811999999999998</v>
      </c>
      <c r="E1344" s="4">
        <v>41</v>
      </c>
      <c r="F1344" s="4">
        <f t="shared" si="91"/>
        <v>21.811999999999998</v>
      </c>
      <c r="G1344" s="5">
        <f t="shared" si="92"/>
        <v>0.34725848563968664</v>
      </c>
      <c r="H1344" s="2" t="s">
        <v>1004</v>
      </c>
      <c r="I1344" s="6" t="s">
        <v>32</v>
      </c>
      <c r="J1344" s="2" t="s">
        <v>1005</v>
      </c>
      <c r="K1344" s="2" t="s">
        <v>5</v>
      </c>
      <c r="L1344" s="2" t="s">
        <v>28</v>
      </c>
      <c r="M1344" s="2" t="s">
        <v>5</v>
      </c>
      <c r="N1344" s="4">
        <v>898.08</v>
      </c>
    </row>
    <row r="1345" spans="1:14" x14ac:dyDescent="0.25">
      <c r="A1345" s="2" t="s">
        <v>156</v>
      </c>
      <c r="B1345" s="2" t="s">
        <v>157</v>
      </c>
      <c r="C1345" s="3">
        <v>39.06</v>
      </c>
      <c r="D1345" s="4">
        <v>490.59359999999998</v>
      </c>
      <c r="E1345" s="4">
        <v>351.54</v>
      </c>
      <c r="F1345" s="4">
        <f t="shared" si="91"/>
        <v>139.05359999999996</v>
      </c>
      <c r="G1345" s="5">
        <f t="shared" si="92"/>
        <v>0.28343949044585981</v>
      </c>
      <c r="H1345" s="2" t="s">
        <v>1004</v>
      </c>
      <c r="I1345" s="6" t="s">
        <v>32</v>
      </c>
      <c r="J1345" s="2" t="s">
        <v>1005</v>
      </c>
      <c r="K1345" s="2" t="s">
        <v>5</v>
      </c>
      <c r="L1345" s="2" t="s">
        <v>28</v>
      </c>
      <c r="M1345" s="2" t="s">
        <v>5</v>
      </c>
      <c r="N1345" s="4">
        <v>898.08</v>
      </c>
    </row>
    <row r="1346" spans="1:14" x14ac:dyDescent="0.25">
      <c r="A1346" s="2" t="s">
        <v>49</v>
      </c>
      <c r="B1346" s="2" t="s">
        <v>50</v>
      </c>
      <c r="C1346" s="3">
        <v>2</v>
      </c>
      <c r="D1346" s="4">
        <v>37.22</v>
      </c>
      <c r="E1346" s="4">
        <v>22.06</v>
      </c>
      <c r="F1346" s="4">
        <f t="shared" si="91"/>
        <v>15.16</v>
      </c>
      <c r="G1346" s="5">
        <f t="shared" si="92"/>
        <v>0.40730789897904351</v>
      </c>
      <c r="H1346" s="2" t="s">
        <v>1004</v>
      </c>
      <c r="I1346" s="6" t="s">
        <v>32</v>
      </c>
      <c r="J1346" s="2" t="s">
        <v>1005</v>
      </c>
      <c r="K1346" s="2" t="s">
        <v>5</v>
      </c>
      <c r="L1346" s="2" t="s">
        <v>28</v>
      </c>
      <c r="M1346" s="2" t="s">
        <v>5</v>
      </c>
      <c r="N1346" s="4">
        <v>898.08</v>
      </c>
    </row>
    <row r="1347" spans="1:14" x14ac:dyDescent="0.25">
      <c r="A1347" s="2" t="s">
        <v>338</v>
      </c>
      <c r="B1347" s="2" t="s">
        <v>339</v>
      </c>
      <c r="C1347" s="3">
        <v>15.9</v>
      </c>
      <c r="D1347" s="4">
        <v>802.15499999999997</v>
      </c>
      <c r="E1347" s="4">
        <v>540.6</v>
      </c>
      <c r="F1347" s="4">
        <f t="shared" si="91"/>
        <v>261.55499999999995</v>
      </c>
      <c r="G1347" s="5">
        <f t="shared" si="92"/>
        <v>0.32606541129831512</v>
      </c>
      <c r="H1347" s="2" t="s">
        <v>1006</v>
      </c>
      <c r="I1347" s="6" t="s">
        <v>69</v>
      </c>
      <c r="J1347" s="2" t="s">
        <v>1007</v>
      </c>
      <c r="K1347" s="2" t="s">
        <v>5</v>
      </c>
      <c r="L1347" s="2" t="s">
        <v>28</v>
      </c>
      <c r="M1347" s="2" t="s">
        <v>5</v>
      </c>
      <c r="N1347" s="4">
        <v>1178.8900000000001</v>
      </c>
    </row>
    <row r="1348" spans="1:14" x14ac:dyDescent="0.25">
      <c r="A1348" s="2" t="s">
        <v>1008</v>
      </c>
      <c r="B1348" s="2" t="s">
        <v>1009</v>
      </c>
      <c r="C1348" s="3">
        <v>6.08</v>
      </c>
      <c r="D1348" s="4">
        <v>233.28960000000001</v>
      </c>
      <c r="E1348" s="4">
        <v>148.96</v>
      </c>
      <c r="F1348" s="4">
        <f t="shared" si="91"/>
        <v>84.329599999999999</v>
      </c>
      <c r="G1348" s="5">
        <f t="shared" si="92"/>
        <v>0.36148032316914253</v>
      </c>
      <c r="H1348" s="2" t="s">
        <v>1006</v>
      </c>
      <c r="I1348" s="6" t="s">
        <v>69</v>
      </c>
      <c r="J1348" s="2" t="s">
        <v>1007</v>
      </c>
      <c r="K1348" s="2" t="s">
        <v>5</v>
      </c>
      <c r="L1348" s="2" t="s">
        <v>28</v>
      </c>
      <c r="M1348" s="2" t="s">
        <v>5</v>
      </c>
      <c r="N1348" s="4">
        <v>1178.8900000000001</v>
      </c>
    </row>
    <row r="1349" spans="1:14" x14ac:dyDescent="0.25">
      <c r="A1349" s="2" t="s">
        <v>124</v>
      </c>
      <c r="B1349" s="2" t="s">
        <v>125</v>
      </c>
      <c r="C1349" s="3">
        <v>4.43</v>
      </c>
      <c r="D1349" s="4">
        <v>143.4434</v>
      </c>
      <c r="E1349" s="4">
        <v>96.352500000000006</v>
      </c>
      <c r="F1349" s="4">
        <f t="shared" si="91"/>
        <v>47.090899999999991</v>
      </c>
      <c r="G1349" s="5">
        <f t="shared" si="92"/>
        <v>0.3282890673255095</v>
      </c>
      <c r="H1349" s="2" t="s">
        <v>1006</v>
      </c>
      <c r="I1349" s="6" t="s">
        <v>69</v>
      </c>
      <c r="J1349" s="2" t="s">
        <v>1007</v>
      </c>
      <c r="K1349" s="2" t="s">
        <v>5</v>
      </c>
      <c r="L1349" s="2" t="s">
        <v>28</v>
      </c>
      <c r="M1349" s="2" t="s">
        <v>5</v>
      </c>
      <c r="N1349" s="4">
        <v>1178.8900000000001</v>
      </c>
    </row>
    <row r="1350" spans="1:14" x14ac:dyDescent="0.25">
      <c r="A1350" s="2" t="s">
        <v>562</v>
      </c>
      <c r="B1350" s="2" t="s">
        <v>563</v>
      </c>
      <c r="C1350" s="3">
        <v>8.2799999999999994</v>
      </c>
      <c r="D1350" s="4">
        <v>281.3544</v>
      </c>
      <c r="E1350" s="4">
        <v>182.16</v>
      </c>
      <c r="F1350" s="4">
        <f t="shared" si="91"/>
        <v>99.194400000000002</v>
      </c>
      <c r="G1350" s="5">
        <f t="shared" si="92"/>
        <v>0.35256032960565037</v>
      </c>
      <c r="H1350" s="2" t="s">
        <v>1004</v>
      </c>
      <c r="I1350" s="6" t="s">
        <v>32</v>
      </c>
      <c r="J1350" s="2" t="s">
        <v>1005</v>
      </c>
      <c r="K1350" s="2" t="s">
        <v>5</v>
      </c>
      <c r="L1350" s="2" t="s">
        <v>28</v>
      </c>
      <c r="M1350" s="2" t="s">
        <v>5</v>
      </c>
      <c r="N1350" s="4">
        <v>898.08</v>
      </c>
    </row>
    <row r="1352" spans="1:14" x14ac:dyDescent="0.25">
      <c r="A1352" s="13" t="s">
        <v>59</v>
      </c>
      <c r="B1352" s="21"/>
      <c r="C1352" s="22">
        <f>SUM(C1340:C1351)</f>
        <v>81.849999999999994</v>
      </c>
      <c r="D1352" s="23">
        <f>SUM(D1340:D1351)</f>
        <v>2076.9680000000003</v>
      </c>
      <c r="E1352" s="23">
        <f>SUM(E1340:E1351)</f>
        <v>1397.0725</v>
      </c>
      <c r="F1352" s="23">
        <f>D1352-E1352</f>
        <v>679.89550000000031</v>
      </c>
      <c r="G1352" s="24">
        <f>IF(((D1352)=0),0,(D1352-E1352)/ D1352)</f>
        <v>0.32735001213307102</v>
      </c>
      <c r="H1352" s="21"/>
      <c r="I1352" s="21"/>
      <c r="J1352" s="21"/>
      <c r="K1352" s="21"/>
      <c r="L1352" s="21"/>
      <c r="M1352" s="21"/>
      <c r="N1352" s="21"/>
    </row>
    <row r="1354" spans="1:14" s="17" customFormat="1" ht="18.75" x14ac:dyDescent="0.3"/>
    <row r="1355" spans="1:14" s="7" customFormat="1" x14ac:dyDescent="0.25">
      <c r="A1355" s="13" t="s">
        <v>1010</v>
      </c>
      <c r="B1355" s="18" t="s">
        <v>1011</v>
      </c>
      <c r="C1355" s="19"/>
      <c r="D1355" s="20" t="s">
        <v>5</v>
      </c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</row>
    <row r="1357" spans="1:14" x14ac:dyDescent="0.25">
      <c r="A1357" s="2" t="s">
        <v>272</v>
      </c>
      <c r="B1357" s="2" t="s">
        <v>273</v>
      </c>
      <c r="C1357" s="3">
        <v>6.0949999999999998</v>
      </c>
      <c r="D1357" s="4">
        <v>95.569599999999994</v>
      </c>
      <c r="E1357" s="4">
        <v>60.95</v>
      </c>
      <c r="F1357" s="4">
        <f>D1357-E1357</f>
        <v>34.619599999999991</v>
      </c>
      <c r="G1357" s="5">
        <f>IF(((D1357)=0),0,(D1357-E1357)/ D1357)</f>
        <v>0.36224489795918363</v>
      </c>
      <c r="H1357" s="2" t="s">
        <v>1012</v>
      </c>
      <c r="I1357" s="6" t="s">
        <v>32</v>
      </c>
      <c r="J1357" s="2" t="s">
        <v>1013</v>
      </c>
      <c r="K1357" s="2" t="s">
        <v>1014</v>
      </c>
      <c r="L1357" s="2" t="s">
        <v>28</v>
      </c>
      <c r="M1357" s="2" t="s">
        <v>5</v>
      </c>
      <c r="N1357" s="4">
        <v>392.06</v>
      </c>
    </row>
    <row r="1358" spans="1:14" x14ac:dyDescent="0.25">
      <c r="A1358" s="2" t="s">
        <v>272</v>
      </c>
      <c r="B1358" s="2" t="s">
        <v>273</v>
      </c>
      <c r="C1358" s="3">
        <v>6.1</v>
      </c>
      <c r="D1358" s="4">
        <v>95.647999999999996</v>
      </c>
      <c r="E1358" s="4">
        <v>74.42</v>
      </c>
      <c r="F1358" s="4">
        <f>D1358-E1358</f>
        <v>21.227999999999994</v>
      </c>
      <c r="G1358" s="5">
        <f>IF(((D1358)=0),0,(D1358-E1358)/ D1358)</f>
        <v>0.22193877551020402</v>
      </c>
      <c r="H1358" s="2" t="s">
        <v>1015</v>
      </c>
      <c r="I1358" s="6" t="s">
        <v>39</v>
      </c>
      <c r="J1358" s="2" t="s">
        <v>1016</v>
      </c>
      <c r="K1358" s="2" t="s">
        <v>1017</v>
      </c>
      <c r="L1358" s="2" t="s">
        <v>28</v>
      </c>
      <c r="M1358" s="2" t="s">
        <v>5</v>
      </c>
      <c r="N1358" s="4">
        <v>344.76</v>
      </c>
    </row>
    <row r="1359" spans="1:14" x14ac:dyDescent="0.25">
      <c r="A1359" s="2" t="s">
        <v>280</v>
      </c>
      <c r="B1359" s="2" t="s">
        <v>281</v>
      </c>
      <c r="C1359" s="3">
        <v>15.33</v>
      </c>
      <c r="D1359" s="4">
        <v>249.11250000000001</v>
      </c>
      <c r="E1359" s="4">
        <v>105.777</v>
      </c>
      <c r="F1359" s="4">
        <f>D1359-E1359</f>
        <v>143.33550000000002</v>
      </c>
      <c r="G1359" s="5">
        <f>IF(((D1359)=0),0,(D1359-E1359)/ D1359)</f>
        <v>0.57538461538461549</v>
      </c>
      <c r="H1359" s="2" t="s">
        <v>1015</v>
      </c>
      <c r="I1359" s="6" t="s">
        <v>39</v>
      </c>
      <c r="J1359" s="2" t="s">
        <v>1016</v>
      </c>
      <c r="K1359" s="2" t="s">
        <v>1017</v>
      </c>
      <c r="L1359" s="2" t="s">
        <v>28</v>
      </c>
      <c r="M1359" s="2" t="s">
        <v>5</v>
      </c>
      <c r="N1359" s="4">
        <v>344.76</v>
      </c>
    </row>
    <row r="1360" spans="1:14" x14ac:dyDescent="0.25">
      <c r="A1360" s="2" t="s">
        <v>280</v>
      </c>
      <c r="B1360" s="2" t="s">
        <v>281</v>
      </c>
      <c r="C1360" s="3">
        <v>17.122</v>
      </c>
      <c r="D1360" s="4">
        <v>278.23250000000002</v>
      </c>
      <c r="E1360" s="4">
        <v>118.1418</v>
      </c>
      <c r="F1360" s="4">
        <f>D1360-E1360</f>
        <v>160.09070000000003</v>
      </c>
      <c r="G1360" s="5">
        <f>IF(((D1360)=0),0,(D1360-E1360)/ D1360)</f>
        <v>0.57538461538461549</v>
      </c>
      <c r="H1360" s="2" t="s">
        <v>1012</v>
      </c>
      <c r="I1360" s="6" t="s">
        <v>32</v>
      </c>
      <c r="J1360" s="2" t="s">
        <v>1013</v>
      </c>
      <c r="K1360" s="2" t="s">
        <v>1014</v>
      </c>
      <c r="L1360" s="2" t="s">
        <v>28</v>
      </c>
      <c r="M1360" s="2" t="s">
        <v>5</v>
      </c>
      <c r="N1360" s="4">
        <v>392.06</v>
      </c>
    </row>
    <row r="1361" spans="1:14" x14ac:dyDescent="0.25">
      <c r="A1361" s="2" t="s">
        <v>886</v>
      </c>
      <c r="B1361" s="2" t="s">
        <v>887</v>
      </c>
      <c r="C1361" s="3">
        <v>1.792</v>
      </c>
      <c r="D1361" s="4">
        <v>18.260480000000001</v>
      </c>
      <c r="E1361" s="4">
        <v>12.7232</v>
      </c>
      <c r="F1361" s="4">
        <f>D1361-E1361</f>
        <v>5.5372800000000009</v>
      </c>
      <c r="G1361" s="5">
        <f>IF(((D1361)=0),0,(D1361-E1361)/ D1361)</f>
        <v>0.30323846908734053</v>
      </c>
      <c r="H1361" s="2" t="s">
        <v>1012</v>
      </c>
      <c r="I1361" s="6" t="s">
        <v>32</v>
      </c>
      <c r="J1361" s="2" t="s">
        <v>1013</v>
      </c>
      <c r="K1361" s="2" t="s">
        <v>1014</v>
      </c>
      <c r="L1361" s="2" t="s">
        <v>28</v>
      </c>
      <c r="M1361" s="2" t="s">
        <v>5</v>
      </c>
      <c r="N1361" s="4">
        <v>392.06</v>
      </c>
    </row>
    <row r="1363" spans="1:14" x14ac:dyDescent="0.25">
      <c r="A1363" s="13" t="s">
        <v>59</v>
      </c>
      <c r="B1363" s="21"/>
      <c r="C1363" s="22">
        <f>SUM(C1354:C1362)</f>
        <v>46.439</v>
      </c>
      <c r="D1363" s="23">
        <f>SUM(D1354:D1362)</f>
        <v>736.82308</v>
      </c>
      <c r="E1363" s="23">
        <f>SUM(E1354:E1362)</f>
        <v>372.012</v>
      </c>
      <c r="F1363" s="23">
        <f>D1363-E1363</f>
        <v>364.81108</v>
      </c>
      <c r="G1363" s="24">
        <f>IF(((D1363)=0),0,(D1363-E1363)/ D1363)</f>
        <v>0.49511353526005186</v>
      </c>
      <c r="H1363" s="21"/>
      <c r="I1363" s="21"/>
      <c r="J1363" s="21"/>
      <c r="K1363" s="21"/>
      <c r="L1363" s="21"/>
      <c r="M1363" s="21"/>
      <c r="N1363" s="21"/>
    </row>
    <row r="1365" spans="1:14" s="17" customFormat="1" ht="18.75" x14ac:dyDescent="0.3"/>
    <row r="1366" spans="1:14" s="7" customFormat="1" x14ac:dyDescent="0.25">
      <c r="A1366" s="13" t="s">
        <v>1018</v>
      </c>
      <c r="B1366" s="18" t="s">
        <v>1019</v>
      </c>
      <c r="C1366" s="19"/>
      <c r="D1366" s="20" t="s">
        <v>5</v>
      </c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</row>
    <row r="1368" spans="1:14" x14ac:dyDescent="0.25">
      <c r="A1368" s="2" t="s">
        <v>1020</v>
      </c>
      <c r="B1368" s="2" t="s">
        <v>1021</v>
      </c>
      <c r="C1368" s="3">
        <v>72</v>
      </c>
      <c r="D1368" s="4">
        <v>11944.8</v>
      </c>
      <c r="E1368" s="4">
        <v>7344</v>
      </c>
      <c r="F1368" s="4">
        <f>D1368-E1368</f>
        <v>4600.7999999999993</v>
      </c>
      <c r="G1368" s="5">
        <f>IF(((D1368)=0),0,(D1368-E1368)/ D1368)</f>
        <v>0.38517179023508136</v>
      </c>
      <c r="H1368" s="2" t="s">
        <v>1022</v>
      </c>
      <c r="I1368" s="6" t="s">
        <v>69</v>
      </c>
      <c r="J1368" s="2" t="s">
        <v>1023</v>
      </c>
      <c r="K1368" s="2" t="s">
        <v>1024</v>
      </c>
      <c r="L1368" s="2" t="s">
        <v>28</v>
      </c>
      <c r="M1368" s="2" t="s">
        <v>5</v>
      </c>
      <c r="N1368" s="4">
        <v>11944.8</v>
      </c>
    </row>
    <row r="1370" spans="1:14" x14ac:dyDescent="0.25">
      <c r="A1370" s="13" t="s">
        <v>59</v>
      </c>
      <c r="B1370" s="21"/>
      <c r="C1370" s="22">
        <f>SUM(C1365:C1369)</f>
        <v>72</v>
      </c>
      <c r="D1370" s="23">
        <f>SUM(D1365:D1369)</f>
        <v>11944.8</v>
      </c>
      <c r="E1370" s="23">
        <f>SUM(E1365:E1369)</f>
        <v>7344</v>
      </c>
      <c r="F1370" s="23">
        <f>D1370-E1370</f>
        <v>4600.7999999999993</v>
      </c>
      <c r="G1370" s="24">
        <f>IF(((D1370)=0),0,(D1370-E1370)/ D1370)</f>
        <v>0.38517179023508136</v>
      </c>
      <c r="H1370" s="21"/>
      <c r="I1370" s="21"/>
      <c r="J1370" s="21"/>
      <c r="K1370" s="21"/>
      <c r="L1370" s="21"/>
      <c r="M1370" s="21"/>
      <c r="N1370" s="21"/>
    </row>
    <row r="1372" spans="1:14" s="17" customFormat="1" ht="18.75" x14ac:dyDescent="0.3"/>
    <row r="1373" spans="1:14" s="7" customFormat="1" x14ac:dyDescent="0.25">
      <c r="A1373" s="13" t="s">
        <v>1025</v>
      </c>
      <c r="B1373" s="18" t="s">
        <v>1026</v>
      </c>
      <c r="C1373" s="19"/>
      <c r="D1373" s="20" t="s">
        <v>5</v>
      </c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</row>
    <row r="1375" spans="1:14" x14ac:dyDescent="0.25">
      <c r="A1375" s="2" t="s">
        <v>22</v>
      </c>
      <c r="B1375" s="2" t="s">
        <v>23</v>
      </c>
      <c r="C1375" s="3">
        <v>19.12</v>
      </c>
      <c r="D1375" s="4">
        <v>292.91840000000002</v>
      </c>
      <c r="E1375" s="4">
        <v>210.32</v>
      </c>
      <c r="F1375" s="4">
        <f t="shared" ref="F1375:F1383" si="93">D1375-E1375</f>
        <v>82.598400000000026</v>
      </c>
      <c r="G1375" s="5">
        <f t="shared" ref="G1375:G1383" si="94">IF(((D1375)=0),0,(D1375-E1375)/ D1375)</f>
        <v>0.28198433420365543</v>
      </c>
      <c r="H1375" s="2" t="s">
        <v>1027</v>
      </c>
      <c r="I1375" s="6" t="s">
        <v>32</v>
      </c>
      <c r="J1375" s="2" t="s">
        <v>1028</v>
      </c>
      <c r="K1375" s="2" t="s">
        <v>5</v>
      </c>
      <c r="L1375" s="2" t="s">
        <v>28</v>
      </c>
      <c r="M1375" s="2" t="s">
        <v>5</v>
      </c>
      <c r="N1375" s="4">
        <v>702.64</v>
      </c>
    </row>
    <row r="1376" spans="1:14" x14ac:dyDescent="0.25">
      <c r="A1376" s="2" t="s">
        <v>22</v>
      </c>
      <c r="B1376" s="2" t="s">
        <v>23</v>
      </c>
      <c r="C1376" s="3">
        <v>20.07</v>
      </c>
      <c r="D1376" s="4">
        <v>307.47239999999999</v>
      </c>
      <c r="E1376" s="4">
        <v>220.77</v>
      </c>
      <c r="F1376" s="4">
        <f t="shared" si="93"/>
        <v>86.702399999999983</v>
      </c>
      <c r="G1376" s="5">
        <f t="shared" si="94"/>
        <v>0.28198433420365532</v>
      </c>
      <c r="H1376" s="2" t="s">
        <v>1029</v>
      </c>
      <c r="I1376" s="6" t="s">
        <v>69</v>
      </c>
      <c r="J1376" s="2" t="s">
        <v>1030</v>
      </c>
      <c r="K1376" s="2" t="s">
        <v>5</v>
      </c>
      <c r="L1376" s="2" t="s">
        <v>28</v>
      </c>
      <c r="M1376" s="2" t="s">
        <v>5</v>
      </c>
      <c r="N1376" s="4">
        <v>307.47000000000003</v>
      </c>
    </row>
    <row r="1377" spans="1:14" x14ac:dyDescent="0.25">
      <c r="A1377" s="2" t="s">
        <v>53</v>
      </c>
      <c r="B1377" s="2" t="s">
        <v>54</v>
      </c>
      <c r="C1377" s="3">
        <v>31.54</v>
      </c>
      <c r="D1377" s="4">
        <v>379.42619999999999</v>
      </c>
      <c r="E1377" s="4">
        <v>230.24199999999999</v>
      </c>
      <c r="F1377" s="4">
        <f t="shared" si="93"/>
        <v>149.1842</v>
      </c>
      <c r="G1377" s="5">
        <f t="shared" si="94"/>
        <v>0.39318370739817127</v>
      </c>
      <c r="H1377" s="2" t="s">
        <v>1027</v>
      </c>
      <c r="I1377" s="6" t="s">
        <v>32</v>
      </c>
      <c r="J1377" s="2" t="s">
        <v>1028</v>
      </c>
      <c r="K1377" s="2" t="s">
        <v>5</v>
      </c>
      <c r="L1377" s="2" t="s">
        <v>28</v>
      </c>
      <c r="M1377" s="2" t="s">
        <v>5</v>
      </c>
      <c r="N1377" s="4">
        <v>702.64</v>
      </c>
    </row>
    <row r="1378" spans="1:14" x14ac:dyDescent="0.25">
      <c r="A1378" s="2" t="s">
        <v>53</v>
      </c>
      <c r="B1378" s="2" t="s">
        <v>54</v>
      </c>
      <c r="C1378" s="3">
        <v>42.69</v>
      </c>
      <c r="D1378" s="4">
        <v>513.5607</v>
      </c>
      <c r="E1378" s="4">
        <v>311.637</v>
      </c>
      <c r="F1378" s="4">
        <f t="shared" si="93"/>
        <v>201.9237</v>
      </c>
      <c r="G1378" s="5">
        <f t="shared" si="94"/>
        <v>0.39318370739817121</v>
      </c>
      <c r="H1378" s="2" t="s">
        <v>1031</v>
      </c>
      <c r="I1378" s="6" t="s">
        <v>25</v>
      </c>
      <c r="J1378" s="2" t="s">
        <v>1032</v>
      </c>
      <c r="K1378" s="2" t="s">
        <v>5</v>
      </c>
      <c r="L1378" s="2" t="s">
        <v>28</v>
      </c>
      <c r="M1378" s="2" t="s">
        <v>5</v>
      </c>
      <c r="N1378" s="4">
        <v>556.34</v>
      </c>
    </row>
    <row r="1379" spans="1:14" x14ac:dyDescent="0.25">
      <c r="A1379" s="2" t="s">
        <v>53</v>
      </c>
      <c r="B1379" s="2" t="s">
        <v>54</v>
      </c>
      <c r="C1379" s="3">
        <v>14.24</v>
      </c>
      <c r="D1379" s="4">
        <v>171.30719999999999</v>
      </c>
      <c r="E1379" s="4">
        <v>103.952</v>
      </c>
      <c r="F1379" s="4">
        <f t="shared" si="93"/>
        <v>67.355199999999996</v>
      </c>
      <c r="G1379" s="5">
        <f t="shared" si="94"/>
        <v>0.39318370739817121</v>
      </c>
      <c r="H1379" s="2" t="s">
        <v>1033</v>
      </c>
      <c r="I1379" s="6" t="s">
        <v>39</v>
      </c>
      <c r="J1379" s="2" t="s">
        <v>1034</v>
      </c>
      <c r="K1379" s="2" t="s">
        <v>5</v>
      </c>
      <c r="L1379" s="2" t="s">
        <v>28</v>
      </c>
      <c r="M1379" s="2" t="s">
        <v>5</v>
      </c>
      <c r="N1379" s="4">
        <v>243.92</v>
      </c>
    </row>
    <row r="1380" spans="1:14" x14ac:dyDescent="0.25">
      <c r="A1380" s="2" t="s">
        <v>1035</v>
      </c>
      <c r="B1380" s="2" t="s">
        <v>1036</v>
      </c>
      <c r="C1380" s="3">
        <v>11.2</v>
      </c>
      <c r="D1380" s="4">
        <v>41.664000000000001</v>
      </c>
      <c r="E1380" s="4">
        <v>25.76</v>
      </c>
      <c r="F1380" s="4">
        <f t="shared" si="93"/>
        <v>15.904</v>
      </c>
      <c r="G1380" s="5">
        <f t="shared" si="94"/>
        <v>0.38172043010752688</v>
      </c>
      <c r="H1380" s="2" t="s">
        <v>1033</v>
      </c>
      <c r="I1380" s="6" t="s">
        <v>39</v>
      </c>
      <c r="J1380" s="2" t="s">
        <v>1034</v>
      </c>
      <c r="K1380" s="2" t="s">
        <v>5</v>
      </c>
      <c r="L1380" s="2" t="s">
        <v>28</v>
      </c>
      <c r="M1380" s="2" t="s">
        <v>5</v>
      </c>
      <c r="N1380" s="4">
        <v>243.92</v>
      </c>
    </row>
    <row r="1381" spans="1:14" x14ac:dyDescent="0.25">
      <c r="A1381" s="2" t="s">
        <v>1037</v>
      </c>
      <c r="B1381" s="2" t="s">
        <v>1038</v>
      </c>
      <c r="C1381" s="3">
        <v>1.1299999999999999</v>
      </c>
      <c r="D1381" s="4">
        <v>30.950700000000001</v>
      </c>
      <c r="E1381" s="4">
        <v>16.158999999999999</v>
      </c>
      <c r="F1381" s="4">
        <f t="shared" si="93"/>
        <v>14.791700000000002</v>
      </c>
      <c r="G1381" s="5">
        <f t="shared" si="94"/>
        <v>0.47791164658634544</v>
      </c>
      <c r="H1381" s="2" t="s">
        <v>1033</v>
      </c>
      <c r="I1381" s="6" t="s">
        <v>39</v>
      </c>
      <c r="J1381" s="2" t="s">
        <v>1034</v>
      </c>
      <c r="K1381" s="2" t="s">
        <v>5</v>
      </c>
      <c r="L1381" s="2" t="s">
        <v>28</v>
      </c>
      <c r="M1381" s="2" t="s">
        <v>5</v>
      </c>
      <c r="N1381" s="4">
        <v>243.92</v>
      </c>
    </row>
    <row r="1382" spans="1:14" x14ac:dyDescent="0.25">
      <c r="A1382" s="2" t="s">
        <v>1037</v>
      </c>
      <c r="B1382" s="2" t="s">
        <v>1038</v>
      </c>
      <c r="C1382" s="3">
        <v>1.5620000000000001</v>
      </c>
      <c r="D1382" s="4">
        <v>42.783180000000002</v>
      </c>
      <c r="E1382" s="4">
        <v>22.336600000000001</v>
      </c>
      <c r="F1382" s="4">
        <f t="shared" si="93"/>
        <v>20.446580000000001</v>
      </c>
      <c r="G1382" s="5">
        <f t="shared" si="94"/>
        <v>0.47791164658634538</v>
      </c>
      <c r="H1382" s="2" t="s">
        <v>1031</v>
      </c>
      <c r="I1382" s="6" t="s">
        <v>25</v>
      </c>
      <c r="J1382" s="2" t="s">
        <v>1032</v>
      </c>
      <c r="K1382" s="2" t="s">
        <v>5</v>
      </c>
      <c r="L1382" s="2" t="s">
        <v>28</v>
      </c>
      <c r="M1382" s="2" t="s">
        <v>5</v>
      </c>
      <c r="N1382" s="4">
        <v>556.34</v>
      </c>
    </row>
    <row r="1383" spans="1:14" x14ac:dyDescent="0.25">
      <c r="A1383" s="2" t="s">
        <v>1037</v>
      </c>
      <c r="B1383" s="2" t="s">
        <v>1038</v>
      </c>
      <c r="C1383" s="3">
        <v>1.1060000000000001</v>
      </c>
      <c r="D1383" s="4">
        <v>30.293340000000001</v>
      </c>
      <c r="E1383" s="4">
        <v>15.815799999999999</v>
      </c>
      <c r="F1383" s="4">
        <f t="shared" si="93"/>
        <v>14.477540000000001</v>
      </c>
      <c r="G1383" s="5">
        <f t="shared" si="94"/>
        <v>0.47791164658634538</v>
      </c>
      <c r="H1383" s="2" t="s">
        <v>1027</v>
      </c>
      <c r="I1383" s="6" t="s">
        <v>32</v>
      </c>
      <c r="J1383" s="2" t="s">
        <v>1028</v>
      </c>
      <c r="K1383" s="2" t="s">
        <v>5</v>
      </c>
      <c r="L1383" s="2" t="s">
        <v>28</v>
      </c>
      <c r="M1383" s="2" t="s">
        <v>5</v>
      </c>
      <c r="N1383" s="4">
        <v>702.64</v>
      </c>
    </row>
    <row r="1385" spans="1:14" x14ac:dyDescent="0.25">
      <c r="A1385" s="13" t="s">
        <v>59</v>
      </c>
      <c r="B1385" s="21"/>
      <c r="C1385" s="22">
        <f>SUM(C1372:C1384)</f>
        <v>142.65799999999999</v>
      </c>
      <c r="D1385" s="23">
        <f>SUM(D1372:D1384)</f>
        <v>1810.3761199999999</v>
      </c>
      <c r="E1385" s="23">
        <f>SUM(E1372:E1384)</f>
        <v>1156.9924000000003</v>
      </c>
      <c r="F1385" s="23">
        <f>D1385-E1385</f>
        <v>653.38371999999958</v>
      </c>
      <c r="G1385" s="24">
        <f>IF(((D1385)=0),0,(D1385-E1385)/ D1385)</f>
        <v>0.36091048306580603</v>
      </c>
      <c r="H1385" s="21"/>
      <c r="I1385" s="21"/>
      <c r="J1385" s="21"/>
      <c r="K1385" s="21"/>
      <c r="L1385" s="21"/>
      <c r="M1385" s="21"/>
      <c r="N1385" s="21"/>
    </row>
    <row r="1387" spans="1:14" s="17" customFormat="1" ht="18.75" x14ac:dyDescent="0.3"/>
    <row r="1388" spans="1:14" s="7" customFormat="1" x14ac:dyDescent="0.25">
      <c r="A1388" s="13" t="s">
        <v>1039</v>
      </c>
      <c r="B1388" s="18" t="s">
        <v>1040</v>
      </c>
      <c r="C1388" s="19"/>
      <c r="D1388" s="20" t="s">
        <v>5</v>
      </c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</row>
    <row r="1390" spans="1:14" x14ac:dyDescent="0.25">
      <c r="A1390" s="2" t="s">
        <v>1041</v>
      </c>
      <c r="B1390" s="2" t="s">
        <v>1042</v>
      </c>
      <c r="C1390" s="3">
        <v>72</v>
      </c>
      <c r="D1390" s="4">
        <v>2084.4</v>
      </c>
      <c r="E1390" s="4">
        <v>900</v>
      </c>
      <c r="F1390" s="4">
        <f>D1390-E1390</f>
        <v>1184.4000000000001</v>
      </c>
      <c r="G1390" s="5">
        <f>IF(((D1390)=0),0,(D1390-E1390)/ D1390)</f>
        <v>0.56822107081174444</v>
      </c>
      <c r="H1390" s="2" t="s">
        <v>1043</v>
      </c>
      <c r="I1390" s="6" t="s">
        <v>69</v>
      </c>
      <c r="J1390" s="2" t="s">
        <v>1044</v>
      </c>
      <c r="K1390" s="2" t="s">
        <v>1045</v>
      </c>
      <c r="L1390" s="2" t="s">
        <v>28</v>
      </c>
      <c r="M1390" s="2" t="s">
        <v>5</v>
      </c>
      <c r="N1390" s="4">
        <v>25974</v>
      </c>
    </row>
    <row r="1391" spans="1:14" x14ac:dyDescent="0.25">
      <c r="A1391" s="2" t="s">
        <v>1020</v>
      </c>
      <c r="B1391" s="2" t="s">
        <v>1021</v>
      </c>
      <c r="C1391" s="3">
        <v>144</v>
      </c>
      <c r="D1391" s="4">
        <v>23889.599999999999</v>
      </c>
      <c r="E1391" s="4">
        <v>14688</v>
      </c>
      <c r="F1391" s="4">
        <f>D1391-E1391</f>
        <v>9201.5999999999985</v>
      </c>
      <c r="G1391" s="5">
        <f>IF(((D1391)=0),0,(D1391-E1391)/ D1391)</f>
        <v>0.38517179023508136</v>
      </c>
      <c r="H1391" s="2" t="s">
        <v>1043</v>
      </c>
      <c r="I1391" s="6" t="s">
        <v>69</v>
      </c>
      <c r="J1391" s="2" t="s">
        <v>1044</v>
      </c>
      <c r="K1391" s="2" t="s">
        <v>1045</v>
      </c>
      <c r="L1391" s="2" t="s">
        <v>28</v>
      </c>
      <c r="M1391" s="2" t="s">
        <v>5</v>
      </c>
      <c r="N1391" s="4">
        <v>25974</v>
      </c>
    </row>
    <row r="1393" spans="1:14" x14ac:dyDescent="0.25">
      <c r="A1393" s="13" t="s">
        <v>59</v>
      </c>
      <c r="B1393" s="21"/>
      <c r="C1393" s="22">
        <f>SUM(C1387:C1392)</f>
        <v>216</v>
      </c>
      <c r="D1393" s="23">
        <f>SUM(D1387:D1392)</f>
        <v>25974</v>
      </c>
      <c r="E1393" s="23">
        <f>SUM(E1387:E1392)</f>
        <v>15588</v>
      </c>
      <c r="F1393" s="23">
        <f>D1393-E1393</f>
        <v>10386</v>
      </c>
      <c r="G1393" s="24">
        <f>IF(((D1393)=0),0,(D1393-E1393)/ D1393)</f>
        <v>0.39986139986139985</v>
      </c>
      <c r="H1393" s="21"/>
      <c r="I1393" s="21"/>
      <c r="J1393" s="21"/>
      <c r="K1393" s="21"/>
      <c r="L1393" s="21"/>
      <c r="M1393" s="21"/>
      <c r="N1393" s="21"/>
    </row>
    <row r="1395" spans="1:14" s="17" customFormat="1" ht="18.75" x14ac:dyDescent="0.3"/>
    <row r="1396" spans="1:14" s="7" customFormat="1" x14ac:dyDescent="0.25">
      <c r="A1396" s="13" t="s">
        <v>1046</v>
      </c>
      <c r="B1396" s="18" t="s">
        <v>1047</v>
      </c>
      <c r="C1396" s="19"/>
      <c r="D1396" s="20" t="s">
        <v>5</v>
      </c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</row>
    <row r="1398" spans="1:14" x14ac:dyDescent="0.25">
      <c r="A1398" s="2" t="s">
        <v>1048</v>
      </c>
      <c r="B1398" s="2" t="s">
        <v>1049</v>
      </c>
      <c r="C1398" s="3">
        <v>484.38</v>
      </c>
      <c r="D1398" s="4">
        <v>290.62799999999999</v>
      </c>
      <c r="E1398" s="4">
        <v>72.656999999999996</v>
      </c>
      <c r="F1398" s="4">
        <f>D1398-E1398</f>
        <v>217.971</v>
      </c>
      <c r="G1398" s="5">
        <f>IF(((D1398)=0),0,(D1398-E1398)/ D1398)</f>
        <v>0.75</v>
      </c>
      <c r="H1398" s="2" t="s">
        <v>1050</v>
      </c>
      <c r="I1398" s="6" t="s">
        <v>32</v>
      </c>
      <c r="J1398" s="2" t="s">
        <v>1051</v>
      </c>
      <c r="K1398" s="2" t="s">
        <v>5</v>
      </c>
      <c r="L1398" s="2" t="s">
        <v>28</v>
      </c>
      <c r="M1398" s="2" t="s">
        <v>5</v>
      </c>
      <c r="N1398" s="4">
        <v>290.63</v>
      </c>
    </row>
    <row r="1399" spans="1:14" x14ac:dyDescent="0.25">
      <c r="A1399" s="2" t="s">
        <v>1048</v>
      </c>
      <c r="B1399" s="2" t="s">
        <v>1049</v>
      </c>
      <c r="C1399" s="3">
        <v>504.69</v>
      </c>
      <c r="D1399" s="4">
        <v>302.81400000000002</v>
      </c>
      <c r="E1399" s="4">
        <v>75.703500000000005</v>
      </c>
      <c r="F1399" s="4">
        <f>D1399-E1399</f>
        <v>227.1105</v>
      </c>
      <c r="G1399" s="5">
        <f>IF(((D1399)=0),0,(D1399-E1399)/ D1399)</f>
        <v>0.75</v>
      </c>
      <c r="H1399" s="2" t="s">
        <v>1052</v>
      </c>
      <c r="I1399" s="6" t="s">
        <v>25</v>
      </c>
      <c r="J1399" s="2" t="s">
        <v>1053</v>
      </c>
      <c r="K1399" s="2" t="s">
        <v>5</v>
      </c>
      <c r="L1399" s="2" t="s">
        <v>28</v>
      </c>
      <c r="M1399" s="2" t="s">
        <v>5</v>
      </c>
      <c r="N1399" s="4">
        <v>302.81</v>
      </c>
    </row>
    <row r="1400" spans="1:14" x14ac:dyDescent="0.25">
      <c r="A1400" s="2" t="s">
        <v>1048</v>
      </c>
      <c r="B1400" s="2" t="s">
        <v>1049</v>
      </c>
      <c r="C1400" s="3">
        <v>508.02499999999998</v>
      </c>
      <c r="D1400" s="4">
        <v>304.815</v>
      </c>
      <c r="E1400" s="4">
        <v>76.203749999999999</v>
      </c>
      <c r="F1400" s="4">
        <f>D1400-E1400</f>
        <v>228.61124999999998</v>
      </c>
      <c r="G1400" s="5">
        <f>IF(((D1400)=0),0,(D1400-E1400)/ D1400)</f>
        <v>0.75</v>
      </c>
      <c r="H1400" s="2" t="s">
        <v>1054</v>
      </c>
      <c r="I1400" s="6" t="s">
        <v>74</v>
      </c>
      <c r="J1400" s="2" t="s">
        <v>1055</v>
      </c>
      <c r="K1400" s="2" t="s">
        <v>5</v>
      </c>
      <c r="L1400" s="2" t="s">
        <v>28</v>
      </c>
      <c r="M1400" s="2" t="s">
        <v>5</v>
      </c>
      <c r="N1400" s="4">
        <v>304.82</v>
      </c>
    </row>
    <row r="1402" spans="1:14" x14ac:dyDescent="0.25">
      <c r="A1402" s="13" t="s">
        <v>59</v>
      </c>
      <c r="B1402" s="21"/>
      <c r="C1402" s="22">
        <f>SUM(C1395:C1401)</f>
        <v>1497.0949999999998</v>
      </c>
      <c r="D1402" s="23">
        <f>SUM(D1395:D1401)</f>
        <v>898.25700000000006</v>
      </c>
      <c r="E1402" s="23">
        <f>SUM(E1395:E1401)</f>
        <v>224.56425000000002</v>
      </c>
      <c r="F1402" s="23">
        <f>D1402-E1402</f>
        <v>673.69275000000005</v>
      </c>
      <c r="G1402" s="24">
        <f>IF(((D1402)=0),0,(D1402-E1402)/ D1402)</f>
        <v>0.75</v>
      </c>
      <c r="H1402" s="21"/>
      <c r="I1402" s="21"/>
      <c r="J1402" s="21"/>
      <c r="K1402" s="21"/>
      <c r="L1402" s="21"/>
      <c r="M1402" s="21"/>
      <c r="N1402" s="21"/>
    </row>
    <row r="1404" spans="1:14" s="17" customFormat="1" ht="18.75" x14ac:dyDescent="0.3"/>
    <row r="1405" spans="1:14" s="7" customFormat="1" x14ac:dyDescent="0.25">
      <c r="A1405" s="13" t="s">
        <v>1056</v>
      </c>
      <c r="B1405" s="18" t="s">
        <v>1057</v>
      </c>
      <c r="C1405" s="19"/>
      <c r="D1405" s="20" t="s">
        <v>5</v>
      </c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</row>
    <row r="1407" spans="1:14" x14ac:dyDescent="0.25">
      <c r="A1407" s="2" t="s">
        <v>260</v>
      </c>
      <c r="B1407" s="2" t="s">
        <v>261</v>
      </c>
      <c r="C1407" s="3">
        <v>50</v>
      </c>
      <c r="D1407" s="4">
        <v>882</v>
      </c>
      <c r="E1407" s="4">
        <v>500</v>
      </c>
      <c r="F1407" s="4">
        <f t="shared" ref="F1407:F1435" si="95">D1407-E1407</f>
        <v>382</v>
      </c>
      <c r="G1407" s="5">
        <f t="shared" ref="G1407:G1435" si="96">IF(((D1407)=0),0,(D1407-E1407)/ D1407)</f>
        <v>0.43310657596371882</v>
      </c>
      <c r="H1407" s="2" t="s">
        <v>1058</v>
      </c>
      <c r="I1407" s="6" t="s">
        <v>25</v>
      </c>
      <c r="J1407" s="2" t="s">
        <v>1059</v>
      </c>
      <c r="K1407" s="2" t="s">
        <v>1060</v>
      </c>
      <c r="L1407" s="2" t="s">
        <v>28</v>
      </c>
      <c r="M1407" s="2" t="s">
        <v>5</v>
      </c>
      <c r="N1407" s="4">
        <v>10437.120000000001</v>
      </c>
    </row>
    <row r="1408" spans="1:14" x14ac:dyDescent="0.25">
      <c r="A1408" s="2" t="s">
        <v>260</v>
      </c>
      <c r="B1408" s="2" t="s">
        <v>261</v>
      </c>
      <c r="C1408" s="3">
        <v>100</v>
      </c>
      <c r="D1408" s="4">
        <v>1764</v>
      </c>
      <c r="E1408" s="4">
        <v>1000</v>
      </c>
      <c r="F1408" s="4">
        <f t="shared" si="95"/>
        <v>764</v>
      </c>
      <c r="G1408" s="5">
        <f t="shared" si="96"/>
        <v>0.43310657596371882</v>
      </c>
      <c r="H1408" s="2" t="s">
        <v>1061</v>
      </c>
      <c r="I1408" s="6" t="s">
        <v>69</v>
      </c>
      <c r="J1408" s="2" t="s">
        <v>1062</v>
      </c>
      <c r="K1408" s="2" t="s">
        <v>1063</v>
      </c>
      <c r="L1408" s="2" t="s">
        <v>28</v>
      </c>
      <c r="M1408" s="2" t="s">
        <v>5</v>
      </c>
      <c r="N1408" s="4">
        <v>11626.8</v>
      </c>
    </row>
    <row r="1409" spans="1:14" x14ac:dyDescent="0.25">
      <c r="A1409" s="2" t="s">
        <v>270</v>
      </c>
      <c r="B1409" s="2" t="s">
        <v>271</v>
      </c>
      <c r="C1409" s="3">
        <v>130.4</v>
      </c>
      <c r="D1409" s="4">
        <v>2301.56</v>
      </c>
      <c r="E1409" s="4">
        <v>1434.4</v>
      </c>
      <c r="F1409" s="4">
        <f t="shared" si="95"/>
        <v>867.15999999999985</v>
      </c>
      <c r="G1409" s="5">
        <f t="shared" si="96"/>
        <v>0.376770538243626</v>
      </c>
      <c r="H1409" s="2" t="s">
        <v>1058</v>
      </c>
      <c r="I1409" s="6" t="s">
        <v>25</v>
      </c>
      <c r="J1409" s="2" t="s">
        <v>1059</v>
      </c>
      <c r="K1409" s="2" t="s">
        <v>1060</v>
      </c>
      <c r="L1409" s="2" t="s">
        <v>28</v>
      </c>
      <c r="M1409" s="2" t="s">
        <v>5</v>
      </c>
      <c r="N1409" s="4">
        <v>10437.120000000001</v>
      </c>
    </row>
    <row r="1410" spans="1:14" x14ac:dyDescent="0.25">
      <c r="A1410" s="2" t="s">
        <v>270</v>
      </c>
      <c r="B1410" s="2" t="s">
        <v>271</v>
      </c>
      <c r="C1410" s="3">
        <v>113.78</v>
      </c>
      <c r="D1410" s="4">
        <v>2008.2170000000001</v>
      </c>
      <c r="E1410" s="4">
        <v>1251.58</v>
      </c>
      <c r="F1410" s="4">
        <f t="shared" si="95"/>
        <v>756.63700000000017</v>
      </c>
      <c r="G1410" s="5">
        <f t="shared" si="96"/>
        <v>0.37677053824362611</v>
      </c>
      <c r="H1410" s="2" t="s">
        <v>1061</v>
      </c>
      <c r="I1410" s="6" t="s">
        <v>69</v>
      </c>
      <c r="J1410" s="2" t="s">
        <v>1062</v>
      </c>
      <c r="K1410" s="2" t="s">
        <v>1063</v>
      </c>
      <c r="L1410" s="2" t="s">
        <v>28</v>
      </c>
      <c r="M1410" s="2" t="s">
        <v>5</v>
      </c>
      <c r="N1410" s="4">
        <v>11626.8</v>
      </c>
    </row>
    <row r="1411" spans="1:14" x14ac:dyDescent="0.25">
      <c r="A1411" s="2" t="s">
        <v>272</v>
      </c>
      <c r="B1411" s="2" t="s">
        <v>273</v>
      </c>
      <c r="C1411" s="3">
        <v>15.32</v>
      </c>
      <c r="D1411" s="4">
        <v>240.2176</v>
      </c>
      <c r="E1411" s="4">
        <v>153.19999999999999</v>
      </c>
      <c r="F1411" s="4">
        <f t="shared" si="95"/>
        <v>87.017600000000016</v>
      </c>
      <c r="G1411" s="5">
        <f t="shared" si="96"/>
        <v>0.36224489795918374</v>
      </c>
      <c r="H1411" s="2" t="s">
        <v>1058</v>
      </c>
      <c r="I1411" s="6" t="s">
        <v>25</v>
      </c>
      <c r="J1411" s="2" t="s">
        <v>1059</v>
      </c>
      <c r="K1411" s="2" t="s">
        <v>1060</v>
      </c>
      <c r="L1411" s="2" t="s">
        <v>28</v>
      </c>
      <c r="M1411" s="2" t="s">
        <v>5</v>
      </c>
      <c r="N1411" s="4">
        <v>10437.120000000001</v>
      </c>
    </row>
    <row r="1412" spans="1:14" x14ac:dyDescent="0.25">
      <c r="A1412" s="2" t="s">
        <v>272</v>
      </c>
      <c r="B1412" s="2" t="s">
        <v>273</v>
      </c>
      <c r="C1412" s="3">
        <v>28.72</v>
      </c>
      <c r="D1412" s="4">
        <v>450.32960000000003</v>
      </c>
      <c r="E1412" s="4">
        <v>350.38400000000001</v>
      </c>
      <c r="F1412" s="4">
        <f t="shared" si="95"/>
        <v>99.945600000000013</v>
      </c>
      <c r="G1412" s="5">
        <f t="shared" si="96"/>
        <v>0.22193877551020411</v>
      </c>
      <c r="H1412" s="2" t="s">
        <v>1061</v>
      </c>
      <c r="I1412" s="6" t="s">
        <v>69</v>
      </c>
      <c r="J1412" s="2" t="s">
        <v>1062</v>
      </c>
      <c r="K1412" s="2" t="s">
        <v>1063</v>
      </c>
      <c r="L1412" s="2" t="s">
        <v>28</v>
      </c>
      <c r="M1412" s="2" t="s">
        <v>5</v>
      </c>
      <c r="N1412" s="4">
        <v>11626.8</v>
      </c>
    </row>
    <row r="1413" spans="1:14" x14ac:dyDescent="0.25">
      <c r="A1413" s="2" t="s">
        <v>848</v>
      </c>
      <c r="B1413" s="2" t="s">
        <v>849</v>
      </c>
      <c r="C1413" s="3">
        <v>15.2</v>
      </c>
      <c r="D1413" s="4">
        <v>176.16800000000001</v>
      </c>
      <c r="E1413" s="4">
        <v>114</v>
      </c>
      <c r="F1413" s="4">
        <f t="shared" si="95"/>
        <v>62.168000000000006</v>
      </c>
      <c r="G1413" s="5">
        <f t="shared" si="96"/>
        <v>0.35289042277825716</v>
      </c>
      <c r="H1413" s="2" t="s">
        <v>1058</v>
      </c>
      <c r="I1413" s="6" t="s">
        <v>25</v>
      </c>
      <c r="J1413" s="2" t="s">
        <v>1059</v>
      </c>
      <c r="K1413" s="2" t="s">
        <v>1060</v>
      </c>
      <c r="L1413" s="2" t="s">
        <v>28</v>
      </c>
      <c r="M1413" s="2" t="s">
        <v>5</v>
      </c>
      <c r="N1413" s="4">
        <v>10437.120000000001</v>
      </c>
    </row>
    <row r="1414" spans="1:14" x14ac:dyDescent="0.25">
      <c r="A1414" s="2" t="s">
        <v>882</v>
      </c>
      <c r="B1414" s="2" t="s">
        <v>883</v>
      </c>
      <c r="C1414" s="3">
        <v>25.524999999999999</v>
      </c>
      <c r="D1414" s="4">
        <v>519.17849999999999</v>
      </c>
      <c r="E1414" s="4">
        <v>319.0625</v>
      </c>
      <c r="F1414" s="4">
        <f t="shared" si="95"/>
        <v>200.11599999999999</v>
      </c>
      <c r="G1414" s="5">
        <f t="shared" si="96"/>
        <v>0.3854473942969518</v>
      </c>
      <c r="H1414" s="2" t="s">
        <v>1061</v>
      </c>
      <c r="I1414" s="6" t="s">
        <v>69</v>
      </c>
      <c r="J1414" s="2" t="s">
        <v>1062</v>
      </c>
      <c r="K1414" s="2" t="s">
        <v>1063</v>
      </c>
      <c r="L1414" s="2" t="s">
        <v>28</v>
      </c>
      <c r="M1414" s="2" t="s">
        <v>5</v>
      </c>
      <c r="N1414" s="4">
        <v>11626.8</v>
      </c>
    </row>
    <row r="1415" spans="1:14" x14ac:dyDescent="0.25">
      <c r="A1415" s="2" t="s">
        <v>282</v>
      </c>
      <c r="B1415" s="2" t="s">
        <v>283</v>
      </c>
      <c r="C1415" s="3">
        <v>23.68</v>
      </c>
      <c r="D1415" s="4">
        <v>257.40159999999997</v>
      </c>
      <c r="E1415" s="4">
        <v>141.8432</v>
      </c>
      <c r="F1415" s="4">
        <f t="shared" si="95"/>
        <v>115.55839999999998</v>
      </c>
      <c r="G1415" s="5">
        <f t="shared" si="96"/>
        <v>0.4489420423183072</v>
      </c>
      <c r="H1415" s="2" t="s">
        <v>1061</v>
      </c>
      <c r="I1415" s="6" t="s">
        <v>69</v>
      </c>
      <c r="J1415" s="2" t="s">
        <v>1062</v>
      </c>
      <c r="K1415" s="2" t="s">
        <v>1063</v>
      </c>
      <c r="L1415" s="2" t="s">
        <v>28</v>
      </c>
      <c r="M1415" s="2" t="s">
        <v>5</v>
      </c>
      <c r="N1415" s="4">
        <v>11626.8</v>
      </c>
    </row>
    <row r="1416" spans="1:14" x14ac:dyDescent="0.25">
      <c r="A1416" s="2" t="s">
        <v>282</v>
      </c>
      <c r="B1416" s="2" t="s">
        <v>283</v>
      </c>
      <c r="C1416" s="3">
        <v>20</v>
      </c>
      <c r="D1416" s="4">
        <v>217.4</v>
      </c>
      <c r="E1416" s="4">
        <v>119.8</v>
      </c>
      <c r="F1416" s="4">
        <f t="shared" si="95"/>
        <v>97.600000000000009</v>
      </c>
      <c r="G1416" s="5">
        <f t="shared" si="96"/>
        <v>0.44894204231830731</v>
      </c>
      <c r="H1416" s="2" t="s">
        <v>1058</v>
      </c>
      <c r="I1416" s="6" t="s">
        <v>25</v>
      </c>
      <c r="J1416" s="2" t="s">
        <v>1059</v>
      </c>
      <c r="K1416" s="2" t="s">
        <v>1060</v>
      </c>
      <c r="L1416" s="2" t="s">
        <v>28</v>
      </c>
      <c r="M1416" s="2" t="s">
        <v>5</v>
      </c>
      <c r="N1416" s="4">
        <v>10437.120000000001</v>
      </c>
    </row>
    <row r="1417" spans="1:14" x14ac:dyDescent="0.25">
      <c r="A1417" s="2" t="s">
        <v>760</v>
      </c>
      <c r="B1417" s="2" t="s">
        <v>761</v>
      </c>
      <c r="C1417" s="3">
        <v>47.98</v>
      </c>
      <c r="D1417" s="4">
        <v>322.90539999999999</v>
      </c>
      <c r="E1417" s="4">
        <v>172.72800000000001</v>
      </c>
      <c r="F1417" s="4">
        <f t="shared" si="95"/>
        <v>150.17739999999998</v>
      </c>
      <c r="G1417" s="5">
        <f t="shared" si="96"/>
        <v>0.46508172362555716</v>
      </c>
      <c r="H1417" s="2" t="s">
        <v>1061</v>
      </c>
      <c r="I1417" s="6" t="s">
        <v>69</v>
      </c>
      <c r="J1417" s="2" t="s">
        <v>1062</v>
      </c>
      <c r="K1417" s="2" t="s">
        <v>1063</v>
      </c>
      <c r="L1417" s="2" t="s">
        <v>28</v>
      </c>
      <c r="M1417" s="2" t="s">
        <v>5</v>
      </c>
      <c r="N1417" s="4">
        <v>11626.8</v>
      </c>
    </row>
    <row r="1418" spans="1:14" x14ac:dyDescent="0.25">
      <c r="A1418" s="2" t="s">
        <v>760</v>
      </c>
      <c r="B1418" s="2" t="s">
        <v>761</v>
      </c>
      <c r="C1418" s="3">
        <v>65.165000000000006</v>
      </c>
      <c r="D1418" s="4">
        <v>438.56045</v>
      </c>
      <c r="E1418" s="4">
        <v>234.59399999999999</v>
      </c>
      <c r="F1418" s="4">
        <f t="shared" si="95"/>
        <v>203.96645000000001</v>
      </c>
      <c r="G1418" s="5">
        <f t="shared" si="96"/>
        <v>0.46508172362555722</v>
      </c>
      <c r="H1418" s="2" t="s">
        <v>1058</v>
      </c>
      <c r="I1418" s="6" t="s">
        <v>25</v>
      </c>
      <c r="J1418" s="2" t="s">
        <v>1059</v>
      </c>
      <c r="K1418" s="2" t="s">
        <v>1060</v>
      </c>
      <c r="L1418" s="2" t="s">
        <v>28</v>
      </c>
      <c r="M1418" s="2" t="s">
        <v>5</v>
      </c>
      <c r="N1418" s="4">
        <v>10437.120000000001</v>
      </c>
    </row>
    <row r="1419" spans="1:14" x14ac:dyDescent="0.25">
      <c r="A1419" s="2" t="s">
        <v>852</v>
      </c>
      <c r="B1419" s="2" t="s">
        <v>853</v>
      </c>
      <c r="C1419" s="3">
        <v>5</v>
      </c>
      <c r="D1419" s="4">
        <v>55.1</v>
      </c>
      <c r="E1419" s="4">
        <v>30.45</v>
      </c>
      <c r="F1419" s="4">
        <f t="shared" si="95"/>
        <v>24.650000000000002</v>
      </c>
      <c r="G1419" s="5">
        <f t="shared" si="96"/>
        <v>0.44736842105263158</v>
      </c>
      <c r="H1419" s="2" t="s">
        <v>1061</v>
      </c>
      <c r="I1419" s="6" t="s">
        <v>69</v>
      </c>
      <c r="J1419" s="2" t="s">
        <v>1062</v>
      </c>
      <c r="K1419" s="2" t="s">
        <v>1063</v>
      </c>
      <c r="L1419" s="2" t="s">
        <v>28</v>
      </c>
      <c r="M1419" s="2" t="s">
        <v>5</v>
      </c>
      <c r="N1419" s="4">
        <v>11626.8</v>
      </c>
    </row>
    <row r="1420" spans="1:14" x14ac:dyDescent="0.25">
      <c r="A1420" s="2" t="s">
        <v>286</v>
      </c>
      <c r="B1420" s="2" t="s">
        <v>287</v>
      </c>
      <c r="C1420" s="3">
        <v>23.91</v>
      </c>
      <c r="D1420" s="4">
        <v>337.84829999999999</v>
      </c>
      <c r="E1420" s="4">
        <v>198.2139</v>
      </c>
      <c r="F1420" s="4">
        <f t="shared" si="95"/>
        <v>139.6344</v>
      </c>
      <c r="G1420" s="5">
        <f t="shared" si="96"/>
        <v>0.41330502476999292</v>
      </c>
      <c r="H1420" s="2" t="s">
        <v>1058</v>
      </c>
      <c r="I1420" s="6" t="s">
        <v>25</v>
      </c>
      <c r="J1420" s="2" t="s">
        <v>1059</v>
      </c>
      <c r="K1420" s="2" t="s">
        <v>1060</v>
      </c>
      <c r="L1420" s="2" t="s">
        <v>28</v>
      </c>
      <c r="M1420" s="2" t="s">
        <v>5</v>
      </c>
      <c r="N1420" s="4">
        <v>10437.120000000001</v>
      </c>
    </row>
    <row r="1421" spans="1:14" x14ac:dyDescent="0.25">
      <c r="A1421" s="2" t="s">
        <v>286</v>
      </c>
      <c r="B1421" s="2" t="s">
        <v>287</v>
      </c>
      <c r="C1421" s="3">
        <v>47.552</v>
      </c>
      <c r="D1421" s="4">
        <v>671.90976000000001</v>
      </c>
      <c r="E1421" s="4">
        <v>394.20607999999999</v>
      </c>
      <c r="F1421" s="4">
        <f t="shared" si="95"/>
        <v>277.70368000000002</v>
      </c>
      <c r="G1421" s="5">
        <f t="shared" si="96"/>
        <v>0.41330502476999292</v>
      </c>
      <c r="H1421" s="2" t="s">
        <v>1061</v>
      </c>
      <c r="I1421" s="6" t="s">
        <v>69</v>
      </c>
      <c r="J1421" s="2" t="s">
        <v>1062</v>
      </c>
      <c r="K1421" s="2" t="s">
        <v>1063</v>
      </c>
      <c r="L1421" s="2" t="s">
        <v>28</v>
      </c>
      <c r="M1421" s="2" t="s">
        <v>5</v>
      </c>
      <c r="N1421" s="4">
        <v>11626.8</v>
      </c>
    </row>
    <row r="1422" spans="1:14" x14ac:dyDescent="0.25">
      <c r="A1422" s="2" t="s">
        <v>288</v>
      </c>
      <c r="B1422" s="2" t="s">
        <v>289</v>
      </c>
      <c r="C1422" s="3">
        <v>16.734999999999999</v>
      </c>
      <c r="D1422" s="4">
        <v>314.45065</v>
      </c>
      <c r="E1422" s="4">
        <v>173.20724999999999</v>
      </c>
      <c r="F1422" s="4">
        <f t="shared" si="95"/>
        <v>141.24340000000001</v>
      </c>
      <c r="G1422" s="5">
        <f t="shared" si="96"/>
        <v>0.4491750931346461</v>
      </c>
      <c r="H1422" s="2" t="s">
        <v>1061</v>
      </c>
      <c r="I1422" s="6" t="s">
        <v>69</v>
      </c>
      <c r="J1422" s="2" t="s">
        <v>1062</v>
      </c>
      <c r="K1422" s="2" t="s">
        <v>1063</v>
      </c>
      <c r="L1422" s="2" t="s">
        <v>28</v>
      </c>
      <c r="M1422" s="2" t="s">
        <v>5</v>
      </c>
      <c r="N1422" s="4">
        <v>11626.8</v>
      </c>
    </row>
    <row r="1423" spans="1:14" x14ac:dyDescent="0.25">
      <c r="A1423" s="2" t="s">
        <v>290</v>
      </c>
      <c r="B1423" s="2" t="s">
        <v>291</v>
      </c>
      <c r="C1423" s="3">
        <v>16</v>
      </c>
      <c r="D1423" s="4">
        <v>370.08</v>
      </c>
      <c r="E1423" s="4">
        <v>260</v>
      </c>
      <c r="F1423" s="4">
        <f t="shared" si="95"/>
        <v>110.07999999999998</v>
      </c>
      <c r="G1423" s="5">
        <f t="shared" si="96"/>
        <v>0.29744920017293552</v>
      </c>
      <c r="H1423" s="2" t="s">
        <v>1058</v>
      </c>
      <c r="I1423" s="6" t="s">
        <v>25</v>
      </c>
      <c r="J1423" s="2" t="s">
        <v>1059</v>
      </c>
      <c r="K1423" s="2" t="s">
        <v>1060</v>
      </c>
      <c r="L1423" s="2" t="s">
        <v>28</v>
      </c>
      <c r="M1423" s="2" t="s">
        <v>5</v>
      </c>
      <c r="N1423" s="4">
        <v>10437.120000000001</v>
      </c>
    </row>
    <row r="1424" spans="1:14" x14ac:dyDescent="0.25">
      <c r="A1424" s="2" t="s">
        <v>292</v>
      </c>
      <c r="B1424" s="2" t="s">
        <v>293</v>
      </c>
      <c r="C1424" s="3">
        <v>103.75</v>
      </c>
      <c r="D1424" s="4">
        <v>2115.4625000000001</v>
      </c>
      <c r="E1424" s="4">
        <v>1711.875</v>
      </c>
      <c r="F1424" s="4">
        <f t="shared" si="95"/>
        <v>403.58750000000009</v>
      </c>
      <c r="G1424" s="5">
        <f t="shared" si="96"/>
        <v>0.19077979401667489</v>
      </c>
      <c r="H1424" s="2" t="s">
        <v>1058</v>
      </c>
      <c r="I1424" s="6" t="s">
        <v>25</v>
      </c>
      <c r="J1424" s="2" t="s">
        <v>1059</v>
      </c>
      <c r="K1424" s="2" t="s">
        <v>1060</v>
      </c>
      <c r="L1424" s="2" t="s">
        <v>28</v>
      </c>
      <c r="M1424" s="2" t="s">
        <v>5</v>
      </c>
      <c r="N1424" s="4">
        <v>10437.120000000001</v>
      </c>
    </row>
    <row r="1425" spans="1:14" x14ac:dyDescent="0.25">
      <c r="A1425" s="2" t="s">
        <v>294</v>
      </c>
      <c r="B1425" s="2" t="s">
        <v>295</v>
      </c>
      <c r="C1425" s="3">
        <v>20.37</v>
      </c>
      <c r="D1425" s="4">
        <v>331.01249999999999</v>
      </c>
      <c r="E1425" s="4">
        <v>164.99700000000001</v>
      </c>
      <c r="F1425" s="4">
        <f t="shared" si="95"/>
        <v>166.01549999999997</v>
      </c>
      <c r="G1425" s="5">
        <f t="shared" si="96"/>
        <v>0.50153846153846149</v>
      </c>
      <c r="H1425" s="2" t="s">
        <v>1058</v>
      </c>
      <c r="I1425" s="6" t="s">
        <v>25</v>
      </c>
      <c r="J1425" s="2" t="s">
        <v>1059</v>
      </c>
      <c r="K1425" s="2" t="s">
        <v>1060</v>
      </c>
      <c r="L1425" s="2" t="s">
        <v>28</v>
      </c>
      <c r="M1425" s="2" t="s">
        <v>5</v>
      </c>
      <c r="N1425" s="4">
        <v>10437.120000000001</v>
      </c>
    </row>
    <row r="1426" spans="1:14" x14ac:dyDescent="0.25">
      <c r="A1426" s="2" t="s">
        <v>296</v>
      </c>
      <c r="B1426" s="2" t="s">
        <v>297</v>
      </c>
      <c r="C1426" s="3">
        <v>120.2</v>
      </c>
      <c r="D1426" s="4">
        <v>1393.1179999999999</v>
      </c>
      <c r="E1426" s="4">
        <v>877.46</v>
      </c>
      <c r="F1426" s="4">
        <f t="shared" si="95"/>
        <v>515.6579999999999</v>
      </c>
      <c r="G1426" s="5">
        <f t="shared" si="96"/>
        <v>0.37014667817083685</v>
      </c>
      <c r="H1426" s="2" t="s">
        <v>1061</v>
      </c>
      <c r="I1426" s="6" t="s">
        <v>69</v>
      </c>
      <c r="J1426" s="2" t="s">
        <v>1062</v>
      </c>
      <c r="K1426" s="2" t="s">
        <v>1063</v>
      </c>
      <c r="L1426" s="2" t="s">
        <v>28</v>
      </c>
      <c r="M1426" s="2" t="s">
        <v>5</v>
      </c>
      <c r="N1426" s="4">
        <v>11626.8</v>
      </c>
    </row>
    <row r="1427" spans="1:14" x14ac:dyDescent="0.25">
      <c r="A1427" s="2" t="s">
        <v>951</v>
      </c>
      <c r="B1427" s="2" t="s">
        <v>952</v>
      </c>
      <c r="C1427" s="3">
        <v>85.49</v>
      </c>
      <c r="D1427" s="4">
        <v>1106.2406000000001</v>
      </c>
      <c r="E1427" s="4">
        <v>641.17499999999995</v>
      </c>
      <c r="F1427" s="4">
        <f t="shared" si="95"/>
        <v>465.06560000000013</v>
      </c>
      <c r="G1427" s="5">
        <f t="shared" si="96"/>
        <v>0.42040185471406499</v>
      </c>
      <c r="H1427" s="2" t="s">
        <v>1061</v>
      </c>
      <c r="I1427" s="6" t="s">
        <v>69</v>
      </c>
      <c r="J1427" s="2" t="s">
        <v>1062</v>
      </c>
      <c r="K1427" s="2" t="s">
        <v>1063</v>
      </c>
      <c r="L1427" s="2" t="s">
        <v>28</v>
      </c>
      <c r="M1427" s="2" t="s">
        <v>5</v>
      </c>
      <c r="N1427" s="4">
        <v>11626.8</v>
      </c>
    </row>
    <row r="1428" spans="1:14" x14ac:dyDescent="0.25">
      <c r="A1428" s="2" t="s">
        <v>300</v>
      </c>
      <c r="B1428" s="2" t="s">
        <v>301</v>
      </c>
      <c r="C1428" s="3">
        <v>44.965000000000003</v>
      </c>
      <c r="D1428" s="4">
        <v>458.19335000000001</v>
      </c>
      <c r="E1428" s="4">
        <v>319.25150000000002</v>
      </c>
      <c r="F1428" s="4">
        <f t="shared" si="95"/>
        <v>138.94184999999999</v>
      </c>
      <c r="G1428" s="5">
        <f t="shared" si="96"/>
        <v>0.30323846908734048</v>
      </c>
      <c r="H1428" s="2" t="s">
        <v>1061</v>
      </c>
      <c r="I1428" s="6" t="s">
        <v>69</v>
      </c>
      <c r="J1428" s="2" t="s">
        <v>1062</v>
      </c>
      <c r="K1428" s="2" t="s">
        <v>1063</v>
      </c>
      <c r="L1428" s="2" t="s">
        <v>28</v>
      </c>
      <c r="M1428" s="2" t="s">
        <v>5</v>
      </c>
      <c r="N1428" s="4">
        <v>11626.8</v>
      </c>
    </row>
    <row r="1429" spans="1:14" x14ac:dyDescent="0.25">
      <c r="A1429" s="2" t="s">
        <v>302</v>
      </c>
      <c r="B1429" s="2" t="s">
        <v>303</v>
      </c>
      <c r="C1429" s="3">
        <v>118.47</v>
      </c>
      <c r="D1429" s="4">
        <v>2409.6797999999999</v>
      </c>
      <c r="E1429" s="4">
        <v>1480.875</v>
      </c>
      <c r="F1429" s="4">
        <f t="shared" si="95"/>
        <v>928.80479999999989</v>
      </c>
      <c r="G1429" s="5">
        <f t="shared" si="96"/>
        <v>0.3854473942969518</v>
      </c>
      <c r="H1429" s="2" t="s">
        <v>1058</v>
      </c>
      <c r="I1429" s="6" t="s">
        <v>25</v>
      </c>
      <c r="J1429" s="2" t="s">
        <v>1059</v>
      </c>
      <c r="K1429" s="2" t="s">
        <v>1060</v>
      </c>
      <c r="L1429" s="2" t="s">
        <v>28</v>
      </c>
      <c r="M1429" s="2" t="s">
        <v>5</v>
      </c>
      <c r="N1429" s="4">
        <v>10437.120000000001</v>
      </c>
    </row>
    <row r="1430" spans="1:14" x14ac:dyDescent="0.25">
      <c r="A1430" s="2" t="s">
        <v>302</v>
      </c>
      <c r="B1430" s="2" t="s">
        <v>303</v>
      </c>
      <c r="C1430" s="3">
        <v>109.24</v>
      </c>
      <c r="D1430" s="4">
        <v>2221.9416000000001</v>
      </c>
      <c r="E1430" s="4">
        <v>1365.5</v>
      </c>
      <c r="F1430" s="4">
        <f t="shared" si="95"/>
        <v>856.44160000000011</v>
      </c>
      <c r="G1430" s="5">
        <f t="shared" si="96"/>
        <v>0.38544739429695185</v>
      </c>
      <c r="H1430" s="2" t="s">
        <v>1064</v>
      </c>
      <c r="I1430" s="6" t="s">
        <v>25</v>
      </c>
      <c r="J1430" s="2" t="s">
        <v>1065</v>
      </c>
      <c r="K1430" s="2" t="s">
        <v>1066</v>
      </c>
      <c r="L1430" s="2" t="s">
        <v>28</v>
      </c>
      <c r="M1430" s="2" t="s">
        <v>5</v>
      </c>
      <c r="N1430" s="4">
        <v>2221.94</v>
      </c>
    </row>
    <row r="1431" spans="1:14" x14ac:dyDescent="0.25">
      <c r="A1431" s="2" t="s">
        <v>858</v>
      </c>
      <c r="B1431" s="2" t="s">
        <v>859</v>
      </c>
      <c r="C1431" s="3">
        <v>4</v>
      </c>
      <c r="D1431" s="4">
        <v>110.76</v>
      </c>
      <c r="E1431" s="4">
        <v>61</v>
      </c>
      <c r="F1431" s="4">
        <f t="shared" si="95"/>
        <v>49.760000000000005</v>
      </c>
      <c r="G1431" s="5">
        <f t="shared" si="96"/>
        <v>0.44925966052726618</v>
      </c>
      <c r="H1431" s="2" t="s">
        <v>1058</v>
      </c>
      <c r="I1431" s="6" t="s">
        <v>25</v>
      </c>
      <c r="J1431" s="2" t="s">
        <v>1059</v>
      </c>
      <c r="K1431" s="2" t="s">
        <v>1060</v>
      </c>
      <c r="L1431" s="2" t="s">
        <v>28</v>
      </c>
      <c r="M1431" s="2" t="s">
        <v>5</v>
      </c>
      <c r="N1431" s="4">
        <v>10437.120000000001</v>
      </c>
    </row>
    <row r="1432" spans="1:14" x14ac:dyDescent="0.25">
      <c r="A1432" s="2" t="s">
        <v>858</v>
      </c>
      <c r="B1432" s="2" t="s">
        <v>859</v>
      </c>
      <c r="C1432" s="3">
        <v>4</v>
      </c>
      <c r="D1432" s="4">
        <v>110.76</v>
      </c>
      <c r="E1432" s="4">
        <v>61</v>
      </c>
      <c r="F1432" s="4">
        <f t="shared" si="95"/>
        <v>49.760000000000005</v>
      </c>
      <c r="G1432" s="5">
        <f t="shared" si="96"/>
        <v>0.44925966052726618</v>
      </c>
      <c r="H1432" s="2" t="s">
        <v>1061</v>
      </c>
      <c r="I1432" s="6" t="s">
        <v>69</v>
      </c>
      <c r="J1432" s="2" t="s">
        <v>1062</v>
      </c>
      <c r="K1432" s="2" t="s">
        <v>1063</v>
      </c>
      <c r="L1432" s="2" t="s">
        <v>28</v>
      </c>
      <c r="M1432" s="2" t="s">
        <v>5</v>
      </c>
      <c r="N1432" s="4">
        <v>11626.8</v>
      </c>
    </row>
    <row r="1433" spans="1:14" x14ac:dyDescent="0.25">
      <c r="A1433" s="2" t="s">
        <v>772</v>
      </c>
      <c r="B1433" s="2" t="s">
        <v>773</v>
      </c>
      <c r="C1433" s="3">
        <v>114.4</v>
      </c>
      <c r="D1433" s="4">
        <v>1704.56</v>
      </c>
      <c r="E1433" s="4">
        <v>972.4</v>
      </c>
      <c r="F1433" s="4">
        <f t="shared" si="95"/>
        <v>732.16</v>
      </c>
      <c r="G1433" s="5">
        <f t="shared" si="96"/>
        <v>0.42953020134228187</v>
      </c>
      <c r="H1433" s="2" t="s">
        <v>1061</v>
      </c>
      <c r="I1433" s="6" t="s">
        <v>69</v>
      </c>
      <c r="J1433" s="2" t="s">
        <v>1062</v>
      </c>
      <c r="K1433" s="2" t="s">
        <v>1063</v>
      </c>
      <c r="L1433" s="2" t="s">
        <v>28</v>
      </c>
      <c r="M1433" s="2" t="s">
        <v>5</v>
      </c>
      <c r="N1433" s="4">
        <v>11626.8</v>
      </c>
    </row>
    <row r="1434" spans="1:14" x14ac:dyDescent="0.25">
      <c r="A1434" s="2" t="s">
        <v>306</v>
      </c>
      <c r="B1434" s="2" t="s">
        <v>307</v>
      </c>
      <c r="C1434" s="3">
        <v>42.314999999999998</v>
      </c>
      <c r="D1434" s="4">
        <v>490.43085000000002</v>
      </c>
      <c r="E1434" s="4">
        <v>401.99250000000001</v>
      </c>
      <c r="F1434" s="4">
        <f t="shared" si="95"/>
        <v>88.438350000000014</v>
      </c>
      <c r="G1434" s="5">
        <f t="shared" si="96"/>
        <v>0.18032786885245905</v>
      </c>
      <c r="H1434" s="2" t="s">
        <v>1061</v>
      </c>
      <c r="I1434" s="6" t="s">
        <v>69</v>
      </c>
      <c r="J1434" s="2" t="s">
        <v>1062</v>
      </c>
      <c r="K1434" s="2" t="s">
        <v>1063</v>
      </c>
      <c r="L1434" s="2" t="s">
        <v>28</v>
      </c>
      <c r="M1434" s="2" t="s">
        <v>5</v>
      </c>
      <c r="N1434" s="4">
        <v>11626.8</v>
      </c>
    </row>
    <row r="1435" spans="1:14" x14ac:dyDescent="0.25">
      <c r="A1435" s="2" t="s">
        <v>306</v>
      </c>
      <c r="B1435" s="2" t="s">
        <v>307</v>
      </c>
      <c r="C1435" s="3">
        <v>43.69</v>
      </c>
      <c r="D1435" s="4">
        <v>506.36709999999999</v>
      </c>
      <c r="E1435" s="4">
        <v>415.05500000000001</v>
      </c>
      <c r="F1435" s="4">
        <f t="shared" si="95"/>
        <v>91.312099999999987</v>
      </c>
      <c r="G1435" s="5">
        <f t="shared" si="96"/>
        <v>0.18032786885245899</v>
      </c>
      <c r="H1435" s="2" t="s">
        <v>1058</v>
      </c>
      <c r="I1435" s="6" t="s">
        <v>25</v>
      </c>
      <c r="J1435" s="2" t="s">
        <v>1059</v>
      </c>
      <c r="K1435" s="2" t="s">
        <v>1060</v>
      </c>
      <c r="L1435" s="2" t="s">
        <v>28</v>
      </c>
      <c r="M1435" s="2" t="s">
        <v>5</v>
      </c>
      <c r="N1435" s="4">
        <v>10437.120000000001</v>
      </c>
    </row>
    <row r="1437" spans="1:14" x14ac:dyDescent="0.25">
      <c r="A1437" s="13" t="s">
        <v>59</v>
      </c>
      <c r="B1437" s="21"/>
      <c r="C1437" s="22">
        <f>SUM(C1404:C1436)</f>
        <v>1555.857</v>
      </c>
      <c r="D1437" s="23">
        <f>SUM(D1404:D1436)</f>
        <v>24285.853159999995</v>
      </c>
      <c r="E1437" s="23">
        <f>SUM(E1404:E1436)</f>
        <v>15320.249929999998</v>
      </c>
      <c r="F1437" s="23">
        <f>D1437-E1437</f>
        <v>8965.603229999997</v>
      </c>
      <c r="G1437" s="24">
        <f>IF(((D1437)=0),0,(D1437-E1437)/ D1437)</f>
        <v>0.36916978666274697</v>
      </c>
      <c r="H1437" s="21"/>
      <c r="I1437" s="21"/>
      <c r="J1437" s="21"/>
      <c r="K1437" s="21"/>
      <c r="L1437" s="21"/>
      <c r="M1437" s="21"/>
      <c r="N1437" s="21"/>
    </row>
    <row r="1439" spans="1:14" s="17" customFormat="1" ht="18.75" x14ac:dyDescent="0.3"/>
    <row r="1440" spans="1:14" s="7" customFormat="1" x14ac:dyDescent="0.25">
      <c r="A1440" s="13" t="s">
        <v>1067</v>
      </c>
      <c r="B1440" s="18" t="s">
        <v>1068</v>
      </c>
      <c r="C1440" s="19"/>
      <c r="D1440" s="20" t="s">
        <v>5</v>
      </c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</row>
    <row r="1442" spans="1:14" x14ac:dyDescent="0.25">
      <c r="A1442" s="2" t="s">
        <v>1069</v>
      </c>
      <c r="B1442" s="2" t="s">
        <v>1070</v>
      </c>
      <c r="C1442" s="3">
        <v>10</v>
      </c>
      <c r="D1442" s="4">
        <v>154.19999999999999</v>
      </c>
      <c r="E1442" s="4">
        <v>104</v>
      </c>
      <c r="F1442" s="4">
        <f t="shared" ref="F1442:F1478" si="97">D1442-E1442</f>
        <v>50.199999999999989</v>
      </c>
      <c r="G1442" s="5">
        <f t="shared" ref="G1442:G1478" si="98">IF(((D1442)=0),0,(D1442-E1442)/ D1442)</f>
        <v>0.32555123216601811</v>
      </c>
      <c r="H1442" s="2" t="s">
        <v>1071</v>
      </c>
      <c r="I1442" s="6" t="s">
        <v>69</v>
      </c>
      <c r="J1442" s="2" t="s">
        <v>1072</v>
      </c>
      <c r="K1442" s="2" t="s">
        <v>5</v>
      </c>
      <c r="L1442" s="2" t="s">
        <v>28</v>
      </c>
      <c r="M1442" s="2" t="s">
        <v>5</v>
      </c>
      <c r="N1442" s="4">
        <v>2226.61</v>
      </c>
    </row>
    <row r="1443" spans="1:14" x14ac:dyDescent="0.25">
      <c r="A1443" s="2" t="s">
        <v>1069</v>
      </c>
      <c r="B1443" s="2" t="s">
        <v>1070</v>
      </c>
      <c r="C1443" s="3">
        <v>15</v>
      </c>
      <c r="D1443" s="4">
        <v>231.3</v>
      </c>
      <c r="E1443" s="4">
        <v>156</v>
      </c>
      <c r="F1443" s="4">
        <f t="shared" si="97"/>
        <v>75.300000000000011</v>
      </c>
      <c r="G1443" s="5">
        <f t="shared" si="98"/>
        <v>0.32555123216601817</v>
      </c>
      <c r="H1443" s="2" t="s">
        <v>1073</v>
      </c>
      <c r="I1443" s="6" t="s">
        <v>32</v>
      </c>
      <c r="J1443" s="2" t="s">
        <v>1074</v>
      </c>
      <c r="K1443" s="2" t="s">
        <v>5</v>
      </c>
      <c r="L1443" s="2" t="s">
        <v>28</v>
      </c>
      <c r="M1443" s="2" t="s">
        <v>5</v>
      </c>
      <c r="N1443" s="4">
        <v>2583.12</v>
      </c>
    </row>
    <row r="1444" spans="1:14" x14ac:dyDescent="0.25">
      <c r="A1444" s="2" t="s">
        <v>1075</v>
      </c>
      <c r="B1444" s="2" t="s">
        <v>1076</v>
      </c>
      <c r="C1444" s="3">
        <v>10</v>
      </c>
      <c r="D1444" s="4">
        <v>283.60000000000002</v>
      </c>
      <c r="E1444" s="4">
        <v>191.3</v>
      </c>
      <c r="F1444" s="4">
        <f t="shared" si="97"/>
        <v>92.300000000000011</v>
      </c>
      <c r="G1444" s="5">
        <f t="shared" si="98"/>
        <v>0.32545839210155147</v>
      </c>
      <c r="H1444" s="2" t="s">
        <v>1071</v>
      </c>
      <c r="I1444" s="6" t="s">
        <v>69</v>
      </c>
      <c r="J1444" s="2" t="s">
        <v>1072</v>
      </c>
      <c r="K1444" s="2" t="s">
        <v>5</v>
      </c>
      <c r="L1444" s="2" t="s">
        <v>28</v>
      </c>
      <c r="M1444" s="2" t="s">
        <v>5</v>
      </c>
      <c r="N1444" s="4">
        <v>2226.61</v>
      </c>
    </row>
    <row r="1445" spans="1:14" x14ac:dyDescent="0.25">
      <c r="A1445" s="2" t="s">
        <v>1075</v>
      </c>
      <c r="B1445" s="2" t="s">
        <v>1076</v>
      </c>
      <c r="C1445" s="3">
        <v>5</v>
      </c>
      <c r="D1445" s="4">
        <v>141.80000000000001</v>
      </c>
      <c r="E1445" s="4">
        <v>95.65</v>
      </c>
      <c r="F1445" s="4">
        <f t="shared" si="97"/>
        <v>46.150000000000006</v>
      </c>
      <c r="G1445" s="5">
        <f t="shared" si="98"/>
        <v>0.32545839210155147</v>
      </c>
      <c r="H1445" s="2" t="s">
        <v>1073</v>
      </c>
      <c r="I1445" s="6" t="s">
        <v>32</v>
      </c>
      <c r="J1445" s="2" t="s">
        <v>1074</v>
      </c>
      <c r="K1445" s="2" t="s">
        <v>5</v>
      </c>
      <c r="L1445" s="2" t="s">
        <v>28</v>
      </c>
      <c r="M1445" s="2" t="s">
        <v>5</v>
      </c>
      <c r="N1445" s="4">
        <v>2583.12</v>
      </c>
    </row>
    <row r="1446" spans="1:14" x14ac:dyDescent="0.25">
      <c r="A1446" s="2" t="s">
        <v>1077</v>
      </c>
      <c r="B1446" s="2" t="s">
        <v>1078</v>
      </c>
      <c r="C1446" s="3">
        <v>7</v>
      </c>
      <c r="D1446" s="4">
        <v>157.22</v>
      </c>
      <c r="E1446" s="4">
        <v>106.05</v>
      </c>
      <c r="F1446" s="4">
        <f t="shared" si="97"/>
        <v>51.17</v>
      </c>
      <c r="G1446" s="5">
        <f t="shared" si="98"/>
        <v>0.32546749777382011</v>
      </c>
      <c r="H1446" s="2" t="s">
        <v>1071</v>
      </c>
      <c r="I1446" s="6" t="s">
        <v>69</v>
      </c>
      <c r="J1446" s="2" t="s">
        <v>1072</v>
      </c>
      <c r="K1446" s="2" t="s">
        <v>5</v>
      </c>
      <c r="L1446" s="2" t="s">
        <v>28</v>
      </c>
      <c r="M1446" s="2" t="s">
        <v>5</v>
      </c>
      <c r="N1446" s="4">
        <v>2226.61</v>
      </c>
    </row>
    <row r="1447" spans="1:14" x14ac:dyDescent="0.25">
      <c r="A1447" s="2" t="s">
        <v>1077</v>
      </c>
      <c r="B1447" s="2" t="s">
        <v>1078</v>
      </c>
      <c r="C1447" s="3">
        <v>7</v>
      </c>
      <c r="D1447" s="4">
        <v>157.22</v>
      </c>
      <c r="E1447" s="4">
        <v>106.05</v>
      </c>
      <c r="F1447" s="4">
        <f t="shared" si="97"/>
        <v>51.17</v>
      </c>
      <c r="G1447" s="5">
        <f t="shared" si="98"/>
        <v>0.32546749777382011</v>
      </c>
      <c r="H1447" s="2" t="s">
        <v>1073</v>
      </c>
      <c r="I1447" s="6" t="s">
        <v>32</v>
      </c>
      <c r="J1447" s="2" t="s">
        <v>1074</v>
      </c>
      <c r="K1447" s="2" t="s">
        <v>5</v>
      </c>
      <c r="L1447" s="2" t="s">
        <v>28</v>
      </c>
      <c r="M1447" s="2" t="s">
        <v>5</v>
      </c>
      <c r="N1447" s="4">
        <v>2583.12</v>
      </c>
    </row>
    <row r="1448" spans="1:14" x14ac:dyDescent="0.25">
      <c r="A1448" s="2" t="s">
        <v>1079</v>
      </c>
      <c r="B1448" s="2" t="s">
        <v>1080</v>
      </c>
      <c r="C1448" s="3">
        <v>1</v>
      </c>
      <c r="D1448" s="4">
        <v>75.33</v>
      </c>
      <c r="E1448" s="4">
        <v>51.5</v>
      </c>
      <c r="F1448" s="4">
        <f t="shared" si="97"/>
        <v>23.83</v>
      </c>
      <c r="G1448" s="5">
        <f t="shared" si="98"/>
        <v>0.31634143103677154</v>
      </c>
      <c r="H1448" s="2" t="s">
        <v>1073</v>
      </c>
      <c r="I1448" s="6" t="s">
        <v>32</v>
      </c>
      <c r="J1448" s="2" t="s">
        <v>1074</v>
      </c>
      <c r="K1448" s="2" t="s">
        <v>5</v>
      </c>
      <c r="L1448" s="2" t="s">
        <v>28</v>
      </c>
      <c r="M1448" s="2" t="s">
        <v>5</v>
      </c>
      <c r="N1448" s="4">
        <v>2583.12</v>
      </c>
    </row>
    <row r="1449" spans="1:14" x14ac:dyDescent="0.25">
      <c r="A1449" s="2" t="s">
        <v>1079</v>
      </c>
      <c r="B1449" s="2" t="s">
        <v>1080</v>
      </c>
      <c r="C1449" s="3">
        <v>3</v>
      </c>
      <c r="D1449" s="4">
        <v>225.99</v>
      </c>
      <c r="E1449" s="4">
        <v>154.5</v>
      </c>
      <c r="F1449" s="4">
        <f t="shared" si="97"/>
        <v>71.490000000000009</v>
      </c>
      <c r="G1449" s="5">
        <f t="shared" si="98"/>
        <v>0.31634143103677159</v>
      </c>
      <c r="H1449" s="2" t="s">
        <v>1071</v>
      </c>
      <c r="I1449" s="6" t="s">
        <v>69</v>
      </c>
      <c r="J1449" s="2" t="s">
        <v>1072</v>
      </c>
      <c r="K1449" s="2" t="s">
        <v>5</v>
      </c>
      <c r="L1449" s="2" t="s">
        <v>28</v>
      </c>
      <c r="M1449" s="2" t="s">
        <v>5</v>
      </c>
      <c r="N1449" s="4">
        <v>2226.61</v>
      </c>
    </row>
    <row r="1450" spans="1:14" x14ac:dyDescent="0.25">
      <c r="A1450" s="2" t="s">
        <v>1081</v>
      </c>
      <c r="B1450" s="2" t="s">
        <v>1082</v>
      </c>
      <c r="C1450" s="3">
        <v>1</v>
      </c>
      <c r="D1450" s="4">
        <v>51.89</v>
      </c>
      <c r="E1450" s="4">
        <v>35.5</v>
      </c>
      <c r="F1450" s="4">
        <f t="shared" si="97"/>
        <v>16.39</v>
      </c>
      <c r="G1450" s="5">
        <f t="shared" si="98"/>
        <v>0.31586047407978418</v>
      </c>
      <c r="H1450" s="2" t="s">
        <v>1071</v>
      </c>
      <c r="I1450" s="6" t="s">
        <v>69</v>
      </c>
      <c r="J1450" s="2" t="s">
        <v>1072</v>
      </c>
      <c r="K1450" s="2" t="s">
        <v>5</v>
      </c>
      <c r="L1450" s="2" t="s">
        <v>28</v>
      </c>
      <c r="M1450" s="2" t="s">
        <v>5</v>
      </c>
      <c r="N1450" s="4">
        <v>2226.61</v>
      </c>
    </row>
    <row r="1451" spans="1:14" x14ac:dyDescent="0.25">
      <c r="A1451" s="2" t="s">
        <v>1081</v>
      </c>
      <c r="B1451" s="2" t="s">
        <v>1082</v>
      </c>
      <c r="C1451" s="3">
        <v>1</v>
      </c>
      <c r="D1451" s="4">
        <v>51.89</v>
      </c>
      <c r="E1451" s="4">
        <v>35.5</v>
      </c>
      <c r="F1451" s="4">
        <f t="shared" si="97"/>
        <v>16.39</v>
      </c>
      <c r="G1451" s="5">
        <f t="shared" si="98"/>
        <v>0.31586047407978418</v>
      </c>
      <c r="H1451" s="2" t="s">
        <v>1073</v>
      </c>
      <c r="I1451" s="6" t="s">
        <v>32</v>
      </c>
      <c r="J1451" s="2" t="s">
        <v>1074</v>
      </c>
      <c r="K1451" s="2" t="s">
        <v>5</v>
      </c>
      <c r="L1451" s="2" t="s">
        <v>28</v>
      </c>
      <c r="M1451" s="2" t="s">
        <v>5</v>
      </c>
      <c r="N1451" s="4">
        <v>2583.12</v>
      </c>
    </row>
    <row r="1452" spans="1:14" x14ac:dyDescent="0.25">
      <c r="A1452" s="2" t="s">
        <v>1083</v>
      </c>
      <c r="B1452" s="2" t="s">
        <v>1084</v>
      </c>
      <c r="C1452" s="3">
        <v>1</v>
      </c>
      <c r="D1452" s="4">
        <v>120.24</v>
      </c>
      <c r="E1452" s="4">
        <v>81.099999999999994</v>
      </c>
      <c r="F1452" s="4">
        <f t="shared" si="97"/>
        <v>39.14</v>
      </c>
      <c r="G1452" s="5">
        <f t="shared" si="98"/>
        <v>0.32551563539587491</v>
      </c>
      <c r="H1452" s="2" t="s">
        <v>1073</v>
      </c>
      <c r="I1452" s="6" t="s">
        <v>32</v>
      </c>
      <c r="J1452" s="2" t="s">
        <v>1074</v>
      </c>
      <c r="K1452" s="2" t="s">
        <v>5</v>
      </c>
      <c r="L1452" s="2" t="s">
        <v>28</v>
      </c>
      <c r="M1452" s="2" t="s">
        <v>5</v>
      </c>
      <c r="N1452" s="4">
        <v>2583.12</v>
      </c>
    </row>
    <row r="1453" spans="1:14" x14ac:dyDescent="0.25">
      <c r="A1453" s="2" t="s">
        <v>1085</v>
      </c>
      <c r="B1453" s="2" t="s">
        <v>1086</v>
      </c>
      <c r="C1453" s="3">
        <v>8.93</v>
      </c>
      <c r="D1453" s="4">
        <v>205.2114</v>
      </c>
      <c r="E1453" s="4">
        <v>138.41499999999999</v>
      </c>
      <c r="F1453" s="4">
        <f t="shared" si="97"/>
        <v>66.796400000000006</v>
      </c>
      <c r="G1453" s="5">
        <f t="shared" si="98"/>
        <v>0.32550043516100963</v>
      </c>
      <c r="H1453" s="2" t="s">
        <v>1073</v>
      </c>
      <c r="I1453" s="6" t="s">
        <v>32</v>
      </c>
      <c r="J1453" s="2" t="s">
        <v>1074</v>
      </c>
      <c r="K1453" s="2" t="s">
        <v>5</v>
      </c>
      <c r="L1453" s="2" t="s">
        <v>28</v>
      </c>
      <c r="M1453" s="2" t="s">
        <v>5</v>
      </c>
      <c r="N1453" s="4">
        <v>2583.12</v>
      </c>
    </row>
    <row r="1454" spans="1:14" x14ac:dyDescent="0.25">
      <c r="A1454" s="2" t="s">
        <v>1087</v>
      </c>
      <c r="B1454" s="2" t="s">
        <v>1088</v>
      </c>
      <c r="C1454" s="3">
        <v>4</v>
      </c>
      <c r="D1454" s="4">
        <v>56.56</v>
      </c>
      <c r="E1454" s="4">
        <v>38.159999999999997</v>
      </c>
      <c r="F1454" s="4">
        <f t="shared" si="97"/>
        <v>18.400000000000006</v>
      </c>
      <c r="G1454" s="5">
        <f t="shared" si="98"/>
        <v>0.32531824611032539</v>
      </c>
      <c r="H1454" s="2" t="s">
        <v>1073</v>
      </c>
      <c r="I1454" s="6" t="s">
        <v>32</v>
      </c>
      <c r="J1454" s="2" t="s">
        <v>1074</v>
      </c>
      <c r="K1454" s="2" t="s">
        <v>5</v>
      </c>
      <c r="L1454" s="2" t="s">
        <v>28</v>
      </c>
      <c r="M1454" s="2" t="s">
        <v>5</v>
      </c>
      <c r="N1454" s="4">
        <v>2583.12</v>
      </c>
    </row>
    <row r="1455" spans="1:14" x14ac:dyDescent="0.25">
      <c r="A1455" s="2" t="s">
        <v>1089</v>
      </c>
      <c r="B1455" s="2" t="s">
        <v>1090</v>
      </c>
      <c r="C1455" s="3">
        <v>1</v>
      </c>
      <c r="D1455" s="4">
        <v>23.35</v>
      </c>
      <c r="E1455" s="4">
        <v>15.75</v>
      </c>
      <c r="F1455" s="4">
        <f t="shared" si="97"/>
        <v>7.6000000000000014</v>
      </c>
      <c r="G1455" s="5">
        <f t="shared" si="98"/>
        <v>0.32548179871520344</v>
      </c>
      <c r="H1455" s="2" t="s">
        <v>1073</v>
      </c>
      <c r="I1455" s="6" t="s">
        <v>32</v>
      </c>
      <c r="J1455" s="2" t="s">
        <v>1074</v>
      </c>
      <c r="K1455" s="2" t="s">
        <v>5</v>
      </c>
      <c r="L1455" s="2" t="s">
        <v>28</v>
      </c>
      <c r="M1455" s="2" t="s">
        <v>5</v>
      </c>
      <c r="N1455" s="4">
        <v>2583.12</v>
      </c>
    </row>
    <row r="1456" spans="1:14" x14ac:dyDescent="0.25">
      <c r="A1456" s="2" t="s">
        <v>1091</v>
      </c>
      <c r="B1456" s="2" t="s">
        <v>1092</v>
      </c>
      <c r="C1456" s="3">
        <v>2</v>
      </c>
      <c r="D1456" s="4">
        <v>36.86</v>
      </c>
      <c r="E1456" s="4">
        <v>24.86</v>
      </c>
      <c r="F1456" s="4">
        <f t="shared" si="97"/>
        <v>12</v>
      </c>
      <c r="G1456" s="5">
        <f t="shared" si="98"/>
        <v>0.32555615843733043</v>
      </c>
      <c r="H1456" s="2" t="s">
        <v>1073</v>
      </c>
      <c r="I1456" s="6" t="s">
        <v>32</v>
      </c>
      <c r="J1456" s="2" t="s">
        <v>1074</v>
      </c>
      <c r="K1456" s="2" t="s">
        <v>5</v>
      </c>
      <c r="L1456" s="2" t="s">
        <v>28</v>
      </c>
      <c r="M1456" s="2" t="s">
        <v>5</v>
      </c>
      <c r="N1456" s="4">
        <v>2583.12</v>
      </c>
    </row>
    <row r="1457" spans="1:14" x14ac:dyDescent="0.25">
      <c r="A1457" s="2" t="s">
        <v>1093</v>
      </c>
      <c r="B1457" s="2" t="s">
        <v>1094</v>
      </c>
      <c r="C1457" s="3">
        <v>6</v>
      </c>
      <c r="D1457" s="4">
        <v>76.5</v>
      </c>
      <c r="E1457" s="4">
        <v>51.6</v>
      </c>
      <c r="F1457" s="4">
        <f t="shared" si="97"/>
        <v>24.9</v>
      </c>
      <c r="G1457" s="5">
        <f t="shared" si="98"/>
        <v>0.32549019607843133</v>
      </c>
      <c r="H1457" s="2" t="s">
        <v>1073</v>
      </c>
      <c r="I1457" s="6" t="s">
        <v>32</v>
      </c>
      <c r="J1457" s="2" t="s">
        <v>1074</v>
      </c>
      <c r="K1457" s="2" t="s">
        <v>5</v>
      </c>
      <c r="L1457" s="2" t="s">
        <v>28</v>
      </c>
      <c r="M1457" s="2" t="s">
        <v>5</v>
      </c>
      <c r="N1457" s="4">
        <v>2583.12</v>
      </c>
    </row>
    <row r="1458" spans="1:14" x14ac:dyDescent="0.25">
      <c r="A1458" s="2" t="s">
        <v>1095</v>
      </c>
      <c r="B1458" s="2" t="s">
        <v>1096</v>
      </c>
      <c r="C1458" s="3">
        <v>1</v>
      </c>
      <c r="D1458" s="4">
        <v>46.63</v>
      </c>
      <c r="E1458" s="4">
        <v>31.19</v>
      </c>
      <c r="F1458" s="4">
        <f t="shared" si="97"/>
        <v>15.440000000000001</v>
      </c>
      <c r="G1458" s="5">
        <f t="shared" si="98"/>
        <v>0.33111730645507187</v>
      </c>
      <c r="H1458" s="2" t="s">
        <v>1073</v>
      </c>
      <c r="I1458" s="6" t="s">
        <v>32</v>
      </c>
      <c r="J1458" s="2" t="s">
        <v>1074</v>
      </c>
      <c r="K1458" s="2" t="s">
        <v>5</v>
      </c>
      <c r="L1458" s="2" t="s">
        <v>28</v>
      </c>
      <c r="M1458" s="2" t="s">
        <v>5</v>
      </c>
      <c r="N1458" s="4">
        <v>2583.12</v>
      </c>
    </row>
    <row r="1459" spans="1:14" x14ac:dyDescent="0.25">
      <c r="A1459" s="2" t="s">
        <v>1097</v>
      </c>
      <c r="B1459" s="2" t="s">
        <v>1098</v>
      </c>
      <c r="C1459" s="3">
        <v>4</v>
      </c>
      <c r="D1459" s="4">
        <v>729.44</v>
      </c>
      <c r="E1459" s="4">
        <v>492</v>
      </c>
      <c r="F1459" s="4">
        <f t="shared" si="97"/>
        <v>237.44000000000005</v>
      </c>
      <c r="G1459" s="5">
        <f t="shared" si="98"/>
        <v>0.32550998025882877</v>
      </c>
      <c r="H1459" s="2" t="s">
        <v>1071</v>
      </c>
      <c r="I1459" s="6" t="s">
        <v>69</v>
      </c>
      <c r="J1459" s="2" t="s">
        <v>1072</v>
      </c>
      <c r="K1459" s="2" t="s">
        <v>5</v>
      </c>
      <c r="L1459" s="2" t="s">
        <v>28</v>
      </c>
      <c r="M1459" s="2" t="s">
        <v>5</v>
      </c>
      <c r="N1459" s="4">
        <v>2226.61</v>
      </c>
    </row>
    <row r="1460" spans="1:14" x14ac:dyDescent="0.25">
      <c r="A1460" s="2" t="s">
        <v>1097</v>
      </c>
      <c r="B1460" s="2" t="s">
        <v>1098</v>
      </c>
      <c r="C1460" s="3">
        <v>3</v>
      </c>
      <c r="D1460" s="4">
        <v>547.08000000000004</v>
      </c>
      <c r="E1460" s="4">
        <v>369</v>
      </c>
      <c r="F1460" s="4">
        <f t="shared" si="97"/>
        <v>178.08000000000004</v>
      </c>
      <c r="G1460" s="5">
        <f t="shared" si="98"/>
        <v>0.32550998025882877</v>
      </c>
      <c r="H1460" s="2" t="s">
        <v>1073</v>
      </c>
      <c r="I1460" s="6" t="s">
        <v>32</v>
      </c>
      <c r="J1460" s="2" t="s">
        <v>1074</v>
      </c>
      <c r="K1460" s="2" t="s">
        <v>5</v>
      </c>
      <c r="L1460" s="2" t="s">
        <v>28</v>
      </c>
      <c r="M1460" s="2" t="s">
        <v>5</v>
      </c>
      <c r="N1460" s="4">
        <v>2583.12</v>
      </c>
    </row>
    <row r="1461" spans="1:14" x14ac:dyDescent="0.25">
      <c r="A1461" s="2" t="s">
        <v>1099</v>
      </c>
      <c r="B1461" s="2" t="s">
        <v>1100</v>
      </c>
      <c r="C1461" s="3">
        <v>1</v>
      </c>
      <c r="D1461" s="4">
        <v>5.57</v>
      </c>
      <c r="E1461" s="4">
        <v>3.76</v>
      </c>
      <c r="F1461" s="4">
        <f t="shared" si="97"/>
        <v>1.8100000000000005</v>
      </c>
      <c r="G1461" s="5">
        <f t="shared" si="98"/>
        <v>0.32495511669658894</v>
      </c>
      <c r="H1461" s="2" t="s">
        <v>1073</v>
      </c>
      <c r="I1461" s="6" t="s">
        <v>32</v>
      </c>
      <c r="J1461" s="2" t="s">
        <v>1074</v>
      </c>
      <c r="K1461" s="2" t="s">
        <v>5</v>
      </c>
      <c r="L1461" s="2" t="s">
        <v>28</v>
      </c>
      <c r="M1461" s="2" t="s">
        <v>5</v>
      </c>
      <c r="N1461" s="4">
        <v>2583.12</v>
      </c>
    </row>
    <row r="1462" spans="1:14" x14ac:dyDescent="0.25">
      <c r="A1462" s="2" t="s">
        <v>1101</v>
      </c>
      <c r="B1462" s="2" t="s">
        <v>1102</v>
      </c>
      <c r="C1462" s="3">
        <v>2</v>
      </c>
      <c r="D1462" s="4">
        <v>11.14</v>
      </c>
      <c r="E1462" s="4">
        <v>11</v>
      </c>
      <c r="F1462" s="4">
        <f t="shared" si="97"/>
        <v>0.14000000000000057</v>
      </c>
      <c r="G1462" s="5">
        <f t="shared" si="98"/>
        <v>1.2567324955116747E-2</v>
      </c>
      <c r="H1462" s="2" t="s">
        <v>1073</v>
      </c>
      <c r="I1462" s="6" t="s">
        <v>32</v>
      </c>
      <c r="J1462" s="2" t="s">
        <v>1074</v>
      </c>
      <c r="K1462" s="2" t="s">
        <v>5</v>
      </c>
      <c r="L1462" s="2" t="s">
        <v>28</v>
      </c>
      <c r="M1462" s="2" t="s">
        <v>5</v>
      </c>
      <c r="N1462" s="4">
        <v>2583.12</v>
      </c>
    </row>
    <row r="1463" spans="1:14" x14ac:dyDescent="0.25">
      <c r="A1463" s="2" t="s">
        <v>1101</v>
      </c>
      <c r="B1463" s="2" t="s">
        <v>1102</v>
      </c>
      <c r="C1463" s="3">
        <v>4</v>
      </c>
      <c r="D1463" s="4">
        <v>22.28</v>
      </c>
      <c r="E1463" s="4">
        <v>22</v>
      </c>
      <c r="F1463" s="4">
        <f t="shared" si="97"/>
        <v>0.28000000000000114</v>
      </c>
      <c r="G1463" s="5">
        <f t="shared" si="98"/>
        <v>1.2567324955116747E-2</v>
      </c>
      <c r="H1463" s="2" t="s">
        <v>1071</v>
      </c>
      <c r="I1463" s="6" t="s">
        <v>69</v>
      </c>
      <c r="J1463" s="2" t="s">
        <v>1072</v>
      </c>
      <c r="K1463" s="2" t="s">
        <v>5</v>
      </c>
      <c r="L1463" s="2" t="s">
        <v>28</v>
      </c>
      <c r="M1463" s="2" t="s">
        <v>5</v>
      </c>
      <c r="N1463" s="4">
        <v>2226.61</v>
      </c>
    </row>
    <row r="1464" spans="1:14" x14ac:dyDescent="0.25">
      <c r="A1464" s="2" t="s">
        <v>1103</v>
      </c>
      <c r="B1464" s="2" t="s">
        <v>1104</v>
      </c>
      <c r="C1464" s="3">
        <v>5</v>
      </c>
      <c r="D1464" s="4">
        <v>127.5</v>
      </c>
      <c r="E1464" s="4">
        <v>86</v>
      </c>
      <c r="F1464" s="4">
        <f t="shared" si="97"/>
        <v>41.5</v>
      </c>
      <c r="G1464" s="5">
        <f t="shared" si="98"/>
        <v>0.32549019607843138</v>
      </c>
      <c r="H1464" s="2" t="s">
        <v>1073</v>
      </c>
      <c r="I1464" s="6" t="s">
        <v>32</v>
      </c>
      <c r="J1464" s="2" t="s">
        <v>1074</v>
      </c>
      <c r="K1464" s="2" t="s">
        <v>5</v>
      </c>
      <c r="L1464" s="2" t="s">
        <v>28</v>
      </c>
      <c r="M1464" s="2" t="s">
        <v>5</v>
      </c>
      <c r="N1464" s="4">
        <v>2583.12</v>
      </c>
    </row>
    <row r="1465" spans="1:14" x14ac:dyDescent="0.25">
      <c r="A1465" s="2" t="s">
        <v>1105</v>
      </c>
      <c r="B1465" s="2" t="s">
        <v>1106</v>
      </c>
      <c r="C1465" s="3">
        <v>2</v>
      </c>
      <c r="D1465" s="4">
        <v>12.64</v>
      </c>
      <c r="E1465" s="4">
        <v>8.18</v>
      </c>
      <c r="F1465" s="4">
        <f t="shared" si="97"/>
        <v>4.4600000000000009</v>
      </c>
      <c r="G1465" s="5">
        <f t="shared" si="98"/>
        <v>0.35284810126582283</v>
      </c>
      <c r="H1465" s="2" t="s">
        <v>1073</v>
      </c>
      <c r="I1465" s="6" t="s">
        <v>32</v>
      </c>
      <c r="J1465" s="2" t="s">
        <v>1074</v>
      </c>
      <c r="K1465" s="2" t="s">
        <v>5</v>
      </c>
      <c r="L1465" s="2" t="s">
        <v>28</v>
      </c>
      <c r="M1465" s="2" t="s">
        <v>5</v>
      </c>
      <c r="N1465" s="4">
        <v>2583.12</v>
      </c>
    </row>
    <row r="1466" spans="1:14" x14ac:dyDescent="0.25">
      <c r="A1466" s="2" t="s">
        <v>163</v>
      </c>
      <c r="B1466" s="2" t="s">
        <v>164</v>
      </c>
      <c r="C1466" s="3">
        <v>8</v>
      </c>
      <c r="D1466" s="4">
        <v>82.88</v>
      </c>
      <c r="E1466" s="4">
        <v>55.92</v>
      </c>
      <c r="F1466" s="4">
        <f t="shared" si="97"/>
        <v>26.959999999999994</v>
      </c>
      <c r="G1466" s="5">
        <f t="shared" si="98"/>
        <v>0.32528957528957525</v>
      </c>
      <c r="H1466" s="2" t="s">
        <v>1073</v>
      </c>
      <c r="I1466" s="6" t="s">
        <v>32</v>
      </c>
      <c r="J1466" s="2" t="s">
        <v>1074</v>
      </c>
      <c r="K1466" s="2" t="s">
        <v>5</v>
      </c>
      <c r="L1466" s="2" t="s">
        <v>28</v>
      </c>
      <c r="M1466" s="2" t="s">
        <v>5</v>
      </c>
      <c r="N1466" s="4">
        <v>2583.12</v>
      </c>
    </row>
    <row r="1467" spans="1:14" x14ac:dyDescent="0.25">
      <c r="A1467" s="2" t="s">
        <v>163</v>
      </c>
      <c r="B1467" s="2" t="s">
        <v>164</v>
      </c>
      <c r="C1467" s="3">
        <v>16</v>
      </c>
      <c r="D1467" s="4">
        <v>165.76</v>
      </c>
      <c r="E1467" s="4">
        <v>111.84</v>
      </c>
      <c r="F1467" s="4">
        <f t="shared" si="97"/>
        <v>53.919999999999987</v>
      </c>
      <c r="G1467" s="5">
        <f t="shared" si="98"/>
        <v>0.32528957528957525</v>
      </c>
      <c r="H1467" s="2" t="s">
        <v>1071</v>
      </c>
      <c r="I1467" s="6" t="s">
        <v>69</v>
      </c>
      <c r="J1467" s="2" t="s">
        <v>1072</v>
      </c>
      <c r="K1467" s="2" t="s">
        <v>5</v>
      </c>
      <c r="L1467" s="2" t="s">
        <v>28</v>
      </c>
      <c r="M1467" s="2" t="s">
        <v>5</v>
      </c>
      <c r="N1467" s="4">
        <v>2226.61</v>
      </c>
    </row>
    <row r="1468" spans="1:14" x14ac:dyDescent="0.25">
      <c r="A1468" s="2" t="s">
        <v>1107</v>
      </c>
      <c r="B1468" s="2" t="s">
        <v>1108</v>
      </c>
      <c r="C1468" s="3">
        <v>2</v>
      </c>
      <c r="D1468" s="4">
        <v>83.18</v>
      </c>
      <c r="E1468" s="4">
        <v>58</v>
      </c>
      <c r="F1468" s="4">
        <f t="shared" si="97"/>
        <v>25.180000000000007</v>
      </c>
      <c r="G1468" s="5">
        <f t="shared" si="98"/>
        <v>0.30271699927867279</v>
      </c>
      <c r="H1468" s="2" t="s">
        <v>1071</v>
      </c>
      <c r="I1468" s="6" t="s">
        <v>69</v>
      </c>
      <c r="J1468" s="2" t="s">
        <v>1072</v>
      </c>
      <c r="K1468" s="2" t="s">
        <v>5</v>
      </c>
      <c r="L1468" s="2" t="s">
        <v>28</v>
      </c>
      <c r="M1468" s="2" t="s">
        <v>5</v>
      </c>
      <c r="N1468" s="4">
        <v>2226.61</v>
      </c>
    </row>
    <row r="1469" spans="1:14" x14ac:dyDescent="0.25">
      <c r="A1469" s="2" t="s">
        <v>1107</v>
      </c>
      <c r="B1469" s="2" t="s">
        <v>1108</v>
      </c>
      <c r="C1469" s="3">
        <v>5</v>
      </c>
      <c r="D1469" s="4">
        <v>207.95</v>
      </c>
      <c r="E1469" s="4">
        <v>145</v>
      </c>
      <c r="F1469" s="4">
        <f t="shared" si="97"/>
        <v>62.949999999999989</v>
      </c>
      <c r="G1469" s="5">
        <f t="shared" si="98"/>
        <v>0.30271699927867274</v>
      </c>
      <c r="H1469" s="2" t="s">
        <v>1073</v>
      </c>
      <c r="I1469" s="6" t="s">
        <v>32</v>
      </c>
      <c r="J1469" s="2" t="s">
        <v>1074</v>
      </c>
      <c r="K1469" s="2" t="s">
        <v>5</v>
      </c>
      <c r="L1469" s="2" t="s">
        <v>28</v>
      </c>
      <c r="M1469" s="2" t="s">
        <v>5</v>
      </c>
      <c r="N1469" s="4">
        <v>2583.12</v>
      </c>
    </row>
    <row r="1470" spans="1:14" x14ac:dyDescent="0.25">
      <c r="A1470" s="2" t="s">
        <v>1109</v>
      </c>
      <c r="B1470" s="2" t="s">
        <v>1110</v>
      </c>
      <c r="C1470" s="3">
        <v>1</v>
      </c>
      <c r="D1470" s="4">
        <v>41.96</v>
      </c>
      <c r="E1470" s="4">
        <v>29.3</v>
      </c>
      <c r="F1470" s="4">
        <f t="shared" si="97"/>
        <v>12.66</v>
      </c>
      <c r="G1470" s="5">
        <f t="shared" si="98"/>
        <v>0.30171591992373686</v>
      </c>
      <c r="H1470" s="2" t="s">
        <v>1071</v>
      </c>
      <c r="I1470" s="6" t="s">
        <v>69</v>
      </c>
      <c r="J1470" s="2" t="s">
        <v>1072</v>
      </c>
      <c r="K1470" s="2" t="s">
        <v>5</v>
      </c>
      <c r="L1470" s="2" t="s">
        <v>28</v>
      </c>
      <c r="M1470" s="2" t="s">
        <v>5</v>
      </c>
      <c r="N1470" s="4">
        <v>2226.61</v>
      </c>
    </row>
    <row r="1471" spans="1:14" x14ac:dyDescent="0.25">
      <c r="A1471" s="2" t="s">
        <v>1109</v>
      </c>
      <c r="B1471" s="2" t="s">
        <v>1110</v>
      </c>
      <c r="C1471" s="3">
        <v>1</v>
      </c>
      <c r="D1471" s="4">
        <v>41.96</v>
      </c>
      <c r="E1471" s="4">
        <v>29.3</v>
      </c>
      <c r="F1471" s="4">
        <f t="shared" si="97"/>
        <v>12.66</v>
      </c>
      <c r="G1471" s="5">
        <f t="shared" si="98"/>
        <v>0.30171591992373686</v>
      </c>
      <c r="H1471" s="2" t="s">
        <v>1073</v>
      </c>
      <c r="I1471" s="6" t="s">
        <v>32</v>
      </c>
      <c r="J1471" s="2" t="s">
        <v>1074</v>
      </c>
      <c r="K1471" s="2" t="s">
        <v>5</v>
      </c>
      <c r="L1471" s="2" t="s">
        <v>28</v>
      </c>
      <c r="M1471" s="2" t="s">
        <v>5</v>
      </c>
      <c r="N1471" s="4">
        <v>2583.12</v>
      </c>
    </row>
    <row r="1472" spans="1:14" x14ac:dyDescent="0.25">
      <c r="A1472" s="2" t="s">
        <v>1111</v>
      </c>
      <c r="B1472" s="2" t="s">
        <v>1112</v>
      </c>
      <c r="C1472" s="3">
        <v>1</v>
      </c>
      <c r="D1472" s="4">
        <v>41.66</v>
      </c>
      <c r="E1472" s="4">
        <v>29.08</v>
      </c>
      <c r="F1472" s="4">
        <f t="shared" si="97"/>
        <v>12.579999999999998</v>
      </c>
      <c r="G1472" s="5">
        <f t="shared" si="98"/>
        <v>0.30196831493038884</v>
      </c>
      <c r="H1472" s="2" t="s">
        <v>1071</v>
      </c>
      <c r="I1472" s="6" t="s">
        <v>69</v>
      </c>
      <c r="J1472" s="2" t="s">
        <v>1072</v>
      </c>
      <c r="K1472" s="2" t="s">
        <v>5</v>
      </c>
      <c r="L1472" s="2" t="s">
        <v>28</v>
      </c>
      <c r="M1472" s="2" t="s">
        <v>5</v>
      </c>
      <c r="N1472" s="4">
        <v>2226.61</v>
      </c>
    </row>
    <row r="1473" spans="1:14" x14ac:dyDescent="0.25">
      <c r="A1473" s="2" t="s">
        <v>1113</v>
      </c>
      <c r="B1473" s="2" t="s">
        <v>1114</v>
      </c>
      <c r="C1473" s="3">
        <v>2</v>
      </c>
      <c r="D1473" s="4">
        <v>51.96</v>
      </c>
      <c r="E1473" s="4">
        <v>35</v>
      </c>
      <c r="F1473" s="4">
        <f t="shared" si="97"/>
        <v>16.96</v>
      </c>
      <c r="G1473" s="5">
        <f t="shared" si="98"/>
        <v>0.32640492686682065</v>
      </c>
      <c r="H1473" s="2" t="s">
        <v>1071</v>
      </c>
      <c r="I1473" s="6" t="s">
        <v>69</v>
      </c>
      <c r="J1473" s="2" t="s">
        <v>1072</v>
      </c>
      <c r="K1473" s="2" t="s">
        <v>5</v>
      </c>
      <c r="L1473" s="2" t="s">
        <v>28</v>
      </c>
      <c r="M1473" s="2" t="s">
        <v>5</v>
      </c>
      <c r="N1473" s="4">
        <v>2226.61</v>
      </c>
    </row>
    <row r="1474" spans="1:14" x14ac:dyDescent="0.25">
      <c r="A1474" s="2" t="s">
        <v>1115</v>
      </c>
      <c r="B1474" s="2" t="s">
        <v>1116</v>
      </c>
      <c r="C1474" s="3">
        <v>4</v>
      </c>
      <c r="D1474" s="4">
        <v>83.04</v>
      </c>
      <c r="E1474" s="4">
        <v>56</v>
      </c>
      <c r="F1474" s="4">
        <f t="shared" si="97"/>
        <v>27.040000000000006</v>
      </c>
      <c r="G1474" s="5">
        <f t="shared" si="98"/>
        <v>0.32562620423892108</v>
      </c>
      <c r="H1474" s="2" t="s">
        <v>1073</v>
      </c>
      <c r="I1474" s="6" t="s">
        <v>32</v>
      </c>
      <c r="J1474" s="2" t="s">
        <v>1074</v>
      </c>
      <c r="K1474" s="2" t="s">
        <v>5</v>
      </c>
      <c r="L1474" s="2" t="s">
        <v>28</v>
      </c>
      <c r="M1474" s="2" t="s">
        <v>5</v>
      </c>
      <c r="N1474" s="4">
        <v>2583.12</v>
      </c>
    </row>
    <row r="1475" spans="1:14" x14ac:dyDescent="0.25">
      <c r="A1475" s="2" t="s">
        <v>1117</v>
      </c>
      <c r="B1475" s="2" t="s">
        <v>1118</v>
      </c>
      <c r="C1475" s="3">
        <v>8</v>
      </c>
      <c r="D1475" s="4">
        <v>198.56</v>
      </c>
      <c r="E1475" s="4">
        <v>133.91999999999999</v>
      </c>
      <c r="F1475" s="4">
        <f t="shared" si="97"/>
        <v>64.640000000000015</v>
      </c>
      <c r="G1475" s="5">
        <f t="shared" si="98"/>
        <v>0.32554391619661571</v>
      </c>
      <c r="H1475" s="2" t="s">
        <v>1071</v>
      </c>
      <c r="I1475" s="6" t="s">
        <v>69</v>
      </c>
      <c r="J1475" s="2" t="s">
        <v>1072</v>
      </c>
      <c r="K1475" s="2" t="s">
        <v>5</v>
      </c>
      <c r="L1475" s="2" t="s">
        <v>28</v>
      </c>
      <c r="M1475" s="2" t="s">
        <v>5</v>
      </c>
      <c r="N1475" s="4">
        <v>2226.61</v>
      </c>
    </row>
    <row r="1476" spans="1:14" x14ac:dyDescent="0.25">
      <c r="A1476" s="2" t="s">
        <v>1117</v>
      </c>
      <c r="B1476" s="2" t="s">
        <v>1118</v>
      </c>
      <c r="C1476" s="3">
        <v>4</v>
      </c>
      <c r="D1476" s="4">
        <v>99.28</v>
      </c>
      <c r="E1476" s="4">
        <v>66.959999999999994</v>
      </c>
      <c r="F1476" s="4">
        <f t="shared" si="97"/>
        <v>32.320000000000007</v>
      </c>
      <c r="G1476" s="5">
        <f t="shared" si="98"/>
        <v>0.32554391619661571</v>
      </c>
      <c r="H1476" s="2" t="s">
        <v>1073</v>
      </c>
      <c r="I1476" s="6" t="s">
        <v>32</v>
      </c>
      <c r="J1476" s="2" t="s">
        <v>1074</v>
      </c>
      <c r="K1476" s="2" t="s">
        <v>5</v>
      </c>
      <c r="L1476" s="2" t="s">
        <v>28</v>
      </c>
      <c r="M1476" s="2" t="s">
        <v>5</v>
      </c>
      <c r="N1476" s="4">
        <v>2583.12</v>
      </c>
    </row>
    <row r="1477" spans="1:14" x14ac:dyDescent="0.25">
      <c r="A1477" s="2" t="s">
        <v>1119</v>
      </c>
      <c r="B1477" s="2" t="s">
        <v>1120</v>
      </c>
      <c r="C1477" s="3">
        <v>1</v>
      </c>
      <c r="D1477" s="4">
        <v>53</v>
      </c>
      <c r="E1477" s="4">
        <v>35.75</v>
      </c>
      <c r="F1477" s="4">
        <f t="shared" si="97"/>
        <v>17.25</v>
      </c>
      <c r="G1477" s="5">
        <f t="shared" si="98"/>
        <v>0.32547169811320753</v>
      </c>
      <c r="H1477" s="2" t="s">
        <v>1073</v>
      </c>
      <c r="I1477" s="6" t="s">
        <v>32</v>
      </c>
      <c r="J1477" s="2" t="s">
        <v>1074</v>
      </c>
      <c r="K1477" s="2" t="s">
        <v>5</v>
      </c>
      <c r="L1477" s="2" t="s">
        <v>28</v>
      </c>
      <c r="M1477" s="2" t="s">
        <v>5</v>
      </c>
      <c r="N1477" s="4">
        <v>2583.12</v>
      </c>
    </row>
    <row r="1478" spans="1:14" x14ac:dyDescent="0.25">
      <c r="A1478" s="2" t="s">
        <v>1121</v>
      </c>
      <c r="B1478" s="2" t="s">
        <v>1122</v>
      </c>
      <c r="C1478" s="3">
        <v>1</v>
      </c>
      <c r="D1478" s="4">
        <v>61.53</v>
      </c>
      <c r="E1478" s="4">
        <v>41.5</v>
      </c>
      <c r="F1478" s="4">
        <f t="shared" si="97"/>
        <v>20.03</v>
      </c>
      <c r="G1478" s="5">
        <f t="shared" si="98"/>
        <v>0.32553226068584434</v>
      </c>
      <c r="H1478" s="2" t="s">
        <v>1073</v>
      </c>
      <c r="I1478" s="6" t="s">
        <v>32</v>
      </c>
      <c r="J1478" s="2" t="s">
        <v>1074</v>
      </c>
      <c r="K1478" s="2" t="s">
        <v>5</v>
      </c>
      <c r="L1478" s="2" t="s">
        <v>28</v>
      </c>
      <c r="M1478" s="2" t="s">
        <v>5</v>
      </c>
      <c r="N1478" s="4">
        <v>2583.12</v>
      </c>
    </row>
    <row r="1480" spans="1:14" x14ac:dyDescent="0.25">
      <c r="A1480" s="13" t="s">
        <v>59</v>
      </c>
      <c r="B1480" s="21"/>
      <c r="C1480" s="22">
        <f>SUM(C1439:C1479)</f>
        <v>158.93</v>
      </c>
      <c r="D1480" s="23">
        <f>SUM(D1439:D1479)</f>
        <v>4764.161399999999</v>
      </c>
      <c r="E1480" s="23">
        <f>SUM(E1439:E1479)</f>
        <v>3236.6350000000007</v>
      </c>
      <c r="F1480" s="23">
        <f>D1480-E1480</f>
        <v>1527.5263999999984</v>
      </c>
      <c r="G1480" s="24">
        <f>IF(((D1480)=0),0,(D1480-E1480)/ D1480)</f>
        <v>0.32062860003021698</v>
      </c>
      <c r="H1480" s="21"/>
      <c r="I1480" s="21"/>
      <c r="J1480" s="21"/>
      <c r="K1480" s="21"/>
      <c r="L1480" s="21"/>
      <c r="M1480" s="21"/>
      <c r="N1480" s="21"/>
    </row>
    <row r="1482" spans="1:14" s="17" customFormat="1" ht="18.75" x14ac:dyDescent="0.3"/>
    <row r="1483" spans="1:14" s="7" customFormat="1" x14ac:dyDescent="0.25">
      <c r="A1483" s="13" t="s">
        <v>1123</v>
      </c>
      <c r="B1483" s="18" t="s">
        <v>1124</v>
      </c>
      <c r="C1483" s="19"/>
      <c r="D1483" s="20" t="s">
        <v>5</v>
      </c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</row>
    <row r="1485" spans="1:14" x14ac:dyDescent="0.25">
      <c r="A1485" s="2" t="s">
        <v>1069</v>
      </c>
      <c r="B1485" s="2" t="s">
        <v>1070</v>
      </c>
      <c r="C1485" s="3">
        <v>25</v>
      </c>
      <c r="D1485" s="4">
        <v>385.5</v>
      </c>
      <c r="E1485" s="4">
        <v>260</v>
      </c>
      <c r="F1485" s="4">
        <f t="shared" ref="F1485:F1516" si="99">D1485-E1485</f>
        <v>125.5</v>
      </c>
      <c r="G1485" s="5">
        <f t="shared" ref="G1485:G1516" si="100">IF(((D1485)=0),0,(D1485-E1485)/ D1485)</f>
        <v>0.32555123216601817</v>
      </c>
      <c r="H1485" s="2" t="s">
        <v>1125</v>
      </c>
      <c r="I1485" s="6" t="s">
        <v>32</v>
      </c>
      <c r="J1485" s="2" t="s">
        <v>1126</v>
      </c>
      <c r="K1485" s="2" t="s">
        <v>5</v>
      </c>
      <c r="L1485" s="2" t="s">
        <v>28</v>
      </c>
      <c r="M1485" s="2" t="s">
        <v>5</v>
      </c>
      <c r="N1485" s="4">
        <v>6575.31</v>
      </c>
    </row>
    <row r="1486" spans="1:14" x14ac:dyDescent="0.25">
      <c r="A1486" s="2" t="s">
        <v>1069</v>
      </c>
      <c r="B1486" s="2" t="s">
        <v>1070</v>
      </c>
      <c r="C1486" s="3">
        <v>20</v>
      </c>
      <c r="D1486" s="4">
        <v>308.39999999999998</v>
      </c>
      <c r="E1486" s="4">
        <v>208</v>
      </c>
      <c r="F1486" s="4">
        <f t="shared" si="99"/>
        <v>100.39999999999998</v>
      </c>
      <c r="G1486" s="5">
        <f t="shared" si="100"/>
        <v>0.32555123216601811</v>
      </c>
      <c r="H1486" s="2" t="s">
        <v>1127</v>
      </c>
      <c r="I1486" s="6" t="s">
        <v>69</v>
      </c>
      <c r="J1486" s="2" t="s">
        <v>1128</v>
      </c>
      <c r="K1486" s="2" t="s">
        <v>5</v>
      </c>
      <c r="L1486" s="2" t="s">
        <v>28</v>
      </c>
      <c r="M1486" s="2" t="s">
        <v>5</v>
      </c>
      <c r="N1486" s="4">
        <v>4305.1499999999996</v>
      </c>
    </row>
    <row r="1487" spans="1:14" x14ac:dyDescent="0.25">
      <c r="A1487" s="2" t="s">
        <v>1129</v>
      </c>
      <c r="B1487" s="2" t="s">
        <v>1130</v>
      </c>
      <c r="C1487" s="3">
        <v>12</v>
      </c>
      <c r="D1487" s="4">
        <v>191.4</v>
      </c>
      <c r="E1487" s="4">
        <v>141.12</v>
      </c>
      <c r="F1487" s="4">
        <f t="shared" si="99"/>
        <v>50.28</v>
      </c>
      <c r="G1487" s="5">
        <f t="shared" si="100"/>
        <v>0.26269592476489029</v>
      </c>
      <c r="H1487" s="2" t="s">
        <v>1127</v>
      </c>
      <c r="I1487" s="6" t="s">
        <v>69</v>
      </c>
      <c r="J1487" s="2" t="s">
        <v>1128</v>
      </c>
      <c r="K1487" s="2" t="s">
        <v>5</v>
      </c>
      <c r="L1487" s="2" t="s">
        <v>28</v>
      </c>
      <c r="M1487" s="2" t="s">
        <v>5</v>
      </c>
      <c r="N1487" s="4">
        <v>4305.1499999999996</v>
      </c>
    </row>
    <row r="1488" spans="1:14" x14ac:dyDescent="0.25">
      <c r="A1488" s="2" t="s">
        <v>1129</v>
      </c>
      <c r="B1488" s="2" t="s">
        <v>1130</v>
      </c>
      <c r="C1488" s="3">
        <v>12</v>
      </c>
      <c r="D1488" s="4">
        <v>191.4</v>
      </c>
      <c r="E1488" s="4">
        <v>141.12</v>
      </c>
      <c r="F1488" s="4">
        <f t="shared" si="99"/>
        <v>50.28</v>
      </c>
      <c r="G1488" s="5">
        <f t="shared" si="100"/>
        <v>0.26269592476489029</v>
      </c>
      <c r="H1488" s="2" t="s">
        <v>1125</v>
      </c>
      <c r="I1488" s="6" t="s">
        <v>32</v>
      </c>
      <c r="J1488" s="2" t="s">
        <v>1126</v>
      </c>
      <c r="K1488" s="2" t="s">
        <v>5</v>
      </c>
      <c r="L1488" s="2" t="s">
        <v>28</v>
      </c>
      <c r="M1488" s="2" t="s">
        <v>5</v>
      </c>
      <c r="N1488" s="4">
        <v>6575.31</v>
      </c>
    </row>
    <row r="1489" spans="1:14" x14ac:dyDescent="0.25">
      <c r="A1489" s="2" t="s">
        <v>1075</v>
      </c>
      <c r="B1489" s="2" t="s">
        <v>1076</v>
      </c>
      <c r="C1489" s="3">
        <v>5</v>
      </c>
      <c r="D1489" s="4">
        <v>141.80000000000001</v>
      </c>
      <c r="E1489" s="4">
        <v>95.65</v>
      </c>
      <c r="F1489" s="4">
        <f t="shared" si="99"/>
        <v>46.150000000000006</v>
      </c>
      <c r="G1489" s="5">
        <f t="shared" si="100"/>
        <v>0.32545839210155147</v>
      </c>
      <c r="H1489" s="2" t="s">
        <v>1127</v>
      </c>
      <c r="I1489" s="6" t="s">
        <v>69</v>
      </c>
      <c r="J1489" s="2" t="s">
        <v>1128</v>
      </c>
      <c r="K1489" s="2" t="s">
        <v>5</v>
      </c>
      <c r="L1489" s="2" t="s">
        <v>28</v>
      </c>
      <c r="M1489" s="2" t="s">
        <v>5</v>
      </c>
      <c r="N1489" s="4">
        <v>4305.1499999999996</v>
      </c>
    </row>
    <row r="1490" spans="1:14" x14ac:dyDescent="0.25">
      <c r="A1490" s="2" t="s">
        <v>1075</v>
      </c>
      <c r="B1490" s="2" t="s">
        <v>1076</v>
      </c>
      <c r="C1490" s="3">
        <v>-1</v>
      </c>
      <c r="D1490" s="4">
        <v>-28.36</v>
      </c>
      <c r="E1490" s="4">
        <v>-19.13</v>
      </c>
      <c r="F1490" s="4">
        <f t="shared" si="99"/>
        <v>-9.23</v>
      </c>
      <c r="G1490" s="5">
        <f t="shared" si="100"/>
        <v>0.32545839210155153</v>
      </c>
      <c r="H1490" s="2" t="s">
        <v>1131</v>
      </c>
      <c r="I1490" s="6" t="s">
        <v>25</v>
      </c>
      <c r="J1490" s="2" t="s">
        <v>1126</v>
      </c>
      <c r="K1490" s="2" t="s">
        <v>5</v>
      </c>
      <c r="L1490" s="2" t="s">
        <v>332</v>
      </c>
      <c r="M1490" s="2" t="s">
        <v>5</v>
      </c>
      <c r="N1490" s="4">
        <v>-28.36</v>
      </c>
    </row>
    <row r="1491" spans="1:14" x14ac:dyDescent="0.25">
      <c r="A1491" s="2" t="s">
        <v>1075</v>
      </c>
      <c r="B1491" s="2" t="s">
        <v>1076</v>
      </c>
      <c r="C1491" s="3">
        <v>15</v>
      </c>
      <c r="D1491" s="4">
        <v>425.4</v>
      </c>
      <c r="E1491" s="4">
        <v>286.95</v>
      </c>
      <c r="F1491" s="4">
        <f t="shared" si="99"/>
        <v>138.44999999999999</v>
      </c>
      <c r="G1491" s="5">
        <f t="shared" si="100"/>
        <v>0.32545839210155147</v>
      </c>
      <c r="H1491" s="2" t="s">
        <v>1125</v>
      </c>
      <c r="I1491" s="6" t="s">
        <v>32</v>
      </c>
      <c r="J1491" s="2" t="s">
        <v>1126</v>
      </c>
      <c r="K1491" s="2" t="s">
        <v>5</v>
      </c>
      <c r="L1491" s="2" t="s">
        <v>28</v>
      </c>
      <c r="M1491" s="2" t="s">
        <v>5</v>
      </c>
      <c r="N1491" s="4">
        <v>6575.31</v>
      </c>
    </row>
    <row r="1492" spans="1:14" x14ac:dyDescent="0.25">
      <c r="A1492" s="2" t="s">
        <v>1077</v>
      </c>
      <c r="B1492" s="2" t="s">
        <v>1078</v>
      </c>
      <c r="C1492" s="3">
        <v>18</v>
      </c>
      <c r="D1492" s="4">
        <v>404.28</v>
      </c>
      <c r="E1492" s="4">
        <v>272.7</v>
      </c>
      <c r="F1492" s="4">
        <f t="shared" si="99"/>
        <v>131.57999999999998</v>
      </c>
      <c r="G1492" s="5">
        <f t="shared" si="100"/>
        <v>0.32546749777382011</v>
      </c>
      <c r="H1492" s="2" t="s">
        <v>1125</v>
      </c>
      <c r="I1492" s="6" t="s">
        <v>32</v>
      </c>
      <c r="J1492" s="2" t="s">
        <v>1126</v>
      </c>
      <c r="K1492" s="2" t="s">
        <v>5</v>
      </c>
      <c r="L1492" s="2" t="s">
        <v>28</v>
      </c>
      <c r="M1492" s="2" t="s">
        <v>5</v>
      </c>
      <c r="N1492" s="4">
        <v>6575.31</v>
      </c>
    </row>
    <row r="1493" spans="1:14" x14ac:dyDescent="0.25">
      <c r="A1493" s="2" t="s">
        <v>1077</v>
      </c>
      <c r="B1493" s="2" t="s">
        <v>1078</v>
      </c>
      <c r="C1493" s="3">
        <v>9</v>
      </c>
      <c r="D1493" s="4">
        <v>202.14</v>
      </c>
      <c r="E1493" s="4">
        <v>136.35</v>
      </c>
      <c r="F1493" s="4">
        <f t="shared" si="99"/>
        <v>65.789999999999992</v>
      </c>
      <c r="G1493" s="5">
        <f t="shared" si="100"/>
        <v>0.32546749777382011</v>
      </c>
      <c r="H1493" s="2" t="s">
        <v>1127</v>
      </c>
      <c r="I1493" s="6" t="s">
        <v>69</v>
      </c>
      <c r="J1493" s="2" t="s">
        <v>1128</v>
      </c>
      <c r="K1493" s="2" t="s">
        <v>5</v>
      </c>
      <c r="L1493" s="2" t="s">
        <v>28</v>
      </c>
      <c r="M1493" s="2" t="s">
        <v>5</v>
      </c>
      <c r="N1493" s="4">
        <v>4305.1499999999996</v>
      </c>
    </row>
    <row r="1494" spans="1:14" x14ac:dyDescent="0.25">
      <c r="A1494" s="2" t="s">
        <v>1079</v>
      </c>
      <c r="B1494" s="2" t="s">
        <v>1080</v>
      </c>
      <c r="C1494" s="3">
        <v>2</v>
      </c>
      <c r="D1494" s="4">
        <v>150.66</v>
      </c>
      <c r="E1494" s="4">
        <v>103</v>
      </c>
      <c r="F1494" s="4">
        <f t="shared" si="99"/>
        <v>47.66</v>
      </c>
      <c r="G1494" s="5">
        <f t="shared" si="100"/>
        <v>0.31634143103677154</v>
      </c>
      <c r="H1494" s="2" t="s">
        <v>1127</v>
      </c>
      <c r="I1494" s="6" t="s">
        <v>69</v>
      </c>
      <c r="J1494" s="2" t="s">
        <v>1128</v>
      </c>
      <c r="K1494" s="2" t="s">
        <v>5</v>
      </c>
      <c r="L1494" s="2" t="s">
        <v>28</v>
      </c>
      <c r="M1494" s="2" t="s">
        <v>5</v>
      </c>
      <c r="N1494" s="4">
        <v>4305.1499999999996</v>
      </c>
    </row>
    <row r="1495" spans="1:14" x14ac:dyDescent="0.25">
      <c r="A1495" s="2" t="s">
        <v>1079</v>
      </c>
      <c r="B1495" s="2" t="s">
        <v>1080</v>
      </c>
      <c r="C1495" s="3">
        <v>5</v>
      </c>
      <c r="D1495" s="4">
        <v>376.65</v>
      </c>
      <c r="E1495" s="4">
        <v>257.5</v>
      </c>
      <c r="F1495" s="4">
        <f t="shared" si="99"/>
        <v>119.14999999999998</v>
      </c>
      <c r="G1495" s="5">
        <f t="shared" si="100"/>
        <v>0.31634143103677148</v>
      </c>
      <c r="H1495" s="2" t="s">
        <v>1125</v>
      </c>
      <c r="I1495" s="6" t="s">
        <v>32</v>
      </c>
      <c r="J1495" s="2" t="s">
        <v>1126</v>
      </c>
      <c r="K1495" s="2" t="s">
        <v>5</v>
      </c>
      <c r="L1495" s="2" t="s">
        <v>28</v>
      </c>
      <c r="M1495" s="2" t="s">
        <v>5</v>
      </c>
      <c r="N1495" s="4">
        <v>6575.31</v>
      </c>
    </row>
    <row r="1496" spans="1:14" x14ac:dyDescent="0.25">
      <c r="A1496" s="2" t="s">
        <v>1081</v>
      </c>
      <c r="B1496" s="2" t="s">
        <v>1082</v>
      </c>
      <c r="C1496" s="3">
        <v>3</v>
      </c>
      <c r="D1496" s="4">
        <v>155.66999999999999</v>
      </c>
      <c r="E1496" s="4">
        <v>106.5</v>
      </c>
      <c r="F1496" s="4">
        <f t="shared" si="99"/>
        <v>49.169999999999987</v>
      </c>
      <c r="G1496" s="5">
        <f t="shared" si="100"/>
        <v>0.31586047407978413</v>
      </c>
      <c r="H1496" s="2" t="s">
        <v>1125</v>
      </c>
      <c r="I1496" s="6" t="s">
        <v>32</v>
      </c>
      <c r="J1496" s="2" t="s">
        <v>1126</v>
      </c>
      <c r="K1496" s="2" t="s">
        <v>5</v>
      </c>
      <c r="L1496" s="2" t="s">
        <v>28</v>
      </c>
      <c r="M1496" s="2" t="s">
        <v>5</v>
      </c>
      <c r="N1496" s="4">
        <v>6575.31</v>
      </c>
    </row>
    <row r="1497" spans="1:14" x14ac:dyDescent="0.25">
      <c r="A1497" s="2" t="s">
        <v>1081</v>
      </c>
      <c r="B1497" s="2" t="s">
        <v>1082</v>
      </c>
      <c r="C1497" s="3">
        <v>2</v>
      </c>
      <c r="D1497" s="4">
        <v>103.78</v>
      </c>
      <c r="E1497" s="4">
        <v>71</v>
      </c>
      <c r="F1497" s="4">
        <f t="shared" si="99"/>
        <v>32.78</v>
      </c>
      <c r="G1497" s="5">
        <f t="shared" si="100"/>
        <v>0.31586047407978418</v>
      </c>
      <c r="H1497" s="2" t="s">
        <v>1127</v>
      </c>
      <c r="I1497" s="6" t="s">
        <v>69</v>
      </c>
      <c r="J1497" s="2" t="s">
        <v>1128</v>
      </c>
      <c r="K1497" s="2" t="s">
        <v>5</v>
      </c>
      <c r="L1497" s="2" t="s">
        <v>28</v>
      </c>
      <c r="M1497" s="2" t="s">
        <v>5</v>
      </c>
      <c r="N1497" s="4">
        <v>4305.1499999999996</v>
      </c>
    </row>
    <row r="1498" spans="1:14" x14ac:dyDescent="0.25">
      <c r="A1498" s="2" t="s">
        <v>1083</v>
      </c>
      <c r="B1498" s="2" t="s">
        <v>1084</v>
      </c>
      <c r="C1498" s="3">
        <v>1</v>
      </c>
      <c r="D1498" s="4">
        <v>120.24</v>
      </c>
      <c r="E1498" s="4">
        <v>81.099999999999994</v>
      </c>
      <c r="F1498" s="4">
        <f t="shared" si="99"/>
        <v>39.14</v>
      </c>
      <c r="G1498" s="5">
        <f t="shared" si="100"/>
        <v>0.32551563539587491</v>
      </c>
      <c r="H1498" s="2" t="s">
        <v>1127</v>
      </c>
      <c r="I1498" s="6" t="s">
        <v>69</v>
      </c>
      <c r="J1498" s="2" t="s">
        <v>1128</v>
      </c>
      <c r="K1498" s="2" t="s">
        <v>5</v>
      </c>
      <c r="L1498" s="2" t="s">
        <v>28</v>
      </c>
      <c r="M1498" s="2" t="s">
        <v>5</v>
      </c>
      <c r="N1498" s="4">
        <v>4305.1499999999996</v>
      </c>
    </row>
    <row r="1499" spans="1:14" x14ac:dyDescent="0.25">
      <c r="A1499" s="2" t="s">
        <v>1083</v>
      </c>
      <c r="B1499" s="2" t="s">
        <v>1084</v>
      </c>
      <c r="C1499" s="3">
        <v>1</v>
      </c>
      <c r="D1499" s="4">
        <v>120.24</v>
      </c>
      <c r="E1499" s="4">
        <v>81.099999999999994</v>
      </c>
      <c r="F1499" s="4">
        <f t="shared" si="99"/>
        <v>39.14</v>
      </c>
      <c r="G1499" s="5">
        <f t="shared" si="100"/>
        <v>0.32551563539587491</v>
      </c>
      <c r="H1499" s="2" t="s">
        <v>1125</v>
      </c>
      <c r="I1499" s="6" t="s">
        <v>32</v>
      </c>
      <c r="J1499" s="2" t="s">
        <v>1126</v>
      </c>
      <c r="K1499" s="2" t="s">
        <v>5</v>
      </c>
      <c r="L1499" s="2" t="s">
        <v>28</v>
      </c>
      <c r="M1499" s="2" t="s">
        <v>5</v>
      </c>
      <c r="N1499" s="4">
        <v>6575.31</v>
      </c>
    </row>
    <row r="1500" spans="1:14" x14ac:dyDescent="0.25">
      <c r="A1500" s="2" t="s">
        <v>1132</v>
      </c>
      <c r="B1500" s="2" t="s">
        <v>1133</v>
      </c>
      <c r="C1500" s="3">
        <v>1</v>
      </c>
      <c r="D1500" s="4">
        <v>98.44</v>
      </c>
      <c r="E1500" s="4">
        <v>66.400000000000006</v>
      </c>
      <c r="F1500" s="4">
        <f t="shared" si="99"/>
        <v>32.039999999999992</v>
      </c>
      <c r="G1500" s="5">
        <f t="shared" si="100"/>
        <v>0.32547744819179186</v>
      </c>
      <c r="H1500" s="2" t="s">
        <v>1125</v>
      </c>
      <c r="I1500" s="6" t="s">
        <v>32</v>
      </c>
      <c r="J1500" s="2" t="s">
        <v>1126</v>
      </c>
      <c r="K1500" s="2" t="s">
        <v>5</v>
      </c>
      <c r="L1500" s="2" t="s">
        <v>28</v>
      </c>
      <c r="M1500" s="2" t="s">
        <v>5</v>
      </c>
      <c r="N1500" s="4">
        <v>6575.31</v>
      </c>
    </row>
    <row r="1501" spans="1:14" x14ac:dyDescent="0.25">
      <c r="A1501" s="2" t="s">
        <v>1087</v>
      </c>
      <c r="B1501" s="2" t="s">
        <v>1088</v>
      </c>
      <c r="C1501" s="3">
        <v>4</v>
      </c>
      <c r="D1501" s="4">
        <v>56.56</v>
      </c>
      <c r="E1501" s="4">
        <v>38.159999999999997</v>
      </c>
      <c r="F1501" s="4">
        <f t="shared" si="99"/>
        <v>18.400000000000006</v>
      </c>
      <c r="G1501" s="5">
        <f t="shared" si="100"/>
        <v>0.32531824611032539</v>
      </c>
      <c r="H1501" s="2" t="s">
        <v>1127</v>
      </c>
      <c r="I1501" s="6" t="s">
        <v>69</v>
      </c>
      <c r="J1501" s="2" t="s">
        <v>1128</v>
      </c>
      <c r="K1501" s="2" t="s">
        <v>5</v>
      </c>
      <c r="L1501" s="2" t="s">
        <v>28</v>
      </c>
      <c r="M1501" s="2" t="s">
        <v>5</v>
      </c>
      <c r="N1501" s="4">
        <v>4305.1499999999996</v>
      </c>
    </row>
    <row r="1502" spans="1:14" x14ac:dyDescent="0.25">
      <c r="A1502" s="2" t="s">
        <v>1087</v>
      </c>
      <c r="B1502" s="2" t="s">
        <v>1088</v>
      </c>
      <c r="C1502" s="3">
        <v>12</v>
      </c>
      <c r="D1502" s="4">
        <v>169.68</v>
      </c>
      <c r="E1502" s="4">
        <v>114.48</v>
      </c>
      <c r="F1502" s="4">
        <f t="shared" si="99"/>
        <v>55.2</v>
      </c>
      <c r="G1502" s="5">
        <f t="shared" si="100"/>
        <v>0.32531824611032534</v>
      </c>
      <c r="H1502" s="2" t="s">
        <v>1125</v>
      </c>
      <c r="I1502" s="6" t="s">
        <v>32</v>
      </c>
      <c r="J1502" s="2" t="s">
        <v>1126</v>
      </c>
      <c r="K1502" s="2" t="s">
        <v>5</v>
      </c>
      <c r="L1502" s="2" t="s">
        <v>28</v>
      </c>
      <c r="M1502" s="2" t="s">
        <v>5</v>
      </c>
      <c r="N1502" s="4">
        <v>6575.31</v>
      </c>
    </row>
    <row r="1503" spans="1:14" x14ac:dyDescent="0.25">
      <c r="A1503" s="2" t="s">
        <v>1089</v>
      </c>
      <c r="B1503" s="2" t="s">
        <v>1090</v>
      </c>
      <c r="C1503" s="3">
        <v>1</v>
      </c>
      <c r="D1503" s="4">
        <v>23.35</v>
      </c>
      <c r="E1503" s="4">
        <v>15.75</v>
      </c>
      <c r="F1503" s="4">
        <f t="shared" si="99"/>
        <v>7.6000000000000014</v>
      </c>
      <c r="G1503" s="5">
        <f t="shared" si="100"/>
        <v>0.32548179871520344</v>
      </c>
      <c r="H1503" s="2" t="s">
        <v>1125</v>
      </c>
      <c r="I1503" s="6" t="s">
        <v>32</v>
      </c>
      <c r="J1503" s="2" t="s">
        <v>1126</v>
      </c>
      <c r="K1503" s="2" t="s">
        <v>5</v>
      </c>
      <c r="L1503" s="2" t="s">
        <v>28</v>
      </c>
      <c r="M1503" s="2" t="s">
        <v>5</v>
      </c>
      <c r="N1503" s="4">
        <v>6575.31</v>
      </c>
    </row>
    <row r="1504" spans="1:14" x14ac:dyDescent="0.25">
      <c r="A1504" s="2" t="s">
        <v>1134</v>
      </c>
      <c r="B1504" s="2" t="s">
        <v>1135</v>
      </c>
      <c r="C1504" s="3">
        <v>2</v>
      </c>
      <c r="D1504" s="4">
        <v>31.14</v>
      </c>
      <c r="E1504" s="4">
        <v>21</v>
      </c>
      <c r="F1504" s="4">
        <f t="shared" si="99"/>
        <v>10.14</v>
      </c>
      <c r="G1504" s="5">
        <f t="shared" si="100"/>
        <v>0.32562620423892102</v>
      </c>
      <c r="H1504" s="2" t="s">
        <v>1125</v>
      </c>
      <c r="I1504" s="6" t="s">
        <v>32</v>
      </c>
      <c r="J1504" s="2" t="s">
        <v>1126</v>
      </c>
      <c r="K1504" s="2" t="s">
        <v>5</v>
      </c>
      <c r="L1504" s="2" t="s">
        <v>28</v>
      </c>
      <c r="M1504" s="2" t="s">
        <v>5</v>
      </c>
      <c r="N1504" s="4">
        <v>6575.31</v>
      </c>
    </row>
    <row r="1505" spans="1:14" x14ac:dyDescent="0.25">
      <c r="A1505" s="2" t="s">
        <v>1091</v>
      </c>
      <c r="B1505" s="2" t="s">
        <v>1092</v>
      </c>
      <c r="C1505" s="3">
        <v>1</v>
      </c>
      <c r="D1505" s="4">
        <v>18.43</v>
      </c>
      <c r="E1505" s="4">
        <v>12.43</v>
      </c>
      <c r="F1505" s="4">
        <f t="shared" si="99"/>
        <v>6</v>
      </c>
      <c r="G1505" s="5">
        <f t="shared" si="100"/>
        <v>0.32555615843733043</v>
      </c>
      <c r="H1505" s="2" t="s">
        <v>1127</v>
      </c>
      <c r="I1505" s="6" t="s">
        <v>69</v>
      </c>
      <c r="J1505" s="2" t="s">
        <v>1128</v>
      </c>
      <c r="K1505" s="2" t="s">
        <v>5</v>
      </c>
      <c r="L1505" s="2" t="s">
        <v>28</v>
      </c>
      <c r="M1505" s="2" t="s">
        <v>5</v>
      </c>
      <c r="N1505" s="4">
        <v>4305.1499999999996</v>
      </c>
    </row>
    <row r="1506" spans="1:14" x14ac:dyDescent="0.25">
      <c r="A1506" s="2" t="s">
        <v>1136</v>
      </c>
      <c r="B1506" s="2" t="s">
        <v>1137</v>
      </c>
      <c r="C1506" s="3">
        <v>1</v>
      </c>
      <c r="D1506" s="4">
        <v>23.25</v>
      </c>
      <c r="E1506" s="4">
        <v>14.7</v>
      </c>
      <c r="F1506" s="4">
        <f t="shared" si="99"/>
        <v>8.5500000000000007</v>
      </c>
      <c r="G1506" s="5">
        <f t="shared" si="100"/>
        <v>0.36774193548387102</v>
      </c>
      <c r="H1506" s="2" t="s">
        <v>1127</v>
      </c>
      <c r="I1506" s="6" t="s">
        <v>69</v>
      </c>
      <c r="J1506" s="2" t="s">
        <v>1128</v>
      </c>
      <c r="K1506" s="2" t="s">
        <v>5</v>
      </c>
      <c r="L1506" s="2" t="s">
        <v>28</v>
      </c>
      <c r="M1506" s="2" t="s">
        <v>5</v>
      </c>
      <c r="N1506" s="4">
        <v>4305.1499999999996</v>
      </c>
    </row>
    <row r="1507" spans="1:14" x14ac:dyDescent="0.25">
      <c r="A1507" s="2" t="s">
        <v>1093</v>
      </c>
      <c r="B1507" s="2" t="s">
        <v>1094</v>
      </c>
      <c r="C1507" s="3">
        <v>12</v>
      </c>
      <c r="D1507" s="4">
        <v>153</v>
      </c>
      <c r="E1507" s="4">
        <v>103.2</v>
      </c>
      <c r="F1507" s="4">
        <f t="shared" si="99"/>
        <v>49.8</v>
      </c>
      <c r="G1507" s="5">
        <f t="shared" si="100"/>
        <v>0.32549019607843133</v>
      </c>
      <c r="H1507" s="2" t="s">
        <v>1125</v>
      </c>
      <c r="I1507" s="6" t="s">
        <v>32</v>
      </c>
      <c r="J1507" s="2" t="s">
        <v>1126</v>
      </c>
      <c r="K1507" s="2" t="s">
        <v>5</v>
      </c>
      <c r="L1507" s="2" t="s">
        <v>28</v>
      </c>
      <c r="M1507" s="2" t="s">
        <v>5</v>
      </c>
      <c r="N1507" s="4">
        <v>6575.31</v>
      </c>
    </row>
    <row r="1508" spans="1:14" x14ac:dyDescent="0.25">
      <c r="A1508" s="2" t="s">
        <v>1095</v>
      </c>
      <c r="B1508" s="2" t="s">
        <v>1096</v>
      </c>
      <c r="C1508" s="3">
        <v>1</v>
      </c>
      <c r="D1508" s="4">
        <v>46.63</v>
      </c>
      <c r="E1508" s="4">
        <v>31.19</v>
      </c>
      <c r="F1508" s="4">
        <f t="shared" si="99"/>
        <v>15.440000000000001</v>
      </c>
      <c r="G1508" s="5">
        <f t="shared" si="100"/>
        <v>0.33111730645507187</v>
      </c>
      <c r="H1508" s="2" t="s">
        <v>1125</v>
      </c>
      <c r="I1508" s="6" t="s">
        <v>32</v>
      </c>
      <c r="J1508" s="2" t="s">
        <v>1126</v>
      </c>
      <c r="K1508" s="2" t="s">
        <v>5</v>
      </c>
      <c r="L1508" s="2" t="s">
        <v>28</v>
      </c>
      <c r="M1508" s="2" t="s">
        <v>5</v>
      </c>
      <c r="N1508" s="4">
        <v>6575.31</v>
      </c>
    </row>
    <row r="1509" spans="1:14" x14ac:dyDescent="0.25">
      <c r="A1509" s="2" t="s">
        <v>1097</v>
      </c>
      <c r="B1509" s="2" t="s">
        <v>1098</v>
      </c>
      <c r="C1509" s="3">
        <v>8</v>
      </c>
      <c r="D1509" s="4">
        <v>1458.88</v>
      </c>
      <c r="E1509" s="4">
        <v>984</v>
      </c>
      <c r="F1509" s="4">
        <f t="shared" si="99"/>
        <v>474.88000000000011</v>
      </c>
      <c r="G1509" s="5">
        <f t="shared" si="100"/>
        <v>0.32550998025882877</v>
      </c>
      <c r="H1509" s="2" t="s">
        <v>1125</v>
      </c>
      <c r="I1509" s="6" t="s">
        <v>32</v>
      </c>
      <c r="J1509" s="2" t="s">
        <v>1126</v>
      </c>
      <c r="K1509" s="2" t="s">
        <v>5</v>
      </c>
      <c r="L1509" s="2" t="s">
        <v>28</v>
      </c>
      <c r="M1509" s="2" t="s">
        <v>5</v>
      </c>
      <c r="N1509" s="4">
        <v>6575.31</v>
      </c>
    </row>
    <row r="1510" spans="1:14" x14ac:dyDescent="0.25">
      <c r="A1510" s="2" t="s">
        <v>1097</v>
      </c>
      <c r="B1510" s="2" t="s">
        <v>1098</v>
      </c>
      <c r="C1510" s="3">
        <v>8</v>
      </c>
      <c r="D1510" s="4">
        <v>1458.88</v>
      </c>
      <c r="E1510" s="4">
        <v>984</v>
      </c>
      <c r="F1510" s="4">
        <f t="shared" si="99"/>
        <v>474.88000000000011</v>
      </c>
      <c r="G1510" s="5">
        <f t="shared" si="100"/>
        <v>0.32550998025882877</v>
      </c>
      <c r="H1510" s="2" t="s">
        <v>1127</v>
      </c>
      <c r="I1510" s="6" t="s">
        <v>69</v>
      </c>
      <c r="J1510" s="2" t="s">
        <v>1128</v>
      </c>
      <c r="K1510" s="2" t="s">
        <v>5</v>
      </c>
      <c r="L1510" s="2" t="s">
        <v>28</v>
      </c>
      <c r="M1510" s="2" t="s">
        <v>5</v>
      </c>
      <c r="N1510" s="4">
        <v>4305.1499999999996</v>
      </c>
    </row>
    <row r="1511" spans="1:14" x14ac:dyDescent="0.25">
      <c r="A1511" s="2" t="s">
        <v>1138</v>
      </c>
      <c r="B1511" s="2" t="s">
        <v>1139</v>
      </c>
      <c r="C1511" s="3">
        <v>1</v>
      </c>
      <c r="D1511" s="4">
        <v>30.42</v>
      </c>
      <c r="E1511" s="4">
        <v>20.52</v>
      </c>
      <c r="F1511" s="4">
        <f t="shared" si="99"/>
        <v>9.9000000000000021</v>
      </c>
      <c r="G1511" s="5">
        <f t="shared" si="100"/>
        <v>0.32544378698224857</v>
      </c>
      <c r="H1511" s="2" t="s">
        <v>1127</v>
      </c>
      <c r="I1511" s="6" t="s">
        <v>69</v>
      </c>
      <c r="J1511" s="2" t="s">
        <v>1128</v>
      </c>
      <c r="K1511" s="2" t="s">
        <v>5</v>
      </c>
      <c r="L1511" s="2" t="s">
        <v>28</v>
      </c>
      <c r="M1511" s="2" t="s">
        <v>5</v>
      </c>
      <c r="N1511" s="4">
        <v>4305.1499999999996</v>
      </c>
    </row>
    <row r="1512" spans="1:14" x14ac:dyDescent="0.25">
      <c r="A1512" s="2" t="s">
        <v>1138</v>
      </c>
      <c r="B1512" s="2" t="s">
        <v>1139</v>
      </c>
      <c r="C1512" s="3">
        <v>1</v>
      </c>
      <c r="D1512" s="4">
        <v>30.42</v>
      </c>
      <c r="E1512" s="4">
        <v>20.52</v>
      </c>
      <c r="F1512" s="4">
        <f t="shared" si="99"/>
        <v>9.9000000000000021</v>
      </c>
      <c r="G1512" s="5">
        <f t="shared" si="100"/>
        <v>0.32544378698224857</v>
      </c>
      <c r="H1512" s="2" t="s">
        <v>1125</v>
      </c>
      <c r="I1512" s="6" t="s">
        <v>32</v>
      </c>
      <c r="J1512" s="2" t="s">
        <v>1126</v>
      </c>
      <c r="K1512" s="2" t="s">
        <v>5</v>
      </c>
      <c r="L1512" s="2" t="s">
        <v>28</v>
      </c>
      <c r="M1512" s="2" t="s">
        <v>5</v>
      </c>
      <c r="N1512" s="4">
        <v>6575.31</v>
      </c>
    </row>
    <row r="1513" spans="1:14" x14ac:dyDescent="0.25">
      <c r="A1513" s="2" t="s">
        <v>1140</v>
      </c>
      <c r="B1513" s="2" t="s">
        <v>1141</v>
      </c>
      <c r="C1513" s="3">
        <v>1</v>
      </c>
      <c r="D1513" s="4">
        <v>5.89</v>
      </c>
      <c r="E1513" s="4">
        <v>3.97</v>
      </c>
      <c r="F1513" s="4">
        <f t="shared" si="99"/>
        <v>1.9199999999999995</v>
      </c>
      <c r="G1513" s="5">
        <f t="shared" si="100"/>
        <v>0.32597623089983013</v>
      </c>
      <c r="H1513" s="2" t="s">
        <v>1125</v>
      </c>
      <c r="I1513" s="6" t="s">
        <v>32</v>
      </c>
      <c r="J1513" s="2" t="s">
        <v>1126</v>
      </c>
      <c r="K1513" s="2" t="s">
        <v>5</v>
      </c>
      <c r="L1513" s="2" t="s">
        <v>28</v>
      </c>
      <c r="M1513" s="2" t="s">
        <v>5</v>
      </c>
      <c r="N1513" s="4">
        <v>6575.31</v>
      </c>
    </row>
    <row r="1514" spans="1:14" x14ac:dyDescent="0.25">
      <c r="A1514" s="2" t="s">
        <v>1142</v>
      </c>
      <c r="B1514" s="2" t="s">
        <v>1143</v>
      </c>
      <c r="C1514" s="3">
        <v>1</v>
      </c>
      <c r="D1514" s="4">
        <v>5.57</v>
      </c>
      <c r="E1514" s="4">
        <v>5.5</v>
      </c>
      <c r="F1514" s="4">
        <f t="shared" si="99"/>
        <v>7.0000000000000284E-2</v>
      </c>
      <c r="G1514" s="5">
        <f t="shared" si="100"/>
        <v>1.2567324955116747E-2</v>
      </c>
      <c r="H1514" s="2" t="s">
        <v>1125</v>
      </c>
      <c r="I1514" s="6" t="s">
        <v>32</v>
      </c>
      <c r="J1514" s="2" t="s">
        <v>1126</v>
      </c>
      <c r="K1514" s="2" t="s">
        <v>5</v>
      </c>
      <c r="L1514" s="2" t="s">
        <v>28</v>
      </c>
      <c r="M1514" s="2" t="s">
        <v>5</v>
      </c>
      <c r="N1514" s="4">
        <v>6575.31</v>
      </c>
    </row>
    <row r="1515" spans="1:14" x14ac:dyDescent="0.25">
      <c r="A1515" s="2" t="s">
        <v>1101</v>
      </c>
      <c r="B1515" s="2" t="s">
        <v>1102</v>
      </c>
      <c r="C1515" s="3">
        <v>2</v>
      </c>
      <c r="D1515" s="4">
        <v>11.14</v>
      </c>
      <c r="E1515" s="4">
        <v>11</v>
      </c>
      <c r="F1515" s="4">
        <f t="shared" si="99"/>
        <v>0.14000000000000057</v>
      </c>
      <c r="G1515" s="5">
        <f t="shared" si="100"/>
        <v>1.2567324955116747E-2</v>
      </c>
      <c r="H1515" s="2" t="s">
        <v>1125</v>
      </c>
      <c r="I1515" s="6" t="s">
        <v>32</v>
      </c>
      <c r="J1515" s="2" t="s">
        <v>1126</v>
      </c>
      <c r="K1515" s="2" t="s">
        <v>5</v>
      </c>
      <c r="L1515" s="2" t="s">
        <v>28</v>
      </c>
      <c r="M1515" s="2" t="s">
        <v>5</v>
      </c>
      <c r="N1515" s="4">
        <v>6575.31</v>
      </c>
    </row>
    <row r="1516" spans="1:14" x14ac:dyDescent="0.25">
      <c r="A1516" s="2" t="s">
        <v>1101</v>
      </c>
      <c r="B1516" s="2" t="s">
        <v>1102</v>
      </c>
      <c r="C1516" s="3">
        <v>2</v>
      </c>
      <c r="D1516" s="4">
        <v>11.14</v>
      </c>
      <c r="E1516" s="4">
        <v>11</v>
      </c>
      <c r="F1516" s="4">
        <f t="shared" si="99"/>
        <v>0.14000000000000057</v>
      </c>
      <c r="G1516" s="5">
        <f t="shared" si="100"/>
        <v>1.2567324955116747E-2</v>
      </c>
      <c r="H1516" s="2" t="s">
        <v>1127</v>
      </c>
      <c r="I1516" s="6" t="s">
        <v>69</v>
      </c>
      <c r="J1516" s="2" t="s">
        <v>1128</v>
      </c>
      <c r="K1516" s="2" t="s">
        <v>5</v>
      </c>
      <c r="L1516" s="2" t="s">
        <v>28</v>
      </c>
      <c r="M1516" s="2" t="s">
        <v>5</v>
      </c>
      <c r="N1516" s="4">
        <v>4305.1499999999996</v>
      </c>
    </row>
    <row r="1517" spans="1:14" x14ac:dyDescent="0.25">
      <c r="A1517" s="2" t="s">
        <v>1144</v>
      </c>
      <c r="B1517" s="2" t="s">
        <v>1145</v>
      </c>
      <c r="C1517" s="3">
        <v>1</v>
      </c>
      <c r="D1517" s="4">
        <v>17.79</v>
      </c>
      <c r="E1517" s="4">
        <v>12</v>
      </c>
      <c r="F1517" s="4">
        <f t="shared" ref="F1517:F1548" si="101">D1517-E1517</f>
        <v>5.7899999999999991</v>
      </c>
      <c r="G1517" s="5">
        <f t="shared" ref="G1517:G1548" si="102">IF(((D1517)=0),0,(D1517-E1517)/ D1517)</f>
        <v>0.32546374367622255</v>
      </c>
      <c r="H1517" s="2" t="s">
        <v>1127</v>
      </c>
      <c r="I1517" s="6" t="s">
        <v>69</v>
      </c>
      <c r="J1517" s="2" t="s">
        <v>1128</v>
      </c>
      <c r="K1517" s="2" t="s">
        <v>5</v>
      </c>
      <c r="L1517" s="2" t="s">
        <v>28</v>
      </c>
      <c r="M1517" s="2" t="s">
        <v>5</v>
      </c>
      <c r="N1517" s="4">
        <v>4305.1499999999996</v>
      </c>
    </row>
    <row r="1518" spans="1:14" x14ac:dyDescent="0.25">
      <c r="A1518" s="2" t="s">
        <v>1146</v>
      </c>
      <c r="B1518" s="2" t="s">
        <v>1147</v>
      </c>
      <c r="C1518" s="3">
        <v>1</v>
      </c>
      <c r="D1518" s="4">
        <v>11.83</v>
      </c>
      <c r="E1518" s="4">
        <v>7.98</v>
      </c>
      <c r="F1518" s="4">
        <f t="shared" si="101"/>
        <v>3.8499999999999996</v>
      </c>
      <c r="G1518" s="5">
        <f t="shared" si="102"/>
        <v>0.32544378698224846</v>
      </c>
      <c r="H1518" s="2" t="s">
        <v>1127</v>
      </c>
      <c r="I1518" s="6" t="s">
        <v>69</v>
      </c>
      <c r="J1518" s="2" t="s">
        <v>1128</v>
      </c>
      <c r="K1518" s="2" t="s">
        <v>5</v>
      </c>
      <c r="L1518" s="2" t="s">
        <v>28</v>
      </c>
      <c r="M1518" s="2" t="s">
        <v>5</v>
      </c>
      <c r="N1518" s="4">
        <v>4305.1499999999996</v>
      </c>
    </row>
    <row r="1519" spans="1:14" x14ac:dyDescent="0.25">
      <c r="A1519" s="2" t="s">
        <v>1146</v>
      </c>
      <c r="B1519" s="2" t="s">
        <v>1147</v>
      </c>
      <c r="C1519" s="3">
        <v>1</v>
      </c>
      <c r="D1519" s="4">
        <v>11.83</v>
      </c>
      <c r="E1519" s="4">
        <v>7.98</v>
      </c>
      <c r="F1519" s="4">
        <f t="shared" si="101"/>
        <v>3.8499999999999996</v>
      </c>
      <c r="G1519" s="5">
        <f t="shared" si="102"/>
        <v>0.32544378698224846</v>
      </c>
      <c r="H1519" s="2" t="s">
        <v>1125</v>
      </c>
      <c r="I1519" s="6" t="s">
        <v>32</v>
      </c>
      <c r="J1519" s="2" t="s">
        <v>1126</v>
      </c>
      <c r="K1519" s="2" t="s">
        <v>5</v>
      </c>
      <c r="L1519" s="2" t="s">
        <v>28</v>
      </c>
      <c r="M1519" s="2" t="s">
        <v>5</v>
      </c>
      <c r="N1519" s="4">
        <v>6575.31</v>
      </c>
    </row>
    <row r="1520" spans="1:14" x14ac:dyDescent="0.25">
      <c r="A1520" s="2" t="s">
        <v>1148</v>
      </c>
      <c r="B1520" s="2" t="s">
        <v>1149</v>
      </c>
      <c r="C1520" s="3">
        <v>1</v>
      </c>
      <c r="D1520" s="4">
        <v>48.85</v>
      </c>
      <c r="E1520" s="4">
        <v>32.950000000000003</v>
      </c>
      <c r="F1520" s="4">
        <f t="shared" si="101"/>
        <v>15.899999999999999</v>
      </c>
      <c r="G1520" s="5">
        <f t="shared" si="102"/>
        <v>0.32548618219037867</v>
      </c>
      <c r="H1520" s="2" t="s">
        <v>1125</v>
      </c>
      <c r="I1520" s="6" t="s">
        <v>32</v>
      </c>
      <c r="J1520" s="2" t="s">
        <v>1126</v>
      </c>
      <c r="K1520" s="2" t="s">
        <v>5</v>
      </c>
      <c r="L1520" s="2" t="s">
        <v>28</v>
      </c>
      <c r="M1520" s="2" t="s">
        <v>5</v>
      </c>
      <c r="N1520" s="4">
        <v>6575.31</v>
      </c>
    </row>
    <row r="1521" spans="1:14" x14ac:dyDescent="0.25">
      <c r="A1521" s="2" t="s">
        <v>1103</v>
      </c>
      <c r="B1521" s="2" t="s">
        <v>1104</v>
      </c>
      <c r="C1521" s="3">
        <v>5</v>
      </c>
      <c r="D1521" s="4">
        <v>127.5</v>
      </c>
      <c r="E1521" s="4">
        <v>86</v>
      </c>
      <c r="F1521" s="4">
        <f t="shared" si="101"/>
        <v>41.5</v>
      </c>
      <c r="G1521" s="5">
        <f t="shared" si="102"/>
        <v>0.32549019607843138</v>
      </c>
      <c r="H1521" s="2" t="s">
        <v>1125</v>
      </c>
      <c r="I1521" s="6" t="s">
        <v>32</v>
      </c>
      <c r="J1521" s="2" t="s">
        <v>1126</v>
      </c>
      <c r="K1521" s="2" t="s">
        <v>5</v>
      </c>
      <c r="L1521" s="2" t="s">
        <v>28</v>
      </c>
      <c r="M1521" s="2" t="s">
        <v>5</v>
      </c>
      <c r="N1521" s="4">
        <v>6575.31</v>
      </c>
    </row>
    <row r="1522" spans="1:14" x14ac:dyDescent="0.25">
      <c r="A1522" s="2" t="s">
        <v>1103</v>
      </c>
      <c r="B1522" s="2" t="s">
        <v>1104</v>
      </c>
      <c r="C1522" s="3">
        <v>5</v>
      </c>
      <c r="D1522" s="4">
        <v>127.5</v>
      </c>
      <c r="E1522" s="4">
        <v>86</v>
      </c>
      <c r="F1522" s="4">
        <f t="shared" si="101"/>
        <v>41.5</v>
      </c>
      <c r="G1522" s="5">
        <f t="shared" si="102"/>
        <v>0.32549019607843138</v>
      </c>
      <c r="H1522" s="2" t="s">
        <v>1127</v>
      </c>
      <c r="I1522" s="6" t="s">
        <v>69</v>
      </c>
      <c r="J1522" s="2" t="s">
        <v>1128</v>
      </c>
      <c r="K1522" s="2" t="s">
        <v>5</v>
      </c>
      <c r="L1522" s="2" t="s">
        <v>28</v>
      </c>
      <c r="M1522" s="2" t="s">
        <v>5</v>
      </c>
      <c r="N1522" s="4">
        <v>4305.1499999999996</v>
      </c>
    </row>
    <row r="1523" spans="1:14" x14ac:dyDescent="0.25">
      <c r="A1523" s="2" t="s">
        <v>1150</v>
      </c>
      <c r="B1523" s="2" t="s">
        <v>1151</v>
      </c>
      <c r="C1523" s="3">
        <v>1</v>
      </c>
      <c r="D1523" s="4">
        <v>5.89</v>
      </c>
      <c r="E1523" s="4">
        <v>4.25</v>
      </c>
      <c r="F1523" s="4">
        <f t="shared" si="101"/>
        <v>1.6399999999999997</v>
      </c>
      <c r="G1523" s="5">
        <f t="shared" si="102"/>
        <v>0.27843803056027161</v>
      </c>
      <c r="H1523" s="2" t="s">
        <v>1127</v>
      </c>
      <c r="I1523" s="6" t="s">
        <v>69</v>
      </c>
      <c r="J1523" s="2" t="s">
        <v>1128</v>
      </c>
      <c r="K1523" s="2" t="s">
        <v>5</v>
      </c>
      <c r="L1523" s="2" t="s">
        <v>28</v>
      </c>
      <c r="M1523" s="2" t="s">
        <v>5</v>
      </c>
      <c r="N1523" s="4">
        <v>4305.1499999999996</v>
      </c>
    </row>
    <row r="1524" spans="1:14" x14ac:dyDescent="0.25">
      <c r="A1524" s="2" t="s">
        <v>1152</v>
      </c>
      <c r="B1524" s="2" t="s">
        <v>1153</v>
      </c>
      <c r="C1524" s="3">
        <v>1</v>
      </c>
      <c r="D1524" s="4">
        <v>134.26</v>
      </c>
      <c r="E1524" s="4">
        <v>90.56</v>
      </c>
      <c r="F1524" s="4">
        <f t="shared" si="101"/>
        <v>43.699999999999989</v>
      </c>
      <c r="G1524" s="5">
        <f t="shared" si="102"/>
        <v>0.32548785937732749</v>
      </c>
      <c r="H1524" s="2" t="s">
        <v>1127</v>
      </c>
      <c r="I1524" s="6" t="s">
        <v>69</v>
      </c>
      <c r="J1524" s="2" t="s">
        <v>1128</v>
      </c>
      <c r="K1524" s="2" t="s">
        <v>5</v>
      </c>
      <c r="L1524" s="2" t="s">
        <v>28</v>
      </c>
      <c r="M1524" s="2" t="s">
        <v>5</v>
      </c>
      <c r="N1524" s="4">
        <v>4305.1499999999996</v>
      </c>
    </row>
    <row r="1525" spans="1:14" x14ac:dyDescent="0.25">
      <c r="A1525" s="2" t="s">
        <v>1105</v>
      </c>
      <c r="B1525" s="2" t="s">
        <v>1106</v>
      </c>
      <c r="C1525" s="3">
        <v>2</v>
      </c>
      <c r="D1525" s="4">
        <v>12.64</v>
      </c>
      <c r="E1525" s="4">
        <v>8.18</v>
      </c>
      <c r="F1525" s="4">
        <f t="shared" si="101"/>
        <v>4.4600000000000009</v>
      </c>
      <c r="G1525" s="5">
        <f t="shared" si="102"/>
        <v>0.35284810126582283</v>
      </c>
      <c r="H1525" s="2" t="s">
        <v>1127</v>
      </c>
      <c r="I1525" s="6" t="s">
        <v>69</v>
      </c>
      <c r="J1525" s="2" t="s">
        <v>1128</v>
      </c>
      <c r="K1525" s="2" t="s">
        <v>5</v>
      </c>
      <c r="L1525" s="2" t="s">
        <v>28</v>
      </c>
      <c r="M1525" s="2" t="s">
        <v>5</v>
      </c>
      <c r="N1525" s="4">
        <v>4305.1499999999996</v>
      </c>
    </row>
    <row r="1526" spans="1:14" x14ac:dyDescent="0.25">
      <c r="A1526" s="2" t="s">
        <v>1105</v>
      </c>
      <c r="B1526" s="2" t="s">
        <v>1106</v>
      </c>
      <c r="C1526" s="3">
        <v>4</v>
      </c>
      <c r="D1526" s="4">
        <v>25.28</v>
      </c>
      <c r="E1526" s="4">
        <v>16.36</v>
      </c>
      <c r="F1526" s="4">
        <f t="shared" si="101"/>
        <v>8.9200000000000017</v>
      </c>
      <c r="G1526" s="5">
        <f t="shared" si="102"/>
        <v>0.35284810126582283</v>
      </c>
      <c r="H1526" s="2" t="s">
        <v>1125</v>
      </c>
      <c r="I1526" s="6" t="s">
        <v>32</v>
      </c>
      <c r="J1526" s="2" t="s">
        <v>1126</v>
      </c>
      <c r="K1526" s="2" t="s">
        <v>5</v>
      </c>
      <c r="L1526" s="2" t="s">
        <v>28</v>
      </c>
      <c r="M1526" s="2" t="s">
        <v>5</v>
      </c>
      <c r="N1526" s="4">
        <v>6575.31</v>
      </c>
    </row>
    <row r="1527" spans="1:14" x14ac:dyDescent="0.25">
      <c r="A1527" s="2" t="s">
        <v>1154</v>
      </c>
      <c r="B1527" s="2" t="s">
        <v>1155</v>
      </c>
      <c r="C1527" s="3">
        <v>1</v>
      </c>
      <c r="D1527" s="4">
        <v>48.04</v>
      </c>
      <c r="E1527" s="4">
        <v>54</v>
      </c>
      <c r="F1527" s="4">
        <f t="shared" si="101"/>
        <v>-5.9600000000000009</v>
      </c>
      <c r="G1527" s="5">
        <f t="shared" si="102"/>
        <v>-0.12406328059950043</v>
      </c>
      <c r="H1527" s="2" t="s">
        <v>1125</v>
      </c>
      <c r="I1527" s="6" t="s">
        <v>32</v>
      </c>
      <c r="J1527" s="2" t="s">
        <v>1126</v>
      </c>
      <c r="K1527" s="2" t="s">
        <v>5</v>
      </c>
      <c r="L1527" s="2" t="s">
        <v>28</v>
      </c>
      <c r="M1527" s="2" t="s">
        <v>5</v>
      </c>
      <c r="N1527" s="4">
        <v>6575.31</v>
      </c>
    </row>
    <row r="1528" spans="1:14" x14ac:dyDescent="0.25">
      <c r="A1528" s="2" t="s">
        <v>163</v>
      </c>
      <c r="B1528" s="2" t="s">
        <v>164</v>
      </c>
      <c r="C1528" s="3">
        <v>32</v>
      </c>
      <c r="D1528" s="4">
        <v>331.52</v>
      </c>
      <c r="E1528" s="4">
        <v>223.68</v>
      </c>
      <c r="F1528" s="4">
        <f t="shared" si="101"/>
        <v>107.83999999999997</v>
      </c>
      <c r="G1528" s="5">
        <f t="shared" si="102"/>
        <v>0.32528957528957525</v>
      </c>
      <c r="H1528" s="2" t="s">
        <v>1125</v>
      </c>
      <c r="I1528" s="6" t="s">
        <v>32</v>
      </c>
      <c r="J1528" s="2" t="s">
        <v>1126</v>
      </c>
      <c r="K1528" s="2" t="s">
        <v>5</v>
      </c>
      <c r="L1528" s="2" t="s">
        <v>28</v>
      </c>
      <c r="M1528" s="2" t="s">
        <v>5</v>
      </c>
      <c r="N1528" s="4">
        <v>6575.31</v>
      </c>
    </row>
    <row r="1529" spans="1:14" x14ac:dyDescent="0.25">
      <c r="A1529" s="2" t="s">
        <v>163</v>
      </c>
      <c r="B1529" s="2" t="s">
        <v>164</v>
      </c>
      <c r="C1529" s="3">
        <v>12</v>
      </c>
      <c r="D1529" s="4">
        <v>124.32</v>
      </c>
      <c r="E1529" s="4">
        <v>83.88</v>
      </c>
      <c r="F1529" s="4">
        <f t="shared" si="101"/>
        <v>40.44</v>
      </c>
      <c r="G1529" s="5">
        <f t="shared" si="102"/>
        <v>0.32528957528957531</v>
      </c>
      <c r="H1529" s="2" t="s">
        <v>1127</v>
      </c>
      <c r="I1529" s="6" t="s">
        <v>69</v>
      </c>
      <c r="J1529" s="2" t="s">
        <v>1128</v>
      </c>
      <c r="K1529" s="2" t="s">
        <v>5</v>
      </c>
      <c r="L1529" s="2" t="s">
        <v>28</v>
      </c>
      <c r="M1529" s="2" t="s">
        <v>5</v>
      </c>
      <c r="N1529" s="4">
        <v>4305.1499999999996</v>
      </c>
    </row>
    <row r="1530" spans="1:14" x14ac:dyDescent="0.25">
      <c r="A1530" s="2" t="s">
        <v>1156</v>
      </c>
      <c r="B1530" s="2" t="s">
        <v>1157</v>
      </c>
      <c r="C1530" s="3">
        <v>1</v>
      </c>
      <c r="D1530" s="4">
        <v>20.9</v>
      </c>
      <c r="E1530" s="4">
        <v>14.1</v>
      </c>
      <c r="F1530" s="4">
        <f t="shared" si="101"/>
        <v>6.7999999999999989</v>
      </c>
      <c r="G1530" s="5">
        <f t="shared" si="102"/>
        <v>0.32535885167464113</v>
      </c>
      <c r="H1530" s="2" t="s">
        <v>1125</v>
      </c>
      <c r="I1530" s="6" t="s">
        <v>32</v>
      </c>
      <c r="J1530" s="2" t="s">
        <v>1126</v>
      </c>
      <c r="K1530" s="2" t="s">
        <v>5</v>
      </c>
      <c r="L1530" s="2" t="s">
        <v>28</v>
      </c>
      <c r="M1530" s="2" t="s">
        <v>5</v>
      </c>
      <c r="N1530" s="4">
        <v>6575.31</v>
      </c>
    </row>
    <row r="1531" spans="1:14" x14ac:dyDescent="0.25">
      <c r="A1531" s="2" t="s">
        <v>1158</v>
      </c>
      <c r="B1531" s="2" t="s">
        <v>1159</v>
      </c>
      <c r="C1531" s="3">
        <v>1</v>
      </c>
      <c r="D1531" s="4">
        <v>94.89</v>
      </c>
      <c r="E1531" s="4">
        <v>54.4</v>
      </c>
      <c r="F1531" s="4">
        <f t="shared" si="101"/>
        <v>40.49</v>
      </c>
      <c r="G1531" s="5">
        <f t="shared" si="102"/>
        <v>0.42670460533249027</v>
      </c>
      <c r="H1531" s="2" t="s">
        <v>1125</v>
      </c>
      <c r="I1531" s="6" t="s">
        <v>32</v>
      </c>
      <c r="J1531" s="2" t="s">
        <v>1126</v>
      </c>
      <c r="K1531" s="2" t="s">
        <v>5</v>
      </c>
      <c r="L1531" s="2" t="s">
        <v>28</v>
      </c>
      <c r="M1531" s="2" t="s">
        <v>5</v>
      </c>
      <c r="N1531" s="4">
        <v>6575.31</v>
      </c>
    </row>
    <row r="1532" spans="1:14" x14ac:dyDescent="0.25">
      <c r="A1532" s="2" t="s">
        <v>1160</v>
      </c>
      <c r="B1532" s="2" t="s">
        <v>1161</v>
      </c>
      <c r="C1532" s="3">
        <v>1</v>
      </c>
      <c r="D1532" s="4">
        <v>23.35</v>
      </c>
      <c r="E1532" s="4">
        <v>15.75</v>
      </c>
      <c r="F1532" s="4">
        <f t="shared" si="101"/>
        <v>7.6000000000000014</v>
      </c>
      <c r="G1532" s="5">
        <f t="shared" si="102"/>
        <v>0.32548179871520344</v>
      </c>
      <c r="H1532" s="2" t="s">
        <v>1127</v>
      </c>
      <c r="I1532" s="6" t="s">
        <v>69</v>
      </c>
      <c r="J1532" s="2" t="s">
        <v>1128</v>
      </c>
      <c r="K1532" s="2" t="s">
        <v>5</v>
      </c>
      <c r="L1532" s="2" t="s">
        <v>28</v>
      </c>
      <c r="M1532" s="2" t="s">
        <v>5</v>
      </c>
      <c r="N1532" s="4">
        <v>4305.1499999999996</v>
      </c>
    </row>
    <row r="1533" spans="1:14" x14ac:dyDescent="0.25">
      <c r="A1533" s="2" t="s">
        <v>1162</v>
      </c>
      <c r="B1533" s="2" t="s">
        <v>1163</v>
      </c>
      <c r="C1533" s="3">
        <v>1</v>
      </c>
      <c r="D1533" s="4">
        <v>11.27</v>
      </c>
      <c r="E1533" s="4">
        <v>7.6</v>
      </c>
      <c r="F1533" s="4">
        <f t="shared" si="101"/>
        <v>3.67</v>
      </c>
      <c r="G1533" s="5">
        <f t="shared" si="102"/>
        <v>0.32564330079858028</v>
      </c>
      <c r="H1533" s="2" t="s">
        <v>1127</v>
      </c>
      <c r="I1533" s="6" t="s">
        <v>69</v>
      </c>
      <c r="J1533" s="2" t="s">
        <v>1128</v>
      </c>
      <c r="K1533" s="2" t="s">
        <v>5</v>
      </c>
      <c r="L1533" s="2" t="s">
        <v>28</v>
      </c>
      <c r="M1533" s="2" t="s">
        <v>5</v>
      </c>
      <c r="N1533" s="4">
        <v>4305.1499999999996</v>
      </c>
    </row>
    <row r="1534" spans="1:14" x14ac:dyDescent="0.25">
      <c r="A1534" s="2" t="s">
        <v>1164</v>
      </c>
      <c r="B1534" s="2" t="s">
        <v>1165</v>
      </c>
      <c r="C1534" s="3">
        <v>1</v>
      </c>
      <c r="D1534" s="4">
        <v>59.01</v>
      </c>
      <c r="E1534" s="4">
        <v>39.799999999999997</v>
      </c>
      <c r="F1534" s="4">
        <f t="shared" si="101"/>
        <v>19.21</v>
      </c>
      <c r="G1534" s="5">
        <f t="shared" si="102"/>
        <v>0.32553804439925438</v>
      </c>
      <c r="H1534" s="2" t="s">
        <v>1125</v>
      </c>
      <c r="I1534" s="6" t="s">
        <v>32</v>
      </c>
      <c r="J1534" s="2" t="s">
        <v>1126</v>
      </c>
      <c r="K1534" s="2" t="s">
        <v>5</v>
      </c>
      <c r="L1534" s="2" t="s">
        <v>28</v>
      </c>
      <c r="M1534" s="2" t="s">
        <v>5</v>
      </c>
      <c r="N1534" s="4">
        <v>6575.31</v>
      </c>
    </row>
    <row r="1535" spans="1:14" x14ac:dyDescent="0.25">
      <c r="A1535" s="2" t="s">
        <v>1107</v>
      </c>
      <c r="B1535" s="2" t="s">
        <v>1108</v>
      </c>
      <c r="C1535" s="3">
        <v>9</v>
      </c>
      <c r="D1535" s="4">
        <v>374.31</v>
      </c>
      <c r="E1535" s="4">
        <v>261</v>
      </c>
      <c r="F1535" s="4">
        <f t="shared" si="101"/>
        <v>113.31</v>
      </c>
      <c r="G1535" s="5">
        <f t="shared" si="102"/>
        <v>0.30271699927867274</v>
      </c>
      <c r="H1535" s="2" t="s">
        <v>1125</v>
      </c>
      <c r="I1535" s="6" t="s">
        <v>32</v>
      </c>
      <c r="J1535" s="2" t="s">
        <v>1126</v>
      </c>
      <c r="K1535" s="2" t="s">
        <v>5</v>
      </c>
      <c r="L1535" s="2" t="s">
        <v>28</v>
      </c>
      <c r="M1535" s="2" t="s">
        <v>5</v>
      </c>
      <c r="N1535" s="4">
        <v>6575.31</v>
      </c>
    </row>
    <row r="1536" spans="1:14" x14ac:dyDescent="0.25">
      <c r="A1536" s="2" t="s">
        <v>1107</v>
      </c>
      <c r="B1536" s="2" t="s">
        <v>1108</v>
      </c>
      <c r="C1536" s="3">
        <v>5</v>
      </c>
      <c r="D1536" s="4">
        <v>207.95</v>
      </c>
      <c r="E1536" s="4">
        <v>145</v>
      </c>
      <c r="F1536" s="4">
        <f t="shared" si="101"/>
        <v>62.949999999999989</v>
      </c>
      <c r="G1536" s="5">
        <f t="shared" si="102"/>
        <v>0.30271699927867274</v>
      </c>
      <c r="H1536" s="2" t="s">
        <v>1127</v>
      </c>
      <c r="I1536" s="6" t="s">
        <v>69</v>
      </c>
      <c r="J1536" s="2" t="s">
        <v>1128</v>
      </c>
      <c r="K1536" s="2" t="s">
        <v>5</v>
      </c>
      <c r="L1536" s="2" t="s">
        <v>28</v>
      </c>
      <c r="M1536" s="2" t="s">
        <v>5</v>
      </c>
      <c r="N1536" s="4">
        <v>4305.1499999999996</v>
      </c>
    </row>
    <row r="1537" spans="1:14" x14ac:dyDescent="0.25">
      <c r="A1537" s="2" t="s">
        <v>1109</v>
      </c>
      <c r="B1537" s="2" t="s">
        <v>1110</v>
      </c>
      <c r="C1537" s="3">
        <v>2</v>
      </c>
      <c r="D1537" s="4">
        <v>83.92</v>
      </c>
      <c r="E1537" s="4">
        <v>58.6</v>
      </c>
      <c r="F1537" s="4">
        <f t="shared" si="101"/>
        <v>25.32</v>
      </c>
      <c r="G1537" s="5">
        <f t="shared" si="102"/>
        <v>0.30171591992373686</v>
      </c>
      <c r="H1537" s="2" t="s">
        <v>1127</v>
      </c>
      <c r="I1537" s="6" t="s">
        <v>69</v>
      </c>
      <c r="J1537" s="2" t="s">
        <v>1128</v>
      </c>
      <c r="K1537" s="2" t="s">
        <v>5</v>
      </c>
      <c r="L1537" s="2" t="s">
        <v>28</v>
      </c>
      <c r="M1537" s="2" t="s">
        <v>5</v>
      </c>
      <c r="N1537" s="4">
        <v>4305.1499999999996</v>
      </c>
    </row>
    <row r="1538" spans="1:14" x14ac:dyDescent="0.25">
      <c r="A1538" s="2" t="s">
        <v>1109</v>
      </c>
      <c r="B1538" s="2" t="s">
        <v>1110</v>
      </c>
      <c r="C1538" s="3">
        <v>5</v>
      </c>
      <c r="D1538" s="4">
        <v>209.8</v>
      </c>
      <c r="E1538" s="4">
        <v>146.5</v>
      </c>
      <c r="F1538" s="4">
        <f t="shared" si="101"/>
        <v>63.300000000000011</v>
      </c>
      <c r="G1538" s="5">
        <f t="shared" si="102"/>
        <v>0.30171591992373692</v>
      </c>
      <c r="H1538" s="2" t="s">
        <v>1125</v>
      </c>
      <c r="I1538" s="6" t="s">
        <v>32</v>
      </c>
      <c r="J1538" s="2" t="s">
        <v>1126</v>
      </c>
      <c r="K1538" s="2" t="s">
        <v>5</v>
      </c>
      <c r="L1538" s="2" t="s">
        <v>28</v>
      </c>
      <c r="M1538" s="2" t="s">
        <v>5</v>
      </c>
      <c r="N1538" s="4">
        <v>6575.31</v>
      </c>
    </row>
    <row r="1539" spans="1:14" x14ac:dyDescent="0.25">
      <c r="A1539" s="2" t="s">
        <v>1111</v>
      </c>
      <c r="B1539" s="2" t="s">
        <v>1112</v>
      </c>
      <c r="C1539" s="3">
        <v>2</v>
      </c>
      <c r="D1539" s="4">
        <v>83.32</v>
      </c>
      <c r="E1539" s="4">
        <v>58.16</v>
      </c>
      <c r="F1539" s="4">
        <f t="shared" si="101"/>
        <v>25.159999999999997</v>
      </c>
      <c r="G1539" s="5">
        <f t="shared" si="102"/>
        <v>0.30196831493038884</v>
      </c>
      <c r="H1539" s="2" t="s">
        <v>1125</v>
      </c>
      <c r="I1539" s="6" t="s">
        <v>32</v>
      </c>
      <c r="J1539" s="2" t="s">
        <v>1126</v>
      </c>
      <c r="K1539" s="2" t="s">
        <v>5</v>
      </c>
      <c r="L1539" s="2" t="s">
        <v>28</v>
      </c>
      <c r="M1539" s="2" t="s">
        <v>5</v>
      </c>
      <c r="N1539" s="4">
        <v>6575.31</v>
      </c>
    </row>
    <row r="1540" spans="1:14" x14ac:dyDescent="0.25">
      <c r="A1540" s="2" t="s">
        <v>1111</v>
      </c>
      <c r="B1540" s="2" t="s">
        <v>1112</v>
      </c>
      <c r="C1540" s="3">
        <v>1</v>
      </c>
      <c r="D1540" s="4">
        <v>41.66</v>
      </c>
      <c r="E1540" s="4">
        <v>29.08</v>
      </c>
      <c r="F1540" s="4">
        <f t="shared" si="101"/>
        <v>12.579999999999998</v>
      </c>
      <c r="G1540" s="5">
        <f t="shared" si="102"/>
        <v>0.30196831493038884</v>
      </c>
      <c r="H1540" s="2" t="s">
        <v>1127</v>
      </c>
      <c r="I1540" s="6" t="s">
        <v>69</v>
      </c>
      <c r="J1540" s="2" t="s">
        <v>1128</v>
      </c>
      <c r="K1540" s="2" t="s">
        <v>5</v>
      </c>
      <c r="L1540" s="2" t="s">
        <v>28</v>
      </c>
      <c r="M1540" s="2" t="s">
        <v>5</v>
      </c>
      <c r="N1540" s="4">
        <v>4305.1499999999996</v>
      </c>
    </row>
    <row r="1541" spans="1:14" x14ac:dyDescent="0.25">
      <c r="A1541" s="2" t="s">
        <v>1166</v>
      </c>
      <c r="B1541" s="2" t="s">
        <v>1167</v>
      </c>
      <c r="C1541" s="3">
        <v>8.56</v>
      </c>
      <c r="D1541" s="4">
        <v>154.85040000000001</v>
      </c>
      <c r="E1541" s="4">
        <v>93.304000000000002</v>
      </c>
      <c r="F1541" s="4">
        <f t="shared" si="101"/>
        <v>61.546400000000006</v>
      </c>
      <c r="G1541" s="5">
        <f t="shared" si="102"/>
        <v>0.39745715865118852</v>
      </c>
      <c r="H1541" s="2" t="s">
        <v>1127</v>
      </c>
      <c r="I1541" s="6" t="s">
        <v>69</v>
      </c>
      <c r="J1541" s="2" t="s">
        <v>1128</v>
      </c>
      <c r="K1541" s="2" t="s">
        <v>5</v>
      </c>
      <c r="L1541" s="2" t="s">
        <v>28</v>
      </c>
      <c r="M1541" s="2" t="s">
        <v>5</v>
      </c>
      <c r="N1541" s="4">
        <v>4305.1499999999996</v>
      </c>
    </row>
    <row r="1542" spans="1:14" x14ac:dyDescent="0.25">
      <c r="A1542" s="2" t="s">
        <v>1168</v>
      </c>
      <c r="B1542" s="2" t="s">
        <v>1169</v>
      </c>
      <c r="C1542" s="3">
        <v>1</v>
      </c>
      <c r="D1542" s="4">
        <v>34.54</v>
      </c>
      <c r="E1542" s="4">
        <v>23.3</v>
      </c>
      <c r="F1542" s="4">
        <f t="shared" si="101"/>
        <v>11.239999999999998</v>
      </c>
      <c r="G1542" s="5">
        <f t="shared" si="102"/>
        <v>0.32541980312680946</v>
      </c>
      <c r="H1542" s="2" t="s">
        <v>1127</v>
      </c>
      <c r="I1542" s="6" t="s">
        <v>69</v>
      </c>
      <c r="J1542" s="2" t="s">
        <v>1128</v>
      </c>
      <c r="K1542" s="2" t="s">
        <v>5</v>
      </c>
      <c r="L1542" s="2" t="s">
        <v>28</v>
      </c>
      <c r="M1542" s="2" t="s">
        <v>5</v>
      </c>
      <c r="N1542" s="4">
        <v>4305.1499999999996</v>
      </c>
    </row>
    <row r="1543" spans="1:14" x14ac:dyDescent="0.25">
      <c r="A1543" s="2" t="s">
        <v>1170</v>
      </c>
      <c r="B1543" s="2" t="s">
        <v>1171</v>
      </c>
      <c r="C1543" s="3">
        <v>1</v>
      </c>
      <c r="D1543" s="4">
        <v>29.58</v>
      </c>
      <c r="E1543" s="4">
        <v>19.95</v>
      </c>
      <c r="F1543" s="4">
        <f t="shared" si="101"/>
        <v>9.629999999999999</v>
      </c>
      <c r="G1543" s="5">
        <f t="shared" si="102"/>
        <v>0.32555780933062878</v>
      </c>
      <c r="H1543" s="2" t="s">
        <v>1125</v>
      </c>
      <c r="I1543" s="6" t="s">
        <v>32</v>
      </c>
      <c r="J1543" s="2" t="s">
        <v>1126</v>
      </c>
      <c r="K1543" s="2" t="s">
        <v>5</v>
      </c>
      <c r="L1543" s="2" t="s">
        <v>28</v>
      </c>
      <c r="M1543" s="2" t="s">
        <v>5</v>
      </c>
      <c r="N1543" s="4">
        <v>6575.31</v>
      </c>
    </row>
    <row r="1544" spans="1:14" x14ac:dyDescent="0.25">
      <c r="A1544" s="2" t="s">
        <v>1170</v>
      </c>
      <c r="B1544" s="2" t="s">
        <v>1171</v>
      </c>
      <c r="C1544" s="3">
        <v>1</v>
      </c>
      <c r="D1544" s="4">
        <v>29.58</v>
      </c>
      <c r="E1544" s="4">
        <v>19.95</v>
      </c>
      <c r="F1544" s="4">
        <f t="shared" si="101"/>
        <v>9.629999999999999</v>
      </c>
      <c r="G1544" s="5">
        <f t="shared" si="102"/>
        <v>0.32555780933062878</v>
      </c>
      <c r="H1544" s="2" t="s">
        <v>1127</v>
      </c>
      <c r="I1544" s="6" t="s">
        <v>69</v>
      </c>
      <c r="J1544" s="2" t="s">
        <v>1128</v>
      </c>
      <c r="K1544" s="2" t="s">
        <v>5</v>
      </c>
      <c r="L1544" s="2" t="s">
        <v>28</v>
      </c>
      <c r="M1544" s="2" t="s">
        <v>5</v>
      </c>
      <c r="N1544" s="4">
        <v>4305.1499999999996</v>
      </c>
    </row>
    <row r="1545" spans="1:14" x14ac:dyDescent="0.25">
      <c r="A1545" s="2" t="s">
        <v>1113</v>
      </c>
      <c r="B1545" s="2" t="s">
        <v>1114</v>
      </c>
      <c r="C1545" s="3">
        <v>4</v>
      </c>
      <c r="D1545" s="4">
        <v>103.92</v>
      </c>
      <c r="E1545" s="4">
        <v>70</v>
      </c>
      <c r="F1545" s="4">
        <f t="shared" si="101"/>
        <v>33.92</v>
      </c>
      <c r="G1545" s="5">
        <f t="shared" si="102"/>
        <v>0.32640492686682065</v>
      </c>
      <c r="H1545" s="2" t="s">
        <v>1125</v>
      </c>
      <c r="I1545" s="6" t="s">
        <v>32</v>
      </c>
      <c r="J1545" s="2" t="s">
        <v>1126</v>
      </c>
      <c r="K1545" s="2" t="s">
        <v>5</v>
      </c>
      <c r="L1545" s="2" t="s">
        <v>28</v>
      </c>
      <c r="M1545" s="2" t="s">
        <v>5</v>
      </c>
      <c r="N1545" s="4">
        <v>6575.31</v>
      </c>
    </row>
    <row r="1546" spans="1:14" x14ac:dyDescent="0.25">
      <c r="A1546" s="2" t="s">
        <v>1113</v>
      </c>
      <c r="B1546" s="2" t="s">
        <v>1114</v>
      </c>
      <c r="C1546" s="3">
        <v>2</v>
      </c>
      <c r="D1546" s="4">
        <v>51.96</v>
      </c>
      <c r="E1546" s="4">
        <v>35</v>
      </c>
      <c r="F1546" s="4">
        <f t="shared" si="101"/>
        <v>16.96</v>
      </c>
      <c r="G1546" s="5">
        <f t="shared" si="102"/>
        <v>0.32640492686682065</v>
      </c>
      <c r="H1546" s="2" t="s">
        <v>1127</v>
      </c>
      <c r="I1546" s="6" t="s">
        <v>69</v>
      </c>
      <c r="J1546" s="2" t="s">
        <v>1128</v>
      </c>
      <c r="K1546" s="2" t="s">
        <v>5</v>
      </c>
      <c r="L1546" s="2" t="s">
        <v>28</v>
      </c>
      <c r="M1546" s="2" t="s">
        <v>5</v>
      </c>
      <c r="N1546" s="4">
        <v>4305.1499999999996</v>
      </c>
    </row>
    <row r="1547" spans="1:14" x14ac:dyDescent="0.25">
      <c r="A1547" s="2" t="s">
        <v>1117</v>
      </c>
      <c r="B1547" s="2" t="s">
        <v>1118</v>
      </c>
      <c r="C1547" s="3">
        <v>4</v>
      </c>
      <c r="D1547" s="4">
        <v>99.28</v>
      </c>
      <c r="E1547" s="4">
        <v>66.959999999999994</v>
      </c>
      <c r="F1547" s="4">
        <f t="shared" si="101"/>
        <v>32.320000000000007</v>
      </c>
      <c r="G1547" s="5">
        <f t="shared" si="102"/>
        <v>0.32554391619661571</v>
      </c>
      <c r="H1547" s="2" t="s">
        <v>1127</v>
      </c>
      <c r="I1547" s="6" t="s">
        <v>69</v>
      </c>
      <c r="J1547" s="2" t="s">
        <v>1128</v>
      </c>
      <c r="K1547" s="2" t="s">
        <v>5</v>
      </c>
      <c r="L1547" s="2" t="s">
        <v>28</v>
      </c>
      <c r="M1547" s="2" t="s">
        <v>5</v>
      </c>
      <c r="N1547" s="4">
        <v>4305.1499999999996</v>
      </c>
    </row>
    <row r="1548" spans="1:14" x14ac:dyDescent="0.25">
      <c r="A1548" s="2" t="s">
        <v>1117</v>
      </c>
      <c r="B1548" s="2" t="s">
        <v>1118</v>
      </c>
      <c r="C1548" s="3">
        <v>16</v>
      </c>
      <c r="D1548" s="4">
        <v>397.12</v>
      </c>
      <c r="E1548" s="4">
        <v>267.83999999999997</v>
      </c>
      <c r="F1548" s="4">
        <f t="shared" si="101"/>
        <v>129.28000000000003</v>
      </c>
      <c r="G1548" s="5">
        <f t="shared" si="102"/>
        <v>0.32554391619661571</v>
      </c>
      <c r="H1548" s="2" t="s">
        <v>1125</v>
      </c>
      <c r="I1548" s="6" t="s">
        <v>32</v>
      </c>
      <c r="J1548" s="2" t="s">
        <v>1126</v>
      </c>
      <c r="K1548" s="2" t="s">
        <v>5</v>
      </c>
      <c r="L1548" s="2" t="s">
        <v>28</v>
      </c>
      <c r="M1548" s="2" t="s">
        <v>5</v>
      </c>
      <c r="N1548" s="4">
        <v>6575.31</v>
      </c>
    </row>
    <row r="1549" spans="1:14" x14ac:dyDescent="0.25">
      <c r="A1549" s="2" t="s">
        <v>1172</v>
      </c>
      <c r="B1549" s="2" t="s">
        <v>1173</v>
      </c>
      <c r="C1549" s="3">
        <v>6</v>
      </c>
      <c r="D1549" s="4">
        <v>89.64</v>
      </c>
      <c r="E1549" s="4">
        <v>60.48</v>
      </c>
      <c r="F1549" s="4">
        <f t="shared" ref="F1549:F1580" si="103">D1549-E1549</f>
        <v>29.160000000000004</v>
      </c>
      <c r="G1549" s="5">
        <f t="shared" ref="G1549:G1559" si="104">IF(((D1549)=0),0,(D1549-E1549)/ D1549)</f>
        <v>0.32530120481927716</v>
      </c>
      <c r="H1549" s="2" t="s">
        <v>1125</v>
      </c>
      <c r="I1549" s="6" t="s">
        <v>32</v>
      </c>
      <c r="J1549" s="2" t="s">
        <v>1126</v>
      </c>
      <c r="K1549" s="2" t="s">
        <v>5</v>
      </c>
      <c r="L1549" s="2" t="s">
        <v>28</v>
      </c>
      <c r="M1549" s="2" t="s">
        <v>5</v>
      </c>
      <c r="N1549" s="4">
        <v>6575.31</v>
      </c>
    </row>
    <row r="1550" spans="1:14" x14ac:dyDescent="0.25">
      <c r="A1550" s="2" t="s">
        <v>1172</v>
      </c>
      <c r="B1550" s="2" t="s">
        <v>1173</v>
      </c>
      <c r="C1550" s="3">
        <v>1</v>
      </c>
      <c r="D1550" s="4">
        <v>14.94</v>
      </c>
      <c r="E1550" s="4">
        <v>10.08</v>
      </c>
      <c r="F1550" s="4">
        <f t="shared" si="103"/>
        <v>4.8599999999999994</v>
      </c>
      <c r="G1550" s="5">
        <f t="shared" si="104"/>
        <v>0.3253012048192771</v>
      </c>
      <c r="H1550" s="2" t="s">
        <v>1127</v>
      </c>
      <c r="I1550" s="6" t="s">
        <v>69</v>
      </c>
      <c r="J1550" s="2" t="s">
        <v>1128</v>
      </c>
      <c r="K1550" s="2" t="s">
        <v>5</v>
      </c>
      <c r="L1550" s="2" t="s">
        <v>28</v>
      </c>
      <c r="M1550" s="2" t="s">
        <v>5</v>
      </c>
      <c r="N1550" s="4">
        <v>4305.1499999999996</v>
      </c>
    </row>
    <row r="1551" spans="1:14" x14ac:dyDescent="0.25">
      <c r="A1551" s="2" t="s">
        <v>1174</v>
      </c>
      <c r="B1551" s="2" t="s">
        <v>1175</v>
      </c>
      <c r="C1551" s="3">
        <v>1</v>
      </c>
      <c r="D1551" s="4">
        <v>20.010000000000002</v>
      </c>
      <c r="E1551" s="4">
        <v>13.3</v>
      </c>
      <c r="F1551" s="4">
        <f t="shared" si="103"/>
        <v>6.7100000000000009</v>
      </c>
      <c r="G1551" s="5">
        <f t="shared" si="104"/>
        <v>0.33533233383308347</v>
      </c>
      <c r="H1551" s="2" t="s">
        <v>1125</v>
      </c>
      <c r="I1551" s="6" t="s">
        <v>32</v>
      </c>
      <c r="J1551" s="2" t="s">
        <v>1126</v>
      </c>
      <c r="K1551" s="2" t="s">
        <v>5</v>
      </c>
      <c r="L1551" s="2" t="s">
        <v>28</v>
      </c>
      <c r="M1551" s="2" t="s">
        <v>5</v>
      </c>
      <c r="N1551" s="4">
        <v>6575.31</v>
      </c>
    </row>
    <row r="1552" spans="1:14" x14ac:dyDescent="0.25">
      <c r="A1552" s="2" t="s">
        <v>1174</v>
      </c>
      <c r="B1552" s="2" t="s">
        <v>1175</v>
      </c>
      <c r="C1552" s="3">
        <v>1</v>
      </c>
      <c r="D1552" s="4">
        <v>20.010000000000002</v>
      </c>
      <c r="E1552" s="4">
        <v>13.3</v>
      </c>
      <c r="F1552" s="4">
        <f t="shared" si="103"/>
        <v>6.7100000000000009</v>
      </c>
      <c r="G1552" s="5">
        <f t="shared" si="104"/>
        <v>0.33533233383308347</v>
      </c>
      <c r="H1552" s="2" t="s">
        <v>1127</v>
      </c>
      <c r="I1552" s="6" t="s">
        <v>69</v>
      </c>
      <c r="J1552" s="2" t="s">
        <v>1128</v>
      </c>
      <c r="K1552" s="2" t="s">
        <v>5</v>
      </c>
      <c r="L1552" s="2" t="s">
        <v>28</v>
      </c>
      <c r="M1552" s="2" t="s">
        <v>5</v>
      </c>
      <c r="N1552" s="4">
        <v>4305.1499999999996</v>
      </c>
    </row>
    <row r="1553" spans="1:14" x14ac:dyDescent="0.25">
      <c r="A1553" s="2" t="s">
        <v>1176</v>
      </c>
      <c r="B1553" s="2" t="s">
        <v>1177</v>
      </c>
      <c r="C1553" s="3">
        <v>6</v>
      </c>
      <c r="D1553" s="4">
        <v>97.74</v>
      </c>
      <c r="E1553" s="4">
        <v>62.4</v>
      </c>
      <c r="F1553" s="4">
        <f t="shared" si="103"/>
        <v>35.339999999999996</v>
      </c>
      <c r="G1553" s="5">
        <f t="shared" si="104"/>
        <v>0.36157151626764883</v>
      </c>
      <c r="H1553" s="2" t="s">
        <v>1125</v>
      </c>
      <c r="I1553" s="6" t="s">
        <v>32</v>
      </c>
      <c r="J1553" s="2" t="s">
        <v>1126</v>
      </c>
      <c r="K1553" s="2" t="s">
        <v>5</v>
      </c>
      <c r="L1553" s="2" t="s">
        <v>28</v>
      </c>
      <c r="M1553" s="2" t="s">
        <v>5</v>
      </c>
      <c r="N1553" s="4">
        <v>6575.31</v>
      </c>
    </row>
    <row r="1554" spans="1:14" x14ac:dyDescent="0.25">
      <c r="A1554" s="2" t="s">
        <v>1176</v>
      </c>
      <c r="B1554" s="2" t="s">
        <v>1177</v>
      </c>
      <c r="C1554" s="3">
        <v>6</v>
      </c>
      <c r="D1554" s="4">
        <v>97.74</v>
      </c>
      <c r="E1554" s="4">
        <v>62.4</v>
      </c>
      <c r="F1554" s="4">
        <f t="shared" si="103"/>
        <v>35.339999999999996</v>
      </c>
      <c r="G1554" s="5">
        <f t="shared" si="104"/>
        <v>0.36157151626764883</v>
      </c>
      <c r="H1554" s="2" t="s">
        <v>1127</v>
      </c>
      <c r="I1554" s="6" t="s">
        <v>69</v>
      </c>
      <c r="J1554" s="2" t="s">
        <v>1128</v>
      </c>
      <c r="K1554" s="2" t="s">
        <v>5</v>
      </c>
      <c r="L1554" s="2" t="s">
        <v>28</v>
      </c>
      <c r="M1554" s="2" t="s">
        <v>5</v>
      </c>
      <c r="N1554" s="4">
        <v>4305.1499999999996</v>
      </c>
    </row>
    <row r="1555" spans="1:14" x14ac:dyDescent="0.25">
      <c r="A1555" s="2" t="s">
        <v>1119</v>
      </c>
      <c r="B1555" s="2" t="s">
        <v>1120</v>
      </c>
      <c r="C1555" s="3">
        <v>2</v>
      </c>
      <c r="D1555" s="4">
        <v>106</v>
      </c>
      <c r="E1555" s="4">
        <v>71.5</v>
      </c>
      <c r="F1555" s="4">
        <f t="shared" si="103"/>
        <v>34.5</v>
      </c>
      <c r="G1555" s="5">
        <f t="shared" si="104"/>
        <v>0.32547169811320753</v>
      </c>
      <c r="H1555" s="2" t="s">
        <v>1125</v>
      </c>
      <c r="I1555" s="6" t="s">
        <v>32</v>
      </c>
      <c r="J1555" s="2" t="s">
        <v>1126</v>
      </c>
      <c r="K1555" s="2" t="s">
        <v>5</v>
      </c>
      <c r="L1555" s="2" t="s">
        <v>28</v>
      </c>
      <c r="M1555" s="2" t="s">
        <v>5</v>
      </c>
      <c r="N1555" s="4">
        <v>6575.31</v>
      </c>
    </row>
    <row r="1556" spans="1:14" x14ac:dyDescent="0.25">
      <c r="A1556" s="2" t="s">
        <v>1119</v>
      </c>
      <c r="B1556" s="2" t="s">
        <v>1120</v>
      </c>
      <c r="C1556" s="3">
        <v>2</v>
      </c>
      <c r="D1556" s="4">
        <v>106</v>
      </c>
      <c r="E1556" s="4">
        <v>71.5</v>
      </c>
      <c r="F1556" s="4">
        <f t="shared" si="103"/>
        <v>34.5</v>
      </c>
      <c r="G1556" s="5">
        <f t="shared" si="104"/>
        <v>0.32547169811320753</v>
      </c>
      <c r="H1556" s="2" t="s">
        <v>1127</v>
      </c>
      <c r="I1556" s="6" t="s">
        <v>69</v>
      </c>
      <c r="J1556" s="2" t="s">
        <v>1128</v>
      </c>
      <c r="K1556" s="2" t="s">
        <v>5</v>
      </c>
      <c r="L1556" s="2" t="s">
        <v>28</v>
      </c>
      <c r="M1556" s="2" t="s">
        <v>5</v>
      </c>
      <c r="N1556" s="4">
        <v>4305.1499999999996</v>
      </c>
    </row>
    <row r="1557" spans="1:14" x14ac:dyDescent="0.25">
      <c r="A1557" s="2" t="s">
        <v>1121</v>
      </c>
      <c r="B1557" s="2" t="s">
        <v>1122</v>
      </c>
      <c r="C1557" s="3">
        <v>2</v>
      </c>
      <c r="D1557" s="4">
        <v>123.06</v>
      </c>
      <c r="E1557" s="4">
        <v>83</v>
      </c>
      <c r="F1557" s="4">
        <f t="shared" si="103"/>
        <v>40.06</v>
      </c>
      <c r="G1557" s="5">
        <f t="shared" si="104"/>
        <v>0.32553226068584434</v>
      </c>
      <c r="H1557" s="2" t="s">
        <v>1125</v>
      </c>
      <c r="I1557" s="6" t="s">
        <v>32</v>
      </c>
      <c r="J1557" s="2" t="s">
        <v>1126</v>
      </c>
      <c r="K1557" s="2" t="s">
        <v>5</v>
      </c>
      <c r="L1557" s="2" t="s">
        <v>28</v>
      </c>
      <c r="M1557" s="2" t="s">
        <v>5</v>
      </c>
      <c r="N1557" s="4">
        <v>6575.31</v>
      </c>
    </row>
    <row r="1558" spans="1:14" x14ac:dyDescent="0.25">
      <c r="A1558" s="2" t="s">
        <v>1178</v>
      </c>
      <c r="B1558" s="2" t="s">
        <v>1179</v>
      </c>
      <c r="C1558" s="3">
        <v>1</v>
      </c>
      <c r="D1558" s="4">
        <v>23.2</v>
      </c>
      <c r="E1558" s="4">
        <v>15.65</v>
      </c>
      <c r="F1558" s="4">
        <f t="shared" si="103"/>
        <v>7.5499999999999989</v>
      </c>
      <c r="G1558" s="5">
        <f t="shared" si="104"/>
        <v>0.32543103448275856</v>
      </c>
      <c r="H1558" s="2" t="s">
        <v>1180</v>
      </c>
      <c r="I1558" s="6" t="s">
        <v>69</v>
      </c>
      <c r="J1558" s="2" t="s">
        <v>1181</v>
      </c>
      <c r="K1558" s="2" t="s">
        <v>5</v>
      </c>
      <c r="L1558" s="2" t="s">
        <v>28</v>
      </c>
      <c r="M1558" s="2" t="s">
        <v>5</v>
      </c>
      <c r="N1558" s="4">
        <v>23.2</v>
      </c>
    </row>
    <row r="1559" spans="1:14" x14ac:dyDescent="0.25">
      <c r="A1559" s="2" t="s">
        <v>1182</v>
      </c>
      <c r="B1559" s="2" t="s">
        <v>1183</v>
      </c>
      <c r="C1559" s="3">
        <v>1</v>
      </c>
      <c r="D1559" s="4">
        <v>37.06</v>
      </c>
      <c r="E1559" s="4">
        <v>25</v>
      </c>
      <c r="F1559" s="4">
        <f t="shared" si="103"/>
        <v>12.060000000000002</v>
      </c>
      <c r="G1559" s="5">
        <f t="shared" si="104"/>
        <v>0.32541824069077174</v>
      </c>
      <c r="H1559" s="2" t="s">
        <v>1127</v>
      </c>
      <c r="I1559" s="6" t="s">
        <v>69</v>
      </c>
      <c r="J1559" s="2" t="s">
        <v>1128</v>
      </c>
      <c r="K1559" s="2" t="s">
        <v>5</v>
      </c>
      <c r="L1559" s="2" t="s">
        <v>28</v>
      </c>
      <c r="M1559" s="2" t="s">
        <v>5</v>
      </c>
      <c r="N1559" s="4">
        <v>4305.1499999999996</v>
      </c>
    </row>
    <row r="1561" spans="1:14" x14ac:dyDescent="0.25">
      <c r="A1561" s="13" t="s">
        <v>59</v>
      </c>
      <c r="B1561" s="21"/>
      <c r="C1561" s="22">
        <f>SUM(C1482:C1560)</f>
        <v>350.56</v>
      </c>
      <c r="D1561" s="23">
        <f>SUM(D1482:D1560)</f>
        <v>10755.880400000002</v>
      </c>
      <c r="E1561" s="23">
        <f>SUM(E1482:E1560)</f>
        <v>7309.5039999999999</v>
      </c>
      <c r="F1561" s="23">
        <f>D1561-E1561</f>
        <v>3446.3764000000019</v>
      </c>
      <c r="G1561" s="24">
        <f>IF(((D1561)=0),0,(D1561-E1561)/ D1561)</f>
        <v>0.32041788043682612</v>
      </c>
      <c r="H1561" s="21"/>
      <c r="I1561" s="21"/>
      <c r="J1561" s="21"/>
      <c r="K1561" s="21"/>
      <c r="L1561" s="21"/>
      <c r="M1561" s="21"/>
      <c r="N1561" s="21"/>
    </row>
    <row r="1563" spans="1:14" s="17" customFormat="1" ht="18.75" x14ac:dyDescent="0.3"/>
    <row r="1564" spans="1:14" s="7" customFormat="1" x14ac:dyDescent="0.25">
      <c r="A1564" s="13" t="s">
        <v>1184</v>
      </c>
      <c r="B1564" s="18" t="s">
        <v>1185</v>
      </c>
      <c r="C1564" s="19"/>
      <c r="D1564" s="20" t="s">
        <v>5</v>
      </c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</row>
    <row r="1566" spans="1:14" x14ac:dyDescent="0.25">
      <c r="A1566" s="2" t="s">
        <v>1069</v>
      </c>
      <c r="B1566" s="2" t="s">
        <v>1070</v>
      </c>
      <c r="C1566" s="3">
        <v>15</v>
      </c>
      <c r="D1566" s="4">
        <v>231.3</v>
      </c>
      <c r="E1566" s="4">
        <v>156</v>
      </c>
      <c r="F1566" s="4">
        <f t="shared" ref="F1566:F1612" si="105">D1566-E1566</f>
        <v>75.300000000000011</v>
      </c>
      <c r="G1566" s="5">
        <f t="shared" ref="G1566:G1612" si="106">IF(((D1566)=0),0,(D1566-E1566)/ D1566)</f>
        <v>0.32555123216601817</v>
      </c>
      <c r="H1566" s="2" t="s">
        <v>1186</v>
      </c>
      <c r="I1566" s="6" t="s">
        <v>69</v>
      </c>
      <c r="J1566" s="2" t="s">
        <v>1187</v>
      </c>
      <c r="K1566" s="2" t="s">
        <v>5</v>
      </c>
      <c r="L1566" s="2" t="s">
        <v>28</v>
      </c>
      <c r="M1566" s="2" t="s">
        <v>5</v>
      </c>
      <c r="N1566" s="4">
        <v>4215.66</v>
      </c>
    </row>
    <row r="1567" spans="1:14" x14ac:dyDescent="0.25">
      <c r="A1567" s="2" t="s">
        <v>1069</v>
      </c>
      <c r="B1567" s="2" t="s">
        <v>1070</v>
      </c>
      <c r="C1567" s="3">
        <v>20</v>
      </c>
      <c r="D1567" s="4">
        <v>308.39999999999998</v>
      </c>
      <c r="E1567" s="4">
        <v>208</v>
      </c>
      <c r="F1567" s="4">
        <f t="shared" si="105"/>
        <v>100.39999999999998</v>
      </c>
      <c r="G1567" s="5">
        <f t="shared" si="106"/>
        <v>0.32555123216601811</v>
      </c>
      <c r="H1567" s="2" t="s">
        <v>1188</v>
      </c>
      <c r="I1567" s="6" t="s">
        <v>32</v>
      </c>
      <c r="J1567" s="2" t="s">
        <v>1189</v>
      </c>
      <c r="K1567" s="2" t="s">
        <v>5</v>
      </c>
      <c r="L1567" s="2" t="s">
        <v>28</v>
      </c>
      <c r="M1567" s="2" t="s">
        <v>5</v>
      </c>
      <c r="N1567" s="4">
        <v>2905.87</v>
      </c>
    </row>
    <row r="1568" spans="1:14" x14ac:dyDescent="0.25">
      <c r="A1568" s="2" t="s">
        <v>1129</v>
      </c>
      <c r="B1568" s="2" t="s">
        <v>1130</v>
      </c>
      <c r="C1568" s="3">
        <v>12</v>
      </c>
      <c r="D1568" s="4">
        <v>191.4</v>
      </c>
      <c r="E1568" s="4">
        <v>141.12</v>
      </c>
      <c r="F1568" s="4">
        <f t="shared" si="105"/>
        <v>50.28</v>
      </c>
      <c r="G1568" s="5">
        <f t="shared" si="106"/>
        <v>0.26269592476489029</v>
      </c>
      <c r="H1568" s="2" t="s">
        <v>1188</v>
      </c>
      <c r="I1568" s="6" t="s">
        <v>32</v>
      </c>
      <c r="J1568" s="2" t="s">
        <v>1189</v>
      </c>
      <c r="K1568" s="2" t="s">
        <v>5</v>
      </c>
      <c r="L1568" s="2" t="s">
        <v>28</v>
      </c>
      <c r="M1568" s="2" t="s">
        <v>5</v>
      </c>
      <c r="N1568" s="4">
        <v>2905.87</v>
      </c>
    </row>
    <row r="1569" spans="1:14" x14ac:dyDescent="0.25">
      <c r="A1569" s="2" t="s">
        <v>1075</v>
      </c>
      <c r="B1569" s="2" t="s">
        <v>1076</v>
      </c>
      <c r="C1569" s="3">
        <v>10</v>
      </c>
      <c r="D1569" s="4">
        <v>283.60000000000002</v>
      </c>
      <c r="E1569" s="4">
        <v>191.3</v>
      </c>
      <c r="F1569" s="4">
        <f t="shared" si="105"/>
        <v>92.300000000000011</v>
      </c>
      <c r="G1569" s="5">
        <f t="shared" si="106"/>
        <v>0.32545839210155147</v>
      </c>
      <c r="H1569" s="2" t="s">
        <v>1186</v>
      </c>
      <c r="I1569" s="6" t="s">
        <v>69</v>
      </c>
      <c r="J1569" s="2" t="s">
        <v>1187</v>
      </c>
      <c r="K1569" s="2" t="s">
        <v>5</v>
      </c>
      <c r="L1569" s="2" t="s">
        <v>28</v>
      </c>
      <c r="M1569" s="2" t="s">
        <v>5</v>
      </c>
      <c r="N1569" s="4">
        <v>4215.66</v>
      </c>
    </row>
    <row r="1570" spans="1:14" x14ac:dyDescent="0.25">
      <c r="A1570" s="2" t="s">
        <v>1075</v>
      </c>
      <c r="B1570" s="2" t="s">
        <v>1076</v>
      </c>
      <c r="C1570" s="3">
        <v>5</v>
      </c>
      <c r="D1570" s="4">
        <v>141.80000000000001</v>
      </c>
      <c r="E1570" s="4">
        <v>95.65</v>
      </c>
      <c r="F1570" s="4">
        <f t="shared" si="105"/>
        <v>46.150000000000006</v>
      </c>
      <c r="G1570" s="5">
        <f t="shared" si="106"/>
        <v>0.32545839210155147</v>
      </c>
      <c r="H1570" s="2" t="s">
        <v>1188</v>
      </c>
      <c r="I1570" s="6" t="s">
        <v>32</v>
      </c>
      <c r="J1570" s="2" t="s">
        <v>1189</v>
      </c>
      <c r="K1570" s="2" t="s">
        <v>5</v>
      </c>
      <c r="L1570" s="2" t="s">
        <v>28</v>
      </c>
      <c r="M1570" s="2" t="s">
        <v>5</v>
      </c>
      <c r="N1570" s="4">
        <v>2905.87</v>
      </c>
    </row>
    <row r="1571" spans="1:14" x14ac:dyDescent="0.25">
      <c r="A1571" s="2" t="s">
        <v>1077</v>
      </c>
      <c r="B1571" s="2" t="s">
        <v>1078</v>
      </c>
      <c r="C1571" s="3">
        <v>6</v>
      </c>
      <c r="D1571" s="4">
        <v>134.76</v>
      </c>
      <c r="E1571" s="4">
        <v>90.9</v>
      </c>
      <c r="F1571" s="4">
        <f t="shared" si="105"/>
        <v>43.859999999999985</v>
      </c>
      <c r="G1571" s="5">
        <f t="shared" si="106"/>
        <v>0.32546749777382006</v>
      </c>
      <c r="H1571" s="2" t="s">
        <v>1188</v>
      </c>
      <c r="I1571" s="6" t="s">
        <v>32</v>
      </c>
      <c r="J1571" s="2" t="s">
        <v>1189</v>
      </c>
      <c r="K1571" s="2" t="s">
        <v>5</v>
      </c>
      <c r="L1571" s="2" t="s">
        <v>28</v>
      </c>
      <c r="M1571" s="2" t="s">
        <v>5</v>
      </c>
      <c r="N1571" s="4">
        <v>2905.87</v>
      </c>
    </row>
    <row r="1572" spans="1:14" x14ac:dyDescent="0.25">
      <c r="A1572" s="2" t="s">
        <v>1077</v>
      </c>
      <c r="B1572" s="2" t="s">
        <v>1078</v>
      </c>
      <c r="C1572" s="3">
        <v>8</v>
      </c>
      <c r="D1572" s="4">
        <v>179.68</v>
      </c>
      <c r="E1572" s="4">
        <v>121.2</v>
      </c>
      <c r="F1572" s="4">
        <f t="shared" si="105"/>
        <v>58.480000000000004</v>
      </c>
      <c r="G1572" s="5">
        <f t="shared" si="106"/>
        <v>0.32546749777382011</v>
      </c>
      <c r="H1572" s="2" t="s">
        <v>1186</v>
      </c>
      <c r="I1572" s="6" t="s">
        <v>69</v>
      </c>
      <c r="J1572" s="2" t="s">
        <v>1187</v>
      </c>
      <c r="K1572" s="2" t="s">
        <v>5</v>
      </c>
      <c r="L1572" s="2" t="s">
        <v>28</v>
      </c>
      <c r="M1572" s="2" t="s">
        <v>5</v>
      </c>
      <c r="N1572" s="4">
        <v>4215.66</v>
      </c>
    </row>
    <row r="1573" spans="1:14" x14ac:dyDescent="0.25">
      <c r="A1573" s="2" t="s">
        <v>1079</v>
      </c>
      <c r="B1573" s="2" t="s">
        <v>1080</v>
      </c>
      <c r="C1573" s="3">
        <v>3</v>
      </c>
      <c r="D1573" s="4">
        <v>225.99</v>
      </c>
      <c r="E1573" s="4">
        <v>154.5</v>
      </c>
      <c r="F1573" s="4">
        <f t="shared" si="105"/>
        <v>71.490000000000009</v>
      </c>
      <c r="G1573" s="5">
        <f t="shared" si="106"/>
        <v>0.31634143103677159</v>
      </c>
      <c r="H1573" s="2" t="s">
        <v>1188</v>
      </c>
      <c r="I1573" s="6" t="s">
        <v>32</v>
      </c>
      <c r="J1573" s="2" t="s">
        <v>1189</v>
      </c>
      <c r="K1573" s="2" t="s">
        <v>5</v>
      </c>
      <c r="L1573" s="2" t="s">
        <v>28</v>
      </c>
      <c r="M1573" s="2" t="s">
        <v>5</v>
      </c>
      <c r="N1573" s="4">
        <v>2905.87</v>
      </c>
    </row>
    <row r="1574" spans="1:14" x14ac:dyDescent="0.25">
      <c r="A1574" s="2" t="s">
        <v>1079</v>
      </c>
      <c r="B1574" s="2" t="s">
        <v>1080</v>
      </c>
      <c r="C1574" s="3">
        <v>4</v>
      </c>
      <c r="D1574" s="4">
        <v>301.32</v>
      </c>
      <c r="E1574" s="4">
        <v>206</v>
      </c>
      <c r="F1574" s="4">
        <f t="shared" si="105"/>
        <v>95.32</v>
      </c>
      <c r="G1574" s="5">
        <f t="shared" si="106"/>
        <v>0.31634143103677154</v>
      </c>
      <c r="H1574" s="2" t="s">
        <v>1186</v>
      </c>
      <c r="I1574" s="6" t="s">
        <v>69</v>
      </c>
      <c r="J1574" s="2" t="s">
        <v>1187</v>
      </c>
      <c r="K1574" s="2" t="s">
        <v>5</v>
      </c>
      <c r="L1574" s="2" t="s">
        <v>28</v>
      </c>
      <c r="M1574" s="2" t="s">
        <v>5</v>
      </c>
      <c r="N1574" s="4">
        <v>4215.66</v>
      </c>
    </row>
    <row r="1575" spans="1:14" x14ac:dyDescent="0.25">
      <c r="A1575" s="2" t="s">
        <v>1081</v>
      </c>
      <c r="B1575" s="2" t="s">
        <v>1082</v>
      </c>
      <c r="C1575" s="3">
        <v>1</v>
      </c>
      <c r="D1575" s="4">
        <v>51.89</v>
      </c>
      <c r="E1575" s="4">
        <v>35.5</v>
      </c>
      <c r="F1575" s="4">
        <f t="shared" si="105"/>
        <v>16.39</v>
      </c>
      <c r="G1575" s="5">
        <f t="shared" si="106"/>
        <v>0.31586047407978418</v>
      </c>
      <c r="H1575" s="2" t="s">
        <v>1188</v>
      </c>
      <c r="I1575" s="6" t="s">
        <v>32</v>
      </c>
      <c r="J1575" s="2" t="s">
        <v>1189</v>
      </c>
      <c r="K1575" s="2" t="s">
        <v>5</v>
      </c>
      <c r="L1575" s="2" t="s">
        <v>28</v>
      </c>
      <c r="M1575" s="2" t="s">
        <v>5</v>
      </c>
      <c r="N1575" s="4">
        <v>2905.87</v>
      </c>
    </row>
    <row r="1576" spans="1:14" x14ac:dyDescent="0.25">
      <c r="A1576" s="2" t="s">
        <v>1081</v>
      </c>
      <c r="B1576" s="2" t="s">
        <v>1082</v>
      </c>
      <c r="C1576" s="3">
        <v>1</v>
      </c>
      <c r="D1576" s="4">
        <v>51.89</v>
      </c>
      <c r="E1576" s="4">
        <v>35.5</v>
      </c>
      <c r="F1576" s="4">
        <f t="shared" si="105"/>
        <v>16.39</v>
      </c>
      <c r="G1576" s="5">
        <f t="shared" si="106"/>
        <v>0.31586047407978418</v>
      </c>
      <c r="H1576" s="2" t="s">
        <v>1186</v>
      </c>
      <c r="I1576" s="6" t="s">
        <v>69</v>
      </c>
      <c r="J1576" s="2" t="s">
        <v>1187</v>
      </c>
      <c r="K1576" s="2" t="s">
        <v>5</v>
      </c>
      <c r="L1576" s="2" t="s">
        <v>28</v>
      </c>
      <c r="M1576" s="2" t="s">
        <v>5</v>
      </c>
      <c r="N1576" s="4">
        <v>4215.66</v>
      </c>
    </row>
    <row r="1577" spans="1:14" x14ac:dyDescent="0.25">
      <c r="A1577" s="2" t="s">
        <v>1132</v>
      </c>
      <c r="B1577" s="2" t="s">
        <v>1133</v>
      </c>
      <c r="C1577" s="3">
        <v>1</v>
      </c>
      <c r="D1577" s="4">
        <v>98.44</v>
      </c>
      <c r="E1577" s="4">
        <v>66.400000000000006</v>
      </c>
      <c r="F1577" s="4">
        <f t="shared" si="105"/>
        <v>32.039999999999992</v>
      </c>
      <c r="G1577" s="5">
        <f t="shared" si="106"/>
        <v>0.32547744819179186</v>
      </c>
      <c r="H1577" s="2" t="s">
        <v>1186</v>
      </c>
      <c r="I1577" s="6" t="s">
        <v>69</v>
      </c>
      <c r="J1577" s="2" t="s">
        <v>1187</v>
      </c>
      <c r="K1577" s="2" t="s">
        <v>5</v>
      </c>
      <c r="L1577" s="2" t="s">
        <v>28</v>
      </c>
      <c r="M1577" s="2" t="s">
        <v>5</v>
      </c>
      <c r="N1577" s="4">
        <v>4215.66</v>
      </c>
    </row>
    <row r="1578" spans="1:14" x14ac:dyDescent="0.25">
      <c r="A1578" s="2" t="s">
        <v>1085</v>
      </c>
      <c r="B1578" s="2" t="s">
        <v>1086</v>
      </c>
      <c r="C1578" s="3">
        <v>10.38</v>
      </c>
      <c r="D1578" s="4">
        <v>238.5324</v>
      </c>
      <c r="E1578" s="4">
        <v>160.88999999999999</v>
      </c>
      <c r="F1578" s="4">
        <f t="shared" si="105"/>
        <v>77.642400000000009</v>
      </c>
      <c r="G1578" s="5">
        <f t="shared" si="106"/>
        <v>0.32550043516100963</v>
      </c>
      <c r="H1578" s="2" t="s">
        <v>1188</v>
      </c>
      <c r="I1578" s="6" t="s">
        <v>32</v>
      </c>
      <c r="J1578" s="2" t="s">
        <v>1189</v>
      </c>
      <c r="K1578" s="2" t="s">
        <v>5</v>
      </c>
      <c r="L1578" s="2" t="s">
        <v>28</v>
      </c>
      <c r="M1578" s="2" t="s">
        <v>5</v>
      </c>
      <c r="N1578" s="4">
        <v>2905.87</v>
      </c>
    </row>
    <row r="1579" spans="1:14" x14ac:dyDescent="0.25">
      <c r="A1579" s="2" t="s">
        <v>1087</v>
      </c>
      <c r="B1579" s="2" t="s">
        <v>1088</v>
      </c>
      <c r="C1579" s="3">
        <v>4</v>
      </c>
      <c r="D1579" s="4">
        <v>56.56</v>
      </c>
      <c r="E1579" s="4">
        <v>38.159999999999997</v>
      </c>
      <c r="F1579" s="4">
        <f t="shared" si="105"/>
        <v>18.400000000000006</v>
      </c>
      <c r="G1579" s="5">
        <f t="shared" si="106"/>
        <v>0.32531824611032539</v>
      </c>
      <c r="H1579" s="2" t="s">
        <v>1186</v>
      </c>
      <c r="I1579" s="6" t="s">
        <v>69</v>
      </c>
      <c r="J1579" s="2" t="s">
        <v>1187</v>
      </c>
      <c r="K1579" s="2" t="s">
        <v>5</v>
      </c>
      <c r="L1579" s="2" t="s">
        <v>28</v>
      </c>
      <c r="M1579" s="2" t="s">
        <v>5</v>
      </c>
      <c r="N1579" s="4">
        <v>4215.66</v>
      </c>
    </row>
    <row r="1580" spans="1:14" x14ac:dyDescent="0.25">
      <c r="A1580" s="2" t="s">
        <v>1136</v>
      </c>
      <c r="B1580" s="2" t="s">
        <v>1137</v>
      </c>
      <c r="C1580" s="3">
        <v>1</v>
      </c>
      <c r="D1580" s="4">
        <v>23.25</v>
      </c>
      <c r="E1580" s="4">
        <v>14.7</v>
      </c>
      <c r="F1580" s="4">
        <f t="shared" si="105"/>
        <v>8.5500000000000007</v>
      </c>
      <c r="G1580" s="5">
        <f t="shared" si="106"/>
        <v>0.36774193548387102</v>
      </c>
      <c r="H1580" s="2" t="s">
        <v>1188</v>
      </c>
      <c r="I1580" s="6" t="s">
        <v>32</v>
      </c>
      <c r="J1580" s="2" t="s">
        <v>1189</v>
      </c>
      <c r="K1580" s="2" t="s">
        <v>5</v>
      </c>
      <c r="L1580" s="2" t="s">
        <v>28</v>
      </c>
      <c r="M1580" s="2" t="s">
        <v>5</v>
      </c>
      <c r="N1580" s="4">
        <v>2905.87</v>
      </c>
    </row>
    <row r="1581" spans="1:14" x14ac:dyDescent="0.25">
      <c r="A1581" s="2" t="s">
        <v>1093</v>
      </c>
      <c r="B1581" s="2" t="s">
        <v>1094</v>
      </c>
      <c r="C1581" s="3">
        <v>6</v>
      </c>
      <c r="D1581" s="4">
        <v>76.5</v>
      </c>
      <c r="E1581" s="4">
        <v>51.6</v>
      </c>
      <c r="F1581" s="4">
        <f t="shared" si="105"/>
        <v>24.9</v>
      </c>
      <c r="G1581" s="5">
        <f t="shared" si="106"/>
        <v>0.32549019607843133</v>
      </c>
      <c r="H1581" s="2" t="s">
        <v>1188</v>
      </c>
      <c r="I1581" s="6" t="s">
        <v>32</v>
      </c>
      <c r="J1581" s="2" t="s">
        <v>1189</v>
      </c>
      <c r="K1581" s="2" t="s">
        <v>5</v>
      </c>
      <c r="L1581" s="2" t="s">
        <v>28</v>
      </c>
      <c r="M1581" s="2" t="s">
        <v>5</v>
      </c>
      <c r="N1581" s="4">
        <v>2905.87</v>
      </c>
    </row>
    <row r="1582" spans="1:14" x14ac:dyDescent="0.25">
      <c r="A1582" s="2" t="s">
        <v>1093</v>
      </c>
      <c r="B1582" s="2" t="s">
        <v>1094</v>
      </c>
      <c r="C1582" s="3">
        <v>6</v>
      </c>
      <c r="D1582" s="4">
        <v>76.5</v>
      </c>
      <c r="E1582" s="4">
        <v>51.6</v>
      </c>
      <c r="F1582" s="4">
        <f t="shared" si="105"/>
        <v>24.9</v>
      </c>
      <c r="G1582" s="5">
        <f t="shared" si="106"/>
        <v>0.32549019607843133</v>
      </c>
      <c r="H1582" s="2" t="s">
        <v>1186</v>
      </c>
      <c r="I1582" s="6" t="s">
        <v>69</v>
      </c>
      <c r="J1582" s="2" t="s">
        <v>1187</v>
      </c>
      <c r="K1582" s="2" t="s">
        <v>5</v>
      </c>
      <c r="L1582" s="2" t="s">
        <v>28</v>
      </c>
      <c r="M1582" s="2" t="s">
        <v>5</v>
      </c>
      <c r="N1582" s="4">
        <v>4215.66</v>
      </c>
    </row>
    <row r="1583" spans="1:14" x14ac:dyDescent="0.25">
      <c r="A1583" s="2" t="s">
        <v>1097</v>
      </c>
      <c r="B1583" s="2" t="s">
        <v>1098</v>
      </c>
      <c r="C1583" s="3">
        <v>8</v>
      </c>
      <c r="D1583" s="4">
        <v>1458.88</v>
      </c>
      <c r="E1583" s="4">
        <v>984</v>
      </c>
      <c r="F1583" s="4">
        <f t="shared" si="105"/>
        <v>474.88000000000011</v>
      </c>
      <c r="G1583" s="5">
        <f t="shared" si="106"/>
        <v>0.32550998025882877</v>
      </c>
      <c r="H1583" s="2" t="s">
        <v>1186</v>
      </c>
      <c r="I1583" s="6" t="s">
        <v>69</v>
      </c>
      <c r="J1583" s="2" t="s">
        <v>1187</v>
      </c>
      <c r="K1583" s="2" t="s">
        <v>5</v>
      </c>
      <c r="L1583" s="2" t="s">
        <v>28</v>
      </c>
      <c r="M1583" s="2" t="s">
        <v>5</v>
      </c>
      <c r="N1583" s="4">
        <v>4215.66</v>
      </c>
    </row>
    <row r="1584" spans="1:14" x14ac:dyDescent="0.25">
      <c r="A1584" s="2" t="s">
        <v>1097</v>
      </c>
      <c r="B1584" s="2" t="s">
        <v>1098</v>
      </c>
      <c r="C1584" s="3">
        <v>3</v>
      </c>
      <c r="D1584" s="4">
        <v>547.08000000000004</v>
      </c>
      <c r="E1584" s="4">
        <v>369</v>
      </c>
      <c r="F1584" s="4">
        <f t="shared" si="105"/>
        <v>178.08000000000004</v>
      </c>
      <c r="G1584" s="5">
        <f t="shared" si="106"/>
        <v>0.32550998025882877</v>
      </c>
      <c r="H1584" s="2" t="s">
        <v>1188</v>
      </c>
      <c r="I1584" s="6" t="s">
        <v>32</v>
      </c>
      <c r="J1584" s="2" t="s">
        <v>1189</v>
      </c>
      <c r="K1584" s="2" t="s">
        <v>5</v>
      </c>
      <c r="L1584" s="2" t="s">
        <v>28</v>
      </c>
      <c r="M1584" s="2" t="s">
        <v>5</v>
      </c>
      <c r="N1584" s="4">
        <v>2905.87</v>
      </c>
    </row>
    <row r="1585" spans="1:14" x14ac:dyDescent="0.25">
      <c r="A1585" s="2" t="s">
        <v>1190</v>
      </c>
      <c r="B1585" s="2" t="s">
        <v>1191</v>
      </c>
      <c r="C1585" s="3">
        <v>1</v>
      </c>
      <c r="D1585" s="4">
        <v>18.98</v>
      </c>
      <c r="E1585" s="4">
        <v>8.36</v>
      </c>
      <c r="F1585" s="4">
        <f t="shared" si="105"/>
        <v>10.620000000000001</v>
      </c>
      <c r="G1585" s="5">
        <f t="shared" si="106"/>
        <v>0.55953635405690205</v>
      </c>
      <c r="H1585" s="2" t="s">
        <v>1188</v>
      </c>
      <c r="I1585" s="6" t="s">
        <v>32</v>
      </c>
      <c r="J1585" s="2" t="s">
        <v>1189</v>
      </c>
      <c r="K1585" s="2" t="s">
        <v>5</v>
      </c>
      <c r="L1585" s="2" t="s">
        <v>28</v>
      </c>
      <c r="M1585" s="2" t="s">
        <v>5</v>
      </c>
      <c r="N1585" s="4">
        <v>2905.87</v>
      </c>
    </row>
    <row r="1586" spans="1:14" x14ac:dyDescent="0.25">
      <c r="A1586" s="2" t="s">
        <v>1142</v>
      </c>
      <c r="B1586" s="2" t="s">
        <v>1143</v>
      </c>
      <c r="C1586" s="3">
        <v>2</v>
      </c>
      <c r="D1586" s="4">
        <v>11.14</v>
      </c>
      <c r="E1586" s="4">
        <v>11</v>
      </c>
      <c r="F1586" s="4">
        <f t="shared" si="105"/>
        <v>0.14000000000000057</v>
      </c>
      <c r="G1586" s="5">
        <f t="shared" si="106"/>
        <v>1.2567324955116747E-2</v>
      </c>
      <c r="H1586" s="2" t="s">
        <v>1188</v>
      </c>
      <c r="I1586" s="6" t="s">
        <v>32</v>
      </c>
      <c r="J1586" s="2" t="s">
        <v>1189</v>
      </c>
      <c r="K1586" s="2" t="s">
        <v>5</v>
      </c>
      <c r="L1586" s="2" t="s">
        <v>28</v>
      </c>
      <c r="M1586" s="2" t="s">
        <v>5</v>
      </c>
      <c r="N1586" s="4">
        <v>2905.87</v>
      </c>
    </row>
    <row r="1587" spans="1:14" x14ac:dyDescent="0.25">
      <c r="A1587" s="2" t="s">
        <v>1101</v>
      </c>
      <c r="B1587" s="2" t="s">
        <v>1102</v>
      </c>
      <c r="C1587" s="3">
        <v>2</v>
      </c>
      <c r="D1587" s="4">
        <v>11.14</v>
      </c>
      <c r="E1587" s="4">
        <v>11</v>
      </c>
      <c r="F1587" s="4">
        <f t="shared" si="105"/>
        <v>0.14000000000000057</v>
      </c>
      <c r="G1587" s="5">
        <f t="shared" si="106"/>
        <v>1.2567324955116747E-2</v>
      </c>
      <c r="H1587" s="2" t="s">
        <v>1188</v>
      </c>
      <c r="I1587" s="6" t="s">
        <v>32</v>
      </c>
      <c r="J1587" s="2" t="s">
        <v>1189</v>
      </c>
      <c r="K1587" s="2" t="s">
        <v>5</v>
      </c>
      <c r="L1587" s="2" t="s">
        <v>28</v>
      </c>
      <c r="M1587" s="2" t="s">
        <v>5</v>
      </c>
      <c r="N1587" s="4">
        <v>2905.87</v>
      </c>
    </row>
    <row r="1588" spans="1:14" x14ac:dyDescent="0.25">
      <c r="A1588" s="2" t="s">
        <v>1101</v>
      </c>
      <c r="B1588" s="2" t="s">
        <v>1102</v>
      </c>
      <c r="C1588" s="3">
        <v>2</v>
      </c>
      <c r="D1588" s="4">
        <v>11.14</v>
      </c>
      <c r="E1588" s="4">
        <v>11</v>
      </c>
      <c r="F1588" s="4">
        <f t="shared" si="105"/>
        <v>0.14000000000000057</v>
      </c>
      <c r="G1588" s="5">
        <f t="shared" si="106"/>
        <v>1.2567324955116747E-2</v>
      </c>
      <c r="H1588" s="2" t="s">
        <v>1186</v>
      </c>
      <c r="I1588" s="6" t="s">
        <v>69</v>
      </c>
      <c r="J1588" s="2" t="s">
        <v>1187</v>
      </c>
      <c r="K1588" s="2" t="s">
        <v>5</v>
      </c>
      <c r="L1588" s="2" t="s">
        <v>28</v>
      </c>
      <c r="M1588" s="2" t="s">
        <v>5</v>
      </c>
      <c r="N1588" s="4">
        <v>4215.66</v>
      </c>
    </row>
    <row r="1589" spans="1:14" x14ac:dyDescent="0.25">
      <c r="A1589" s="2" t="s">
        <v>1144</v>
      </c>
      <c r="B1589" s="2" t="s">
        <v>1145</v>
      </c>
      <c r="C1589" s="3">
        <v>1</v>
      </c>
      <c r="D1589" s="4">
        <v>17.79</v>
      </c>
      <c r="E1589" s="4">
        <v>12</v>
      </c>
      <c r="F1589" s="4">
        <f t="shared" si="105"/>
        <v>5.7899999999999991</v>
      </c>
      <c r="G1589" s="5">
        <f t="shared" si="106"/>
        <v>0.32546374367622255</v>
      </c>
      <c r="H1589" s="2" t="s">
        <v>1186</v>
      </c>
      <c r="I1589" s="6" t="s">
        <v>69</v>
      </c>
      <c r="J1589" s="2" t="s">
        <v>1187</v>
      </c>
      <c r="K1589" s="2" t="s">
        <v>5</v>
      </c>
      <c r="L1589" s="2" t="s">
        <v>28</v>
      </c>
      <c r="M1589" s="2" t="s">
        <v>5</v>
      </c>
      <c r="N1589" s="4">
        <v>4215.66</v>
      </c>
    </row>
    <row r="1590" spans="1:14" x14ac:dyDescent="0.25">
      <c r="A1590" s="2" t="s">
        <v>1103</v>
      </c>
      <c r="B1590" s="2" t="s">
        <v>1104</v>
      </c>
      <c r="C1590" s="3">
        <v>5</v>
      </c>
      <c r="D1590" s="4">
        <v>127.5</v>
      </c>
      <c r="E1590" s="4">
        <v>86</v>
      </c>
      <c r="F1590" s="4">
        <f t="shared" si="105"/>
        <v>41.5</v>
      </c>
      <c r="G1590" s="5">
        <f t="shared" si="106"/>
        <v>0.32549019607843138</v>
      </c>
      <c r="H1590" s="2" t="s">
        <v>1186</v>
      </c>
      <c r="I1590" s="6" t="s">
        <v>69</v>
      </c>
      <c r="J1590" s="2" t="s">
        <v>1187</v>
      </c>
      <c r="K1590" s="2" t="s">
        <v>5</v>
      </c>
      <c r="L1590" s="2" t="s">
        <v>28</v>
      </c>
      <c r="M1590" s="2" t="s">
        <v>5</v>
      </c>
      <c r="N1590" s="4">
        <v>4215.66</v>
      </c>
    </row>
    <row r="1591" spans="1:14" x14ac:dyDescent="0.25">
      <c r="A1591" s="2" t="s">
        <v>1105</v>
      </c>
      <c r="B1591" s="2" t="s">
        <v>1106</v>
      </c>
      <c r="C1591" s="3">
        <v>2</v>
      </c>
      <c r="D1591" s="4">
        <v>12.64</v>
      </c>
      <c r="E1591" s="4">
        <v>8.18</v>
      </c>
      <c r="F1591" s="4">
        <f t="shared" si="105"/>
        <v>4.4600000000000009</v>
      </c>
      <c r="G1591" s="5">
        <f t="shared" si="106"/>
        <v>0.35284810126582283</v>
      </c>
      <c r="H1591" s="2" t="s">
        <v>1188</v>
      </c>
      <c r="I1591" s="6" t="s">
        <v>32</v>
      </c>
      <c r="J1591" s="2" t="s">
        <v>1189</v>
      </c>
      <c r="K1591" s="2" t="s">
        <v>5</v>
      </c>
      <c r="L1591" s="2" t="s">
        <v>28</v>
      </c>
      <c r="M1591" s="2" t="s">
        <v>5</v>
      </c>
      <c r="N1591" s="4">
        <v>2905.87</v>
      </c>
    </row>
    <row r="1592" spans="1:14" x14ac:dyDescent="0.25">
      <c r="A1592" s="2" t="s">
        <v>1105</v>
      </c>
      <c r="B1592" s="2" t="s">
        <v>1106</v>
      </c>
      <c r="C1592" s="3">
        <v>2</v>
      </c>
      <c r="D1592" s="4">
        <v>12.64</v>
      </c>
      <c r="E1592" s="4">
        <v>8.18</v>
      </c>
      <c r="F1592" s="4">
        <f t="shared" si="105"/>
        <v>4.4600000000000009</v>
      </c>
      <c r="G1592" s="5">
        <f t="shared" si="106"/>
        <v>0.35284810126582283</v>
      </c>
      <c r="H1592" s="2" t="s">
        <v>1186</v>
      </c>
      <c r="I1592" s="6" t="s">
        <v>69</v>
      </c>
      <c r="J1592" s="2" t="s">
        <v>1187</v>
      </c>
      <c r="K1592" s="2" t="s">
        <v>5</v>
      </c>
      <c r="L1592" s="2" t="s">
        <v>28</v>
      </c>
      <c r="M1592" s="2" t="s">
        <v>5</v>
      </c>
      <c r="N1592" s="4">
        <v>4215.66</v>
      </c>
    </row>
    <row r="1593" spans="1:14" x14ac:dyDescent="0.25">
      <c r="A1593" s="2" t="s">
        <v>158</v>
      </c>
      <c r="B1593" s="2" t="s">
        <v>159</v>
      </c>
      <c r="C1593" s="3">
        <v>20</v>
      </c>
      <c r="D1593" s="4">
        <v>207.2</v>
      </c>
      <c r="E1593" s="4">
        <v>157.4</v>
      </c>
      <c r="F1593" s="4">
        <f t="shared" si="105"/>
        <v>49.799999999999983</v>
      </c>
      <c r="G1593" s="5">
        <f t="shared" si="106"/>
        <v>0.24034749034749028</v>
      </c>
      <c r="H1593" s="2" t="s">
        <v>1186</v>
      </c>
      <c r="I1593" s="6" t="s">
        <v>69</v>
      </c>
      <c r="J1593" s="2" t="s">
        <v>1187</v>
      </c>
      <c r="K1593" s="2" t="s">
        <v>5</v>
      </c>
      <c r="L1593" s="2" t="s">
        <v>28</v>
      </c>
      <c r="M1593" s="2" t="s">
        <v>5</v>
      </c>
      <c r="N1593" s="4">
        <v>4215.66</v>
      </c>
    </row>
    <row r="1594" spans="1:14" x14ac:dyDescent="0.25">
      <c r="A1594" s="2" t="s">
        <v>163</v>
      </c>
      <c r="B1594" s="2" t="s">
        <v>164</v>
      </c>
      <c r="C1594" s="3">
        <v>12</v>
      </c>
      <c r="D1594" s="4">
        <v>124.32</v>
      </c>
      <c r="E1594" s="4">
        <v>83.88</v>
      </c>
      <c r="F1594" s="4">
        <f t="shared" si="105"/>
        <v>40.44</v>
      </c>
      <c r="G1594" s="5">
        <f t="shared" si="106"/>
        <v>0.32528957528957531</v>
      </c>
      <c r="H1594" s="2" t="s">
        <v>1188</v>
      </c>
      <c r="I1594" s="6" t="s">
        <v>32</v>
      </c>
      <c r="J1594" s="2" t="s">
        <v>1189</v>
      </c>
      <c r="K1594" s="2" t="s">
        <v>5</v>
      </c>
      <c r="L1594" s="2" t="s">
        <v>28</v>
      </c>
      <c r="M1594" s="2" t="s">
        <v>5</v>
      </c>
      <c r="N1594" s="4">
        <v>2905.87</v>
      </c>
    </row>
    <row r="1595" spans="1:14" x14ac:dyDescent="0.25">
      <c r="A1595" s="2" t="s">
        <v>1107</v>
      </c>
      <c r="B1595" s="2" t="s">
        <v>1108</v>
      </c>
      <c r="C1595" s="3">
        <v>4</v>
      </c>
      <c r="D1595" s="4">
        <v>166.36</v>
      </c>
      <c r="E1595" s="4">
        <v>116</v>
      </c>
      <c r="F1595" s="4">
        <f t="shared" si="105"/>
        <v>50.360000000000014</v>
      </c>
      <c r="G1595" s="5">
        <f t="shared" si="106"/>
        <v>0.30271699927867279</v>
      </c>
      <c r="H1595" s="2" t="s">
        <v>1188</v>
      </c>
      <c r="I1595" s="6" t="s">
        <v>32</v>
      </c>
      <c r="J1595" s="2" t="s">
        <v>1189</v>
      </c>
      <c r="K1595" s="2" t="s">
        <v>5</v>
      </c>
      <c r="L1595" s="2" t="s">
        <v>28</v>
      </c>
      <c r="M1595" s="2" t="s">
        <v>5</v>
      </c>
      <c r="N1595" s="4">
        <v>2905.87</v>
      </c>
    </row>
    <row r="1596" spans="1:14" x14ac:dyDescent="0.25">
      <c r="A1596" s="2" t="s">
        <v>1107</v>
      </c>
      <c r="B1596" s="2" t="s">
        <v>1108</v>
      </c>
      <c r="C1596" s="3">
        <v>5</v>
      </c>
      <c r="D1596" s="4">
        <v>207.95</v>
      </c>
      <c r="E1596" s="4">
        <v>145</v>
      </c>
      <c r="F1596" s="4">
        <f t="shared" si="105"/>
        <v>62.949999999999989</v>
      </c>
      <c r="G1596" s="5">
        <f t="shared" si="106"/>
        <v>0.30271699927867274</v>
      </c>
      <c r="H1596" s="2" t="s">
        <v>1186</v>
      </c>
      <c r="I1596" s="6" t="s">
        <v>69</v>
      </c>
      <c r="J1596" s="2" t="s">
        <v>1187</v>
      </c>
      <c r="K1596" s="2" t="s">
        <v>5</v>
      </c>
      <c r="L1596" s="2" t="s">
        <v>28</v>
      </c>
      <c r="M1596" s="2" t="s">
        <v>5</v>
      </c>
      <c r="N1596" s="4">
        <v>4215.66</v>
      </c>
    </row>
    <row r="1597" spans="1:14" x14ac:dyDescent="0.25">
      <c r="A1597" s="2" t="s">
        <v>1109</v>
      </c>
      <c r="B1597" s="2" t="s">
        <v>1110</v>
      </c>
      <c r="C1597" s="3">
        <v>2</v>
      </c>
      <c r="D1597" s="4">
        <v>83.92</v>
      </c>
      <c r="E1597" s="4">
        <v>58.6</v>
      </c>
      <c r="F1597" s="4">
        <f t="shared" si="105"/>
        <v>25.32</v>
      </c>
      <c r="G1597" s="5">
        <f t="shared" si="106"/>
        <v>0.30171591992373686</v>
      </c>
      <c r="H1597" s="2" t="s">
        <v>1188</v>
      </c>
      <c r="I1597" s="6" t="s">
        <v>32</v>
      </c>
      <c r="J1597" s="2" t="s">
        <v>1189</v>
      </c>
      <c r="K1597" s="2" t="s">
        <v>5</v>
      </c>
      <c r="L1597" s="2" t="s">
        <v>28</v>
      </c>
      <c r="M1597" s="2" t="s">
        <v>5</v>
      </c>
      <c r="N1597" s="4">
        <v>2905.87</v>
      </c>
    </row>
    <row r="1598" spans="1:14" x14ac:dyDescent="0.25">
      <c r="A1598" s="2" t="s">
        <v>1109</v>
      </c>
      <c r="B1598" s="2" t="s">
        <v>1110</v>
      </c>
      <c r="C1598" s="3">
        <v>1</v>
      </c>
      <c r="D1598" s="4">
        <v>41.96</v>
      </c>
      <c r="E1598" s="4">
        <v>29.3</v>
      </c>
      <c r="F1598" s="4">
        <f t="shared" si="105"/>
        <v>12.66</v>
      </c>
      <c r="G1598" s="5">
        <f t="shared" si="106"/>
        <v>0.30171591992373686</v>
      </c>
      <c r="H1598" s="2" t="s">
        <v>1186</v>
      </c>
      <c r="I1598" s="6" t="s">
        <v>69</v>
      </c>
      <c r="J1598" s="2" t="s">
        <v>1187</v>
      </c>
      <c r="K1598" s="2" t="s">
        <v>5</v>
      </c>
      <c r="L1598" s="2" t="s">
        <v>28</v>
      </c>
      <c r="M1598" s="2" t="s">
        <v>5</v>
      </c>
      <c r="N1598" s="4">
        <v>4215.66</v>
      </c>
    </row>
    <row r="1599" spans="1:14" x14ac:dyDescent="0.25">
      <c r="A1599" s="2" t="s">
        <v>1111</v>
      </c>
      <c r="B1599" s="2" t="s">
        <v>1112</v>
      </c>
      <c r="C1599" s="3">
        <v>1</v>
      </c>
      <c r="D1599" s="4">
        <v>41.66</v>
      </c>
      <c r="E1599" s="4">
        <v>29.08</v>
      </c>
      <c r="F1599" s="4">
        <f t="shared" si="105"/>
        <v>12.579999999999998</v>
      </c>
      <c r="G1599" s="5">
        <f t="shared" si="106"/>
        <v>0.30196831493038884</v>
      </c>
      <c r="H1599" s="2" t="s">
        <v>1188</v>
      </c>
      <c r="I1599" s="6" t="s">
        <v>32</v>
      </c>
      <c r="J1599" s="2" t="s">
        <v>1189</v>
      </c>
      <c r="K1599" s="2" t="s">
        <v>5</v>
      </c>
      <c r="L1599" s="2" t="s">
        <v>28</v>
      </c>
      <c r="M1599" s="2" t="s">
        <v>5</v>
      </c>
      <c r="N1599" s="4">
        <v>2905.87</v>
      </c>
    </row>
    <row r="1600" spans="1:14" x14ac:dyDescent="0.25">
      <c r="A1600" s="2" t="s">
        <v>1111</v>
      </c>
      <c r="B1600" s="2" t="s">
        <v>1112</v>
      </c>
      <c r="C1600" s="3">
        <v>1</v>
      </c>
      <c r="D1600" s="4">
        <v>41.66</v>
      </c>
      <c r="E1600" s="4">
        <v>29.08</v>
      </c>
      <c r="F1600" s="4">
        <f t="shared" si="105"/>
        <v>12.579999999999998</v>
      </c>
      <c r="G1600" s="5">
        <f t="shared" si="106"/>
        <v>0.30196831493038884</v>
      </c>
      <c r="H1600" s="2" t="s">
        <v>1186</v>
      </c>
      <c r="I1600" s="6" t="s">
        <v>69</v>
      </c>
      <c r="J1600" s="2" t="s">
        <v>1187</v>
      </c>
      <c r="K1600" s="2" t="s">
        <v>5</v>
      </c>
      <c r="L1600" s="2" t="s">
        <v>28</v>
      </c>
      <c r="M1600" s="2" t="s">
        <v>5</v>
      </c>
      <c r="N1600" s="4">
        <v>4215.66</v>
      </c>
    </row>
    <row r="1601" spans="1:14" x14ac:dyDescent="0.25">
      <c r="A1601" s="2" t="s">
        <v>1166</v>
      </c>
      <c r="B1601" s="2" t="s">
        <v>1167</v>
      </c>
      <c r="C1601" s="3">
        <v>8.1999999999999993</v>
      </c>
      <c r="D1601" s="4">
        <v>148.33799999999999</v>
      </c>
      <c r="E1601" s="4">
        <v>89.38</v>
      </c>
      <c r="F1601" s="4">
        <f t="shared" si="105"/>
        <v>58.957999999999998</v>
      </c>
      <c r="G1601" s="5">
        <f t="shared" si="106"/>
        <v>0.39745715865118852</v>
      </c>
      <c r="H1601" s="2" t="s">
        <v>1186</v>
      </c>
      <c r="I1601" s="6" t="s">
        <v>69</v>
      </c>
      <c r="J1601" s="2" t="s">
        <v>1187</v>
      </c>
      <c r="K1601" s="2" t="s">
        <v>5</v>
      </c>
      <c r="L1601" s="2" t="s">
        <v>28</v>
      </c>
      <c r="M1601" s="2" t="s">
        <v>5</v>
      </c>
      <c r="N1601" s="4">
        <v>4215.66</v>
      </c>
    </row>
    <row r="1602" spans="1:14" x14ac:dyDescent="0.25">
      <c r="A1602" s="2" t="s">
        <v>1192</v>
      </c>
      <c r="B1602" s="2" t="s">
        <v>1193</v>
      </c>
      <c r="C1602" s="3">
        <v>4</v>
      </c>
      <c r="D1602" s="4">
        <v>106.76</v>
      </c>
      <c r="E1602" s="4">
        <v>72</v>
      </c>
      <c r="F1602" s="4">
        <f t="shared" si="105"/>
        <v>34.760000000000005</v>
      </c>
      <c r="G1602" s="5">
        <f t="shared" si="106"/>
        <v>0.32559010865492699</v>
      </c>
      <c r="H1602" s="2" t="s">
        <v>1186</v>
      </c>
      <c r="I1602" s="6" t="s">
        <v>69</v>
      </c>
      <c r="J1602" s="2" t="s">
        <v>1187</v>
      </c>
      <c r="K1602" s="2" t="s">
        <v>5</v>
      </c>
      <c r="L1602" s="2" t="s">
        <v>28</v>
      </c>
      <c r="M1602" s="2" t="s">
        <v>5</v>
      </c>
      <c r="N1602" s="4">
        <v>4215.66</v>
      </c>
    </row>
    <row r="1603" spans="1:14" x14ac:dyDescent="0.25">
      <c r="A1603" s="2" t="s">
        <v>1113</v>
      </c>
      <c r="B1603" s="2" t="s">
        <v>1114</v>
      </c>
      <c r="C1603" s="3">
        <v>2</v>
      </c>
      <c r="D1603" s="4">
        <v>51.96</v>
      </c>
      <c r="E1603" s="4">
        <v>35</v>
      </c>
      <c r="F1603" s="4">
        <f t="shared" si="105"/>
        <v>16.96</v>
      </c>
      <c r="G1603" s="5">
        <f t="shared" si="106"/>
        <v>0.32640492686682065</v>
      </c>
      <c r="H1603" s="2" t="s">
        <v>1188</v>
      </c>
      <c r="I1603" s="6" t="s">
        <v>32</v>
      </c>
      <c r="J1603" s="2" t="s">
        <v>1189</v>
      </c>
      <c r="K1603" s="2" t="s">
        <v>5</v>
      </c>
      <c r="L1603" s="2" t="s">
        <v>28</v>
      </c>
      <c r="M1603" s="2" t="s">
        <v>5</v>
      </c>
      <c r="N1603" s="4">
        <v>2905.87</v>
      </c>
    </row>
    <row r="1604" spans="1:14" x14ac:dyDescent="0.25">
      <c r="A1604" s="2" t="s">
        <v>1117</v>
      </c>
      <c r="B1604" s="2" t="s">
        <v>1118</v>
      </c>
      <c r="C1604" s="3">
        <v>8</v>
      </c>
      <c r="D1604" s="4">
        <v>198.56</v>
      </c>
      <c r="E1604" s="4">
        <v>133.91999999999999</v>
      </c>
      <c r="F1604" s="4">
        <f t="shared" si="105"/>
        <v>64.640000000000015</v>
      </c>
      <c r="G1604" s="5">
        <f t="shared" si="106"/>
        <v>0.32554391619661571</v>
      </c>
      <c r="H1604" s="2" t="s">
        <v>1188</v>
      </c>
      <c r="I1604" s="6" t="s">
        <v>32</v>
      </c>
      <c r="J1604" s="2" t="s">
        <v>1189</v>
      </c>
      <c r="K1604" s="2" t="s">
        <v>5</v>
      </c>
      <c r="L1604" s="2" t="s">
        <v>28</v>
      </c>
      <c r="M1604" s="2" t="s">
        <v>5</v>
      </c>
      <c r="N1604" s="4">
        <v>2905.87</v>
      </c>
    </row>
    <row r="1605" spans="1:14" x14ac:dyDescent="0.25">
      <c r="A1605" s="2" t="s">
        <v>1117</v>
      </c>
      <c r="B1605" s="2" t="s">
        <v>1118</v>
      </c>
      <c r="C1605" s="3">
        <v>8</v>
      </c>
      <c r="D1605" s="4">
        <v>198.56</v>
      </c>
      <c r="E1605" s="4">
        <v>133.91999999999999</v>
      </c>
      <c r="F1605" s="4">
        <f t="shared" si="105"/>
        <v>64.640000000000015</v>
      </c>
      <c r="G1605" s="5">
        <f t="shared" si="106"/>
        <v>0.32554391619661571</v>
      </c>
      <c r="H1605" s="2" t="s">
        <v>1186</v>
      </c>
      <c r="I1605" s="6" t="s">
        <v>69</v>
      </c>
      <c r="J1605" s="2" t="s">
        <v>1187</v>
      </c>
      <c r="K1605" s="2" t="s">
        <v>5</v>
      </c>
      <c r="L1605" s="2" t="s">
        <v>28</v>
      </c>
      <c r="M1605" s="2" t="s">
        <v>5</v>
      </c>
      <c r="N1605" s="4">
        <v>4215.66</v>
      </c>
    </row>
    <row r="1606" spans="1:14" x14ac:dyDescent="0.25">
      <c r="A1606" s="2" t="s">
        <v>1176</v>
      </c>
      <c r="B1606" s="2" t="s">
        <v>1177</v>
      </c>
      <c r="C1606" s="3">
        <v>6</v>
      </c>
      <c r="D1606" s="4">
        <v>97.74</v>
      </c>
      <c r="E1606" s="4">
        <v>62.4</v>
      </c>
      <c r="F1606" s="4">
        <f t="shared" si="105"/>
        <v>35.339999999999996</v>
      </c>
      <c r="G1606" s="5">
        <f t="shared" si="106"/>
        <v>0.36157151626764883</v>
      </c>
      <c r="H1606" s="2" t="s">
        <v>1188</v>
      </c>
      <c r="I1606" s="6" t="s">
        <v>32</v>
      </c>
      <c r="J1606" s="2" t="s">
        <v>1189</v>
      </c>
      <c r="K1606" s="2" t="s">
        <v>5</v>
      </c>
      <c r="L1606" s="2" t="s">
        <v>28</v>
      </c>
      <c r="M1606" s="2" t="s">
        <v>5</v>
      </c>
      <c r="N1606" s="4">
        <v>2905.87</v>
      </c>
    </row>
    <row r="1607" spans="1:14" x14ac:dyDescent="0.25">
      <c r="A1607" s="2" t="s">
        <v>1176</v>
      </c>
      <c r="B1607" s="2" t="s">
        <v>1177</v>
      </c>
      <c r="C1607" s="3">
        <v>6</v>
      </c>
      <c r="D1607" s="4">
        <v>97.74</v>
      </c>
      <c r="E1607" s="4">
        <v>62.4</v>
      </c>
      <c r="F1607" s="4">
        <f t="shared" si="105"/>
        <v>35.339999999999996</v>
      </c>
      <c r="G1607" s="5">
        <f t="shared" si="106"/>
        <v>0.36157151626764883</v>
      </c>
      <c r="H1607" s="2" t="s">
        <v>1186</v>
      </c>
      <c r="I1607" s="6" t="s">
        <v>69</v>
      </c>
      <c r="J1607" s="2" t="s">
        <v>1187</v>
      </c>
      <c r="K1607" s="2" t="s">
        <v>5</v>
      </c>
      <c r="L1607" s="2" t="s">
        <v>28</v>
      </c>
      <c r="M1607" s="2" t="s">
        <v>5</v>
      </c>
      <c r="N1607" s="4">
        <v>4215.66</v>
      </c>
    </row>
    <row r="1608" spans="1:14" x14ac:dyDescent="0.25">
      <c r="A1608" s="2" t="s">
        <v>1119</v>
      </c>
      <c r="B1608" s="2" t="s">
        <v>1120</v>
      </c>
      <c r="C1608" s="3">
        <v>1</v>
      </c>
      <c r="D1608" s="4">
        <v>53</v>
      </c>
      <c r="E1608" s="4">
        <v>35.75</v>
      </c>
      <c r="F1608" s="4">
        <f t="shared" si="105"/>
        <v>17.25</v>
      </c>
      <c r="G1608" s="5">
        <f t="shared" si="106"/>
        <v>0.32547169811320753</v>
      </c>
      <c r="H1608" s="2" t="s">
        <v>1186</v>
      </c>
      <c r="I1608" s="6" t="s">
        <v>69</v>
      </c>
      <c r="J1608" s="2" t="s">
        <v>1187</v>
      </c>
      <c r="K1608" s="2" t="s">
        <v>5</v>
      </c>
      <c r="L1608" s="2" t="s">
        <v>28</v>
      </c>
      <c r="M1608" s="2" t="s">
        <v>5</v>
      </c>
      <c r="N1608" s="4">
        <v>4215.66</v>
      </c>
    </row>
    <row r="1609" spans="1:14" x14ac:dyDescent="0.25">
      <c r="A1609" s="2" t="s">
        <v>1119</v>
      </c>
      <c r="B1609" s="2" t="s">
        <v>1120</v>
      </c>
      <c r="C1609" s="3">
        <v>1</v>
      </c>
      <c r="D1609" s="4">
        <v>53</v>
      </c>
      <c r="E1609" s="4">
        <v>35.75</v>
      </c>
      <c r="F1609" s="4">
        <f t="shared" si="105"/>
        <v>17.25</v>
      </c>
      <c r="G1609" s="5">
        <f t="shared" si="106"/>
        <v>0.32547169811320753</v>
      </c>
      <c r="H1609" s="2" t="s">
        <v>1188</v>
      </c>
      <c r="I1609" s="6" t="s">
        <v>32</v>
      </c>
      <c r="J1609" s="2" t="s">
        <v>1189</v>
      </c>
      <c r="K1609" s="2" t="s">
        <v>5</v>
      </c>
      <c r="L1609" s="2" t="s">
        <v>28</v>
      </c>
      <c r="M1609" s="2" t="s">
        <v>5</v>
      </c>
      <c r="N1609" s="4">
        <v>2905.87</v>
      </c>
    </row>
    <row r="1610" spans="1:14" x14ac:dyDescent="0.25">
      <c r="A1610" s="2" t="s">
        <v>1194</v>
      </c>
      <c r="B1610" s="2" t="s">
        <v>1195</v>
      </c>
      <c r="C1610" s="3">
        <v>1</v>
      </c>
      <c r="D1610" s="4">
        <v>50.14</v>
      </c>
      <c r="E1610" s="4">
        <v>33.82</v>
      </c>
      <c r="F1610" s="4">
        <f t="shared" si="105"/>
        <v>16.32</v>
      </c>
      <c r="G1610" s="5">
        <f t="shared" si="106"/>
        <v>0.32548863183087356</v>
      </c>
      <c r="H1610" s="2" t="s">
        <v>1186</v>
      </c>
      <c r="I1610" s="6" t="s">
        <v>69</v>
      </c>
      <c r="J1610" s="2" t="s">
        <v>1187</v>
      </c>
      <c r="K1610" s="2" t="s">
        <v>5</v>
      </c>
      <c r="L1610" s="2" t="s">
        <v>28</v>
      </c>
      <c r="M1610" s="2" t="s">
        <v>5</v>
      </c>
      <c r="N1610" s="4">
        <v>4215.66</v>
      </c>
    </row>
    <row r="1611" spans="1:14" x14ac:dyDescent="0.25">
      <c r="A1611" s="2" t="s">
        <v>1121</v>
      </c>
      <c r="B1611" s="2" t="s">
        <v>1122</v>
      </c>
      <c r="C1611" s="3">
        <v>1</v>
      </c>
      <c r="D1611" s="4">
        <v>61.53</v>
      </c>
      <c r="E1611" s="4">
        <v>41.5</v>
      </c>
      <c r="F1611" s="4">
        <f t="shared" si="105"/>
        <v>20.03</v>
      </c>
      <c r="G1611" s="5">
        <f t="shared" si="106"/>
        <v>0.32553226068584434</v>
      </c>
      <c r="H1611" s="2" t="s">
        <v>1188</v>
      </c>
      <c r="I1611" s="6" t="s">
        <v>32</v>
      </c>
      <c r="J1611" s="2" t="s">
        <v>1189</v>
      </c>
      <c r="K1611" s="2" t="s">
        <v>5</v>
      </c>
      <c r="L1611" s="2" t="s">
        <v>28</v>
      </c>
      <c r="M1611" s="2" t="s">
        <v>5</v>
      </c>
      <c r="N1611" s="4">
        <v>2905.87</v>
      </c>
    </row>
    <row r="1612" spans="1:14" x14ac:dyDescent="0.25">
      <c r="A1612" s="2" t="s">
        <v>1121</v>
      </c>
      <c r="B1612" s="2" t="s">
        <v>1122</v>
      </c>
      <c r="C1612" s="3">
        <v>2</v>
      </c>
      <c r="D1612" s="4">
        <v>123.06</v>
      </c>
      <c r="E1612" s="4">
        <v>83</v>
      </c>
      <c r="F1612" s="4">
        <f t="shared" si="105"/>
        <v>40.06</v>
      </c>
      <c r="G1612" s="5">
        <f t="shared" si="106"/>
        <v>0.32553226068584434</v>
      </c>
      <c r="H1612" s="2" t="s">
        <v>1186</v>
      </c>
      <c r="I1612" s="6" t="s">
        <v>69</v>
      </c>
      <c r="J1612" s="2" t="s">
        <v>1187</v>
      </c>
      <c r="K1612" s="2" t="s">
        <v>5</v>
      </c>
      <c r="L1612" s="2" t="s">
        <v>28</v>
      </c>
      <c r="M1612" s="2" t="s">
        <v>5</v>
      </c>
      <c r="N1612" s="4">
        <v>4215.66</v>
      </c>
    </row>
    <row r="1614" spans="1:14" x14ac:dyDescent="0.25">
      <c r="A1614" s="13" t="s">
        <v>59</v>
      </c>
      <c r="B1614" s="21"/>
      <c r="C1614" s="22">
        <f>SUM(C1563:C1613)</f>
        <v>235.57999999999998</v>
      </c>
      <c r="D1614" s="23">
        <f>SUM(D1563:D1613)</f>
        <v>7056.1604000000007</v>
      </c>
      <c r="E1614" s="23">
        <f>SUM(E1563:E1613)</f>
        <v>4794.9199999999992</v>
      </c>
      <c r="F1614" s="23">
        <f>D1614-E1614</f>
        <v>2261.2404000000015</v>
      </c>
      <c r="G1614" s="24">
        <f>IF(((D1614)=0),0,(D1614-E1614)/ D1614)</f>
        <v>0.32046329332309414</v>
      </c>
      <c r="H1614" s="21"/>
      <c r="I1614" s="21"/>
      <c r="J1614" s="21"/>
      <c r="K1614" s="21"/>
      <c r="L1614" s="21"/>
      <c r="M1614" s="21"/>
      <c r="N1614" s="21"/>
    </row>
    <row r="1616" spans="1:14" s="17" customFormat="1" ht="18.75" x14ac:dyDescent="0.3"/>
    <row r="1617" spans="1:14" s="7" customFormat="1" x14ac:dyDescent="0.25">
      <c r="A1617" s="13" t="s">
        <v>1196</v>
      </c>
      <c r="B1617" s="18" t="s">
        <v>1197</v>
      </c>
      <c r="C1617" s="19"/>
      <c r="D1617" s="20" t="s">
        <v>5</v>
      </c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</row>
    <row r="1619" spans="1:14" x14ac:dyDescent="0.25">
      <c r="A1619" s="2" t="s">
        <v>128</v>
      </c>
      <c r="B1619" s="2" t="s">
        <v>129</v>
      </c>
      <c r="C1619" s="3">
        <v>10</v>
      </c>
      <c r="D1619" s="4">
        <v>153.19999999999999</v>
      </c>
      <c r="E1619" s="4">
        <v>109.8</v>
      </c>
      <c r="F1619" s="4">
        <f t="shared" ref="F1619:F1634" si="107">D1619-E1619</f>
        <v>43.399999999999991</v>
      </c>
      <c r="G1619" s="5">
        <f t="shared" ref="G1619:G1634" si="108">IF(((D1619)=0),0,(D1619-E1619)/ D1619)</f>
        <v>0.28328981723237595</v>
      </c>
      <c r="H1619" s="2" t="s">
        <v>1198</v>
      </c>
      <c r="I1619" s="6" t="s">
        <v>32</v>
      </c>
      <c r="J1619" s="2" t="s">
        <v>1199</v>
      </c>
      <c r="K1619" s="2" t="s">
        <v>5</v>
      </c>
      <c r="L1619" s="2" t="s">
        <v>28</v>
      </c>
      <c r="M1619" s="2" t="s">
        <v>5</v>
      </c>
      <c r="N1619" s="4">
        <v>1453.54</v>
      </c>
    </row>
    <row r="1620" spans="1:14" x14ac:dyDescent="0.25">
      <c r="A1620" s="2" t="s">
        <v>128</v>
      </c>
      <c r="B1620" s="2" t="s">
        <v>129</v>
      </c>
      <c r="C1620" s="3">
        <v>5</v>
      </c>
      <c r="D1620" s="4">
        <v>76.599999999999994</v>
      </c>
      <c r="E1620" s="4">
        <v>54.9</v>
      </c>
      <c r="F1620" s="4">
        <f t="shared" si="107"/>
        <v>21.699999999999996</v>
      </c>
      <c r="G1620" s="5">
        <f t="shared" si="108"/>
        <v>0.28328981723237595</v>
      </c>
      <c r="H1620" s="2" t="s">
        <v>1200</v>
      </c>
      <c r="I1620" s="6" t="s">
        <v>69</v>
      </c>
      <c r="J1620" s="2" t="s">
        <v>1201</v>
      </c>
      <c r="K1620" s="2" t="s">
        <v>5</v>
      </c>
      <c r="L1620" s="2" t="s">
        <v>28</v>
      </c>
      <c r="M1620" s="2" t="s">
        <v>5</v>
      </c>
      <c r="N1620" s="4">
        <v>764.41</v>
      </c>
    </row>
    <row r="1621" spans="1:14" x14ac:dyDescent="0.25">
      <c r="A1621" s="2" t="s">
        <v>29</v>
      </c>
      <c r="B1621" s="2" t="s">
        <v>30</v>
      </c>
      <c r="C1621" s="3">
        <v>10.15</v>
      </c>
      <c r="D1621" s="4">
        <v>155.49799999999999</v>
      </c>
      <c r="E1621" s="4">
        <v>101.5</v>
      </c>
      <c r="F1621" s="4">
        <f t="shared" si="107"/>
        <v>53.99799999999999</v>
      </c>
      <c r="G1621" s="5">
        <f t="shared" si="108"/>
        <v>0.34725848563968664</v>
      </c>
      <c r="H1621" s="2" t="s">
        <v>1200</v>
      </c>
      <c r="I1621" s="6" t="s">
        <v>69</v>
      </c>
      <c r="J1621" s="2" t="s">
        <v>1201</v>
      </c>
      <c r="K1621" s="2" t="s">
        <v>5</v>
      </c>
      <c r="L1621" s="2" t="s">
        <v>28</v>
      </c>
      <c r="M1621" s="2" t="s">
        <v>5</v>
      </c>
      <c r="N1621" s="4">
        <v>764.41</v>
      </c>
    </row>
    <row r="1622" spans="1:14" x14ac:dyDescent="0.25">
      <c r="A1622" s="2" t="s">
        <v>29</v>
      </c>
      <c r="B1622" s="2" t="s">
        <v>30</v>
      </c>
      <c r="C1622" s="3">
        <v>18.73</v>
      </c>
      <c r="D1622" s="4">
        <v>286.9436</v>
      </c>
      <c r="E1622" s="4">
        <v>187.3</v>
      </c>
      <c r="F1622" s="4">
        <f t="shared" si="107"/>
        <v>99.643599999999992</v>
      </c>
      <c r="G1622" s="5">
        <f t="shared" si="108"/>
        <v>0.34725848563968664</v>
      </c>
      <c r="H1622" s="2" t="s">
        <v>1198</v>
      </c>
      <c r="I1622" s="6" t="s">
        <v>32</v>
      </c>
      <c r="J1622" s="2" t="s">
        <v>1199</v>
      </c>
      <c r="K1622" s="2" t="s">
        <v>5</v>
      </c>
      <c r="L1622" s="2" t="s">
        <v>28</v>
      </c>
      <c r="M1622" s="2" t="s">
        <v>5</v>
      </c>
      <c r="N1622" s="4">
        <v>1453.54</v>
      </c>
    </row>
    <row r="1623" spans="1:14" x14ac:dyDescent="0.25">
      <c r="A1623" s="2" t="s">
        <v>611</v>
      </c>
      <c r="B1623" s="2" t="s">
        <v>612</v>
      </c>
      <c r="C1623" s="3">
        <v>14.64</v>
      </c>
      <c r="D1623" s="4">
        <v>87.84</v>
      </c>
      <c r="E1623" s="4">
        <v>52.704000000000001</v>
      </c>
      <c r="F1623" s="4">
        <f t="shared" si="107"/>
        <v>35.136000000000003</v>
      </c>
      <c r="G1623" s="5">
        <f t="shared" si="108"/>
        <v>0.4</v>
      </c>
      <c r="H1623" s="2" t="s">
        <v>1198</v>
      </c>
      <c r="I1623" s="6" t="s">
        <v>32</v>
      </c>
      <c r="J1623" s="2" t="s">
        <v>1199</v>
      </c>
      <c r="K1623" s="2" t="s">
        <v>5</v>
      </c>
      <c r="L1623" s="2" t="s">
        <v>28</v>
      </c>
      <c r="M1623" s="2" t="s">
        <v>5</v>
      </c>
      <c r="N1623" s="4">
        <v>1453.54</v>
      </c>
    </row>
    <row r="1624" spans="1:14" x14ac:dyDescent="0.25">
      <c r="A1624" s="2" t="s">
        <v>611</v>
      </c>
      <c r="B1624" s="2" t="s">
        <v>612</v>
      </c>
      <c r="C1624" s="3">
        <v>9.81</v>
      </c>
      <c r="D1624" s="4">
        <v>58.86</v>
      </c>
      <c r="E1624" s="4">
        <v>35.316000000000003</v>
      </c>
      <c r="F1624" s="4">
        <f t="shared" si="107"/>
        <v>23.543999999999997</v>
      </c>
      <c r="G1624" s="5">
        <f t="shared" si="108"/>
        <v>0.39999999999999997</v>
      </c>
      <c r="H1624" s="2" t="s">
        <v>1200</v>
      </c>
      <c r="I1624" s="6" t="s">
        <v>69</v>
      </c>
      <c r="J1624" s="2" t="s">
        <v>1201</v>
      </c>
      <c r="K1624" s="2" t="s">
        <v>5</v>
      </c>
      <c r="L1624" s="2" t="s">
        <v>28</v>
      </c>
      <c r="M1624" s="2" t="s">
        <v>5</v>
      </c>
      <c r="N1624" s="4">
        <v>764.41</v>
      </c>
    </row>
    <row r="1625" spans="1:14" x14ac:dyDescent="0.25">
      <c r="A1625" s="2" t="s">
        <v>118</v>
      </c>
      <c r="B1625" s="2" t="s">
        <v>119</v>
      </c>
      <c r="C1625" s="3">
        <v>7.43</v>
      </c>
      <c r="D1625" s="4">
        <v>121.5548</v>
      </c>
      <c r="E1625" s="4">
        <v>55.725000000000001</v>
      </c>
      <c r="F1625" s="4">
        <f t="shared" si="107"/>
        <v>65.829800000000006</v>
      </c>
      <c r="G1625" s="5">
        <f t="shared" si="108"/>
        <v>0.54156479217603914</v>
      </c>
      <c r="H1625" s="2" t="s">
        <v>1200</v>
      </c>
      <c r="I1625" s="6" t="s">
        <v>69</v>
      </c>
      <c r="J1625" s="2" t="s">
        <v>1201</v>
      </c>
      <c r="K1625" s="2" t="s">
        <v>5</v>
      </c>
      <c r="L1625" s="2" t="s">
        <v>28</v>
      </c>
      <c r="M1625" s="2" t="s">
        <v>5</v>
      </c>
      <c r="N1625" s="4">
        <v>764.41</v>
      </c>
    </row>
    <row r="1626" spans="1:14" x14ac:dyDescent="0.25">
      <c r="A1626" s="2" t="s">
        <v>118</v>
      </c>
      <c r="B1626" s="2" t="s">
        <v>119</v>
      </c>
      <c r="C1626" s="3">
        <v>14.88</v>
      </c>
      <c r="D1626" s="4">
        <v>243.43680000000001</v>
      </c>
      <c r="E1626" s="4">
        <v>111.6</v>
      </c>
      <c r="F1626" s="4">
        <f t="shared" si="107"/>
        <v>131.83680000000001</v>
      </c>
      <c r="G1626" s="5">
        <f t="shared" si="108"/>
        <v>0.54156479217603914</v>
      </c>
      <c r="H1626" s="2" t="s">
        <v>1198</v>
      </c>
      <c r="I1626" s="6" t="s">
        <v>32</v>
      </c>
      <c r="J1626" s="2" t="s">
        <v>1199</v>
      </c>
      <c r="K1626" s="2" t="s">
        <v>5</v>
      </c>
      <c r="L1626" s="2" t="s">
        <v>28</v>
      </c>
      <c r="M1626" s="2" t="s">
        <v>5</v>
      </c>
      <c r="N1626" s="4">
        <v>1453.54</v>
      </c>
    </row>
    <row r="1627" spans="1:14" x14ac:dyDescent="0.25">
      <c r="A1627" s="2" t="s">
        <v>601</v>
      </c>
      <c r="B1627" s="2" t="s">
        <v>602</v>
      </c>
      <c r="C1627" s="3">
        <v>11.21</v>
      </c>
      <c r="D1627" s="4">
        <v>67.484200000000001</v>
      </c>
      <c r="E1627" s="4">
        <v>40.356000000000002</v>
      </c>
      <c r="F1627" s="4">
        <f t="shared" si="107"/>
        <v>27.1282</v>
      </c>
      <c r="G1627" s="5">
        <f t="shared" si="108"/>
        <v>0.40199335548172754</v>
      </c>
      <c r="H1627" s="2" t="s">
        <v>1198</v>
      </c>
      <c r="I1627" s="6" t="s">
        <v>32</v>
      </c>
      <c r="J1627" s="2" t="s">
        <v>1199</v>
      </c>
      <c r="K1627" s="2" t="s">
        <v>5</v>
      </c>
      <c r="L1627" s="2" t="s">
        <v>28</v>
      </c>
      <c r="M1627" s="2" t="s">
        <v>5</v>
      </c>
      <c r="N1627" s="4">
        <v>1453.54</v>
      </c>
    </row>
    <row r="1628" spans="1:14" x14ac:dyDescent="0.25">
      <c r="A1628" s="2" t="s">
        <v>246</v>
      </c>
      <c r="B1628" s="2" t="s">
        <v>247</v>
      </c>
      <c r="C1628" s="3">
        <v>8.1150000000000002</v>
      </c>
      <c r="D1628" s="4">
        <v>186.64500000000001</v>
      </c>
      <c r="E1628" s="4">
        <v>131.86875000000001</v>
      </c>
      <c r="F1628" s="4">
        <f t="shared" si="107"/>
        <v>54.776250000000005</v>
      </c>
      <c r="G1628" s="5">
        <f t="shared" si="108"/>
        <v>0.29347826086956524</v>
      </c>
      <c r="H1628" s="2" t="s">
        <v>1198</v>
      </c>
      <c r="I1628" s="6" t="s">
        <v>32</v>
      </c>
      <c r="J1628" s="2" t="s">
        <v>1199</v>
      </c>
      <c r="K1628" s="2" t="s">
        <v>5</v>
      </c>
      <c r="L1628" s="2" t="s">
        <v>28</v>
      </c>
      <c r="M1628" s="2" t="s">
        <v>5</v>
      </c>
      <c r="N1628" s="4">
        <v>1453.54</v>
      </c>
    </row>
    <row r="1629" spans="1:14" x14ac:dyDescent="0.25">
      <c r="A1629" s="2" t="s">
        <v>51</v>
      </c>
      <c r="B1629" s="2" t="s">
        <v>52</v>
      </c>
      <c r="C1629" s="3">
        <v>5.41</v>
      </c>
      <c r="D1629" s="4">
        <v>100.6801</v>
      </c>
      <c r="E1629" s="4">
        <v>89.265000000000001</v>
      </c>
      <c r="F1629" s="4">
        <f t="shared" si="107"/>
        <v>11.415099999999995</v>
      </c>
      <c r="G1629" s="5">
        <f t="shared" si="108"/>
        <v>0.11337990327780759</v>
      </c>
      <c r="H1629" s="2" t="s">
        <v>1198</v>
      </c>
      <c r="I1629" s="6" t="s">
        <v>32</v>
      </c>
      <c r="J1629" s="2" t="s">
        <v>1199</v>
      </c>
      <c r="K1629" s="2" t="s">
        <v>5</v>
      </c>
      <c r="L1629" s="2" t="s">
        <v>28</v>
      </c>
      <c r="M1629" s="2" t="s">
        <v>5</v>
      </c>
      <c r="N1629" s="4">
        <v>1453.54</v>
      </c>
    </row>
    <row r="1630" spans="1:14" x14ac:dyDescent="0.25">
      <c r="A1630" s="2" t="s">
        <v>134</v>
      </c>
      <c r="B1630" s="2" t="s">
        <v>135</v>
      </c>
      <c r="C1630" s="3">
        <v>4.04</v>
      </c>
      <c r="D1630" s="4">
        <v>51.227200000000003</v>
      </c>
      <c r="E1630" s="4">
        <v>28.684000000000001</v>
      </c>
      <c r="F1630" s="4">
        <f t="shared" si="107"/>
        <v>22.543200000000002</v>
      </c>
      <c r="G1630" s="5">
        <f t="shared" si="108"/>
        <v>0.44006309148264988</v>
      </c>
      <c r="H1630" s="2" t="s">
        <v>1198</v>
      </c>
      <c r="I1630" s="6" t="s">
        <v>32</v>
      </c>
      <c r="J1630" s="2" t="s">
        <v>1199</v>
      </c>
      <c r="K1630" s="2" t="s">
        <v>5</v>
      </c>
      <c r="L1630" s="2" t="s">
        <v>28</v>
      </c>
      <c r="M1630" s="2" t="s">
        <v>5</v>
      </c>
      <c r="N1630" s="4">
        <v>1453.54</v>
      </c>
    </row>
    <row r="1631" spans="1:14" x14ac:dyDescent="0.25">
      <c r="A1631" s="2" t="s">
        <v>583</v>
      </c>
      <c r="B1631" s="2" t="s">
        <v>584</v>
      </c>
      <c r="C1631" s="3">
        <v>16.742000000000001</v>
      </c>
      <c r="D1631" s="4">
        <v>230.36992000000001</v>
      </c>
      <c r="E1631" s="4">
        <v>125.565</v>
      </c>
      <c r="F1631" s="4">
        <f t="shared" si="107"/>
        <v>104.80492000000001</v>
      </c>
      <c r="G1631" s="5">
        <f t="shared" si="108"/>
        <v>0.45494186046511631</v>
      </c>
      <c r="H1631" s="2" t="s">
        <v>1200</v>
      </c>
      <c r="I1631" s="6" t="s">
        <v>69</v>
      </c>
      <c r="J1631" s="2" t="s">
        <v>1201</v>
      </c>
      <c r="K1631" s="2" t="s">
        <v>5</v>
      </c>
      <c r="L1631" s="2" t="s">
        <v>28</v>
      </c>
      <c r="M1631" s="2" t="s">
        <v>5</v>
      </c>
      <c r="N1631" s="4">
        <v>764.41</v>
      </c>
    </row>
    <row r="1632" spans="1:14" x14ac:dyDescent="0.25">
      <c r="A1632" s="2" t="s">
        <v>1202</v>
      </c>
      <c r="B1632" s="2" t="s">
        <v>1203</v>
      </c>
      <c r="C1632" s="3">
        <v>5.508</v>
      </c>
      <c r="D1632" s="4">
        <v>62.625959999999999</v>
      </c>
      <c r="E1632" s="4">
        <v>30.294</v>
      </c>
      <c r="F1632" s="4">
        <f t="shared" si="107"/>
        <v>32.331959999999995</v>
      </c>
      <c r="G1632" s="5">
        <f t="shared" si="108"/>
        <v>0.51627088830255052</v>
      </c>
      <c r="H1632" s="2" t="s">
        <v>1198</v>
      </c>
      <c r="I1632" s="6" t="s">
        <v>32</v>
      </c>
      <c r="J1632" s="2" t="s">
        <v>1199</v>
      </c>
      <c r="K1632" s="2" t="s">
        <v>5</v>
      </c>
      <c r="L1632" s="2" t="s">
        <v>28</v>
      </c>
      <c r="M1632" s="2" t="s">
        <v>5</v>
      </c>
      <c r="N1632" s="4">
        <v>1453.54</v>
      </c>
    </row>
    <row r="1633" spans="1:14" x14ac:dyDescent="0.25">
      <c r="A1633" s="2" t="s">
        <v>55</v>
      </c>
      <c r="B1633" s="2" t="s">
        <v>56</v>
      </c>
      <c r="C1633" s="3">
        <v>9.9700000000000006</v>
      </c>
      <c r="D1633" s="4">
        <v>213.45769999999999</v>
      </c>
      <c r="E1633" s="4">
        <v>117.646</v>
      </c>
      <c r="F1633" s="4">
        <f t="shared" si="107"/>
        <v>95.811699999999988</v>
      </c>
      <c r="G1633" s="5">
        <f t="shared" si="108"/>
        <v>0.44885567491826245</v>
      </c>
      <c r="H1633" s="2" t="s">
        <v>1198</v>
      </c>
      <c r="I1633" s="6" t="s">
        <v>32</v>
      </c>
      <c r="J1633" s="2" t="s">
        <v>1199</v>
      </c>
      <c r="K1633" s="2" t="s">
        <v>5</v>
      </c>
      <c r="L1633" s="2" t="s">
        <v>28</v>
      </c>
      <c r="M1633" s="2" t="s">
        <v>5</v>
      </c>
      <c r="N1633" s="4">
        <v>1453.54</v>
      </c>
    </row>
    <row r="1634" spans="1:14" x14ac:dyDescent="0.25">
      <c r="A1634" s="2" t="s">
        <v>250</v>
      </c>
      <c r="B1634" s="2" t="s">
        <v>251</v>
      </c>
      <c r="C1634" s="3">
        <v>8.1999999999999993</v>
      </c>
      <c r="D1634" s="4">
        <v>121.524</v>
      </c>
      <c r="E1634" s="4">
        <v>69.7</v>
      </c>
      <c r="F1634" s="4">
        <f t="shared" si="107"/>
        <v>51.823999999999998</v>
      </c>
      <c r="G1634" s="5">
        <f t="shared" si="108"/>
        <v>0.4264507422402159</v>
      </c>
      <c r="H1634" s="2" t="s">
        <v>1200</v>
      </c>
      <c r="I1634" s="6" t="s">
        <v>69</v>
      </c>
      <c r="J1634" s="2" t="s">
        <v>1201</v>
      </c>
      <c r="K1634" s="2" t="s">
        <v>5</v>
      </c>
      <c r="L1634" s="2" t="s">
        <v>28</v>
      </c>
      <c r="M1634" s="2" t="s">
        <v>5</v>
      </c>
      <c r="N1634" s="4">
        <v>764.41</v>
      </c>
    </row>
    <row r="1636" spans="1:14" x14ac:dyDescent="0.25">
      <c r="A1636" s="13" t="s">
        <v>59</v>
      </c>
      <c r="B1636" s="21"/>
      <c r="C1636" s="22">
        <f>SUM(C1616:C1635)</f>
        <v>159.83499999999998</v>
      </c>
      <c r="D1636" s="23">
        <f>SUM(D1616:D1635)</f>
        <v>2217.9472800000003</v>
      </c>
      <c r="E1636" s="23">
        <f>SUM(E1616:E1635)</f>
        <v>1342.2237500000001</v>
      </c>
      <c r="F1636" s="23">
        <f>D1636-E1636</f>
        <v>875.72353000000021</v>
      </c>
      <c r="G1636" s="24">
        <f>IF(((D1636)=0),0,(D1636-E1636)/ D1636)</f>
        <v>0.39483514233936168</v>
      </c>
      <c r="H1636" s="21"/>
      <c r="I1636" s="21"/>
      <c r="J1636" s="21"/>
      <c r="K1636" s="21"/>
      <c r="L1636" s="21"/>
      <c r="M1636" s="21"/>
      <c r="N1636" s="21"/>
    </row>
    <row r="1638" spans="1:14" s="17" customFormat="1" ht="18.75" x14ac:dyDescent="0.3"/>
    <row r="1639" spans="1:14" s="7" customFormat="1" x14ac:dyDescent="0.25">
      <c r="A1639" s="13" t="s">
        <v>1204</v>
      </c>
      <c r="B1639" s="18" t="s">
        <v>1205</v>
      </c>
      <c r="C1639" s="19"/>
      <c r="D1639" s="20" t="s">
        <v>5</v>
      </c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</row>
    <row r="1641" spans="1:14" x14ac:dyDescent="0.25">
      <c r="A1641" s="2" t="s">
        <v>698</v>
      </c>
      <c r="B1641" s="2" t="s">
        <v>699</v>
      </c>
      <c r="C1641" s="3">
        <v>5</v>
      </c>
      <c r="D1641" s="4">
        <v>62.15</v>
      </c>
      <c r="E1641" s="4">
        <v>50</v>
      </c>
      <c r="F1641" s="4">
        <f>D1641-E1641</f>
        <v>12.149999999999999</v>
      </c>
      <c r="G1641" s="5">
        <f>IF(((D1641)=0),0,(D1641-E1641)/ D1641)</f>
        <v>0.19549477071600962</v>
      </c>
      <c r="H1641" s="2" t="s">
        <v>1206</v>
      </c>
      <c r="I1641" s="6" t="s">
        <v>74</v>
      </c>
      <c r="J1641" s="2" t="s">
        <v>1207</v>
      </c>
      <c r="K1641" s="2" t="s">
        <v>1208</v>
      </c>
      <c r="L1641" s="2" t="s">
        <v>28</v>
      </c>
      <c r="M1641" s="2" t="s">
        <v>5</v>
      </c>
      <c r="N1641" s="4">
        <v>610.85</v>
      </c>
    </row>
    <row r="1642" spans="1:14" x14ac:dyDescent="0.25">
      <c r="A1642" s="2" t="s">
        <v>203</v>
      </c>
      <c r="B1642" s="2" t="s">
        <v>204</v>
      </c>
      <c r="C1642" s="3">
        <v>15.8</v>
      </c>
      <c r="D1642" s="4">
        <v>205.4</v>
      </c>
      <c r="E1642" s="4">
        <v>79</v>
      </c>
      <c r="F1642" s="4">
        <f>D1642-E1642</f>
        <v>126.4</v>
      </c>
      <c r="G1642" s="5">
        <f>IF(((D1642)=0),0,(D1642-E1642)/ D1642)</f>
        <v>0.61538461538461542</v>
      </c>
      <c r="H1642" s="2" t="s">
        <v>1206</v>
      </c>
      <c r="I1642" s="6" t="s">
        <v>74</v>
      </c>
      <c r="J1642" s="2" t="s">
        <v>1207</v>
      </c>
      <c r="K1642" s="2" t="s">
        <v>1208</v>
      </c>
      <c r="L1642" s="2" t="s">
        <v>28</v>
      </c>
      <c r="M1642" s="2" t="s">
        <v>5</v>
      </c>
      <c r="N1642" s="4">
        <v>610.85</v>
      </c>
    </row>
    <row r="1643" spans="1:14" x14ac:dyDescent="0.25">
      <c r="A1643" s="2" t="s">
        <v>118</v>
      </c>
      <c r="B1643" s="2" t="s">
        <v>119</v>
      </c>
      <c r="C1643" s="3">
        <v>12</v>
      </c>
      <c r="D1643" s="4">
        <v>126</v>
      </c>
      <c r="E1643" s="4">
        <v>90</v>
      </c>
      <c r="F1643" s="4">
        <f>D1643-E1643</f>
        <v>36</v>
      </c>
      <c r="G1643" s="5">
        <f>IF(((D1643)=0),0,(D1643-E1643)/ D1643)</f>
        <v>0.2857142857142857</v>
      </c>
      <c r="H1643" s="2" t="s">
        <v>1206</v>
      </c>
      <c r="I1643" s="6" t="s">
        <v>74</v>
      </c>
      <c r="J1643" s="2" t="s">
        <v>1207</v>
      </c>
      <c r="K1643" s="2" t="s">
        <v>1208</v>
      </c>
      <c r="L1643" s="2" t="s">
        <v>28</v>
      </c>
      <c r="M1643" s="2" t="s">
        <v>5</v>
      </c>
      <c r="N1643" s="4">
        <v>610.85</v>
      </c>
    </row>
    <row r="1644" spans="1:14" x14ac:dyDescent="0.25">
      <c r="A1644" s="2" t="s">
        <v>1209</v>
      </c>
      <c r="B1644" s="2" t="s">
        <v>1210</v>
      </c>
      <c r="C1644" s="3">
        <v>23.34</v>
      </c>
      <c r="D1644" s="4">
        <v>217.2954</v>
      </c>
      <c r="E1644" s="4">
        <v>175.05</v>
      </c>
      <c r="F1644" s="4">
        <f>D1644-E1644</f>
        <v>42.245399999999989</v>
      </c>
      <c r="G1644" s="5">
        <f>IF(((D1644)=0),0,(D1644-E1644)/ D1644)</f>
        <v>0.19441460794844248</v>
      </c>
      <c r="H1644" s="2" t="s">
        <v>1206</v>
      </c>
      <c r="I1644" s="6" t="s">
        <v>74</v>
      </c>
      <c r="J1644" s="2" t="s">
        <v>1207</v>
      </c>
      <c r="K1644" s="2" t="s">
        <v>1208</v>
      </c>
      <c r="L1644" s="2" t="s">
        <v>28</v>
      </c>
      <c r="M1644" s="2" t="s">
        <v>5</v>
      </c>
      <c r="N1644" s="4">
        <v>610.85</v>
      </c>
    </row>
    <row r="1646" spans="1:14" x14ac:dyDescent="0.25">
      <c r="A1646" s="13" t="s">
        <v>59</v>
      </c>
      <c r="B1646" s="21"/>
      <c r="C1646" s="22">
        <f>SUM(C1638:C1645)</f>
        <v>56.14</v>
      </c>
      <c r="D1646" s="23">
        <f>SUM(D1638:D1645)</f>
        <v>610.84540000000004</v>
      </c>
      <c r="E1646" s="23">
        <f>SUM(E1638:E1645)</f>
        <v>394.05</v>
      </c>
      <c r="F1646" s="23">
        <f>D1646-E1646</f>
        <v>216.79540000000003</v>
      </c>
      <c r="G1646" s="24">
        <f>IF(((D1646)=0),0,(D1646-E1646)/ D1646)</f>
        <v>0.35491042414332663</v>
      </c>
      <c r="H1646" s="21"/>
      <c r="I1646" s="21"/>
      <c r="J1646" s="21"/>
      <c r="K1646" s="21"/>
      <c r="L1646" s="21"/>
      <c r="M1646" s="21"/>
      <c r="N1646" s="21"/>
    </row>
    <row r="1648" spans="1:14" s="17" customFormat="1" ht="18.75" x14ac:dyDescent="0.3"/>
    <row r="1649" spans="1:14" s="7" customFormat="1" x14ac:dyDescent="0.25">
      <c r="A1649" s="13" t="s">
        <v>1211</v>
      </c>
      <c r="B1649" s="18" t="s">
        <v>1212</v>
      </c>
      <c r="C1649" s="19"/>
      <c r="D1649" s="20" t="s">
        <v>5</v>
      </c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</row>
    <row r="1651" spans="1:14" x14ac:dyDescent="0.25">
      <c r="A1651" s="2" t="s">
        <v>128</v>
      </c>
      <c r="B1651" s="2" t="s">
        <v>129</v>
      </c>
      <c r="C1651" s="3">
        <v>20</v>
      </c>
      <c r="D1651" s="4">
        <v>259</v>
      </c>
      <c r="E1651" s="4">
        <v>219.6</v>
      </c>
      <c r="F1651" s="4">
        <f t="shared" ref="F1651:F1659" si="109">D1651-E1651</f>
        <v>39.400000000000006</v>
      </c>
      <c r="G1651" s="5">
        <f t="shared" ref="G1651:G1659" si="110">IF(((D1651)=0),0,(D1651-E1651)/ D1651)</f>
        <v>0.15212355212355214</v>
      </c>
      <c r="H1651" s="2" t="s">
        <v>1213</v>
      </c>
      <c r="I1651" s="6" t="s">
        <v>32</v>
      </c>
      <c r="J1651" s="2" t="s">
        <v>1214</v>
      </c>
      <c r="K1651" s="2" t="s">
        <v>1215</v>
      </c>
      <c r="L1651" s="2" t="s">
        <v>28</v>
      </c>
      <c r="M1651" s="2" t="s">
        <v>5</v>
      </c>
      <c r="N1651" s="4">
        <v>2706.65</v>
      </c>
    </row>
    <row r="1652" spans="1:14" x14ac:dyDescent="0.25">
      <c r="A1652" s="2" t="s">
        <v>22</v>
      </c>
      <c r="B1652" s="2" t="s">
        <v>23</v>
      </c>
      <c r="C1652" s="3">
        <v>28.34</v>
      </c>
      <c r="D1652" s="4">
        <v>383.4402</v>
      </c>
      <c r="E1652" s="4">
        <v>311.74</v>
      </c>
      <c r="F1652" s="4">
        <f t="shared" si="109"/>
        <v>71.700199999999995</v>
      </c>
      <c r="G1652" s="5">
        <f t="shared" si="110"/>
        <v>0.18699186991869918</v>
      </c>
      <c r="H1652" s="2" t="s">
        <v>1213</v>
      </c>
      <c r="I1652" s="6" t="s">
        <v>32</v>
      </c>
      <c r="J1652" s="2" t="s">
        <v>1214</v>
      </c>
      <c r="K1652" s="2" t="s">
        <v>1215</v>
      </c>
      <c r="L1652" s="2" t="s">
        <v>28</v>
      </c>
      <c r="M1652" s="2" t="s">
        <v>5</v>
      </c>
      <c r="N1652" s="4">
        <v>2706.65</v>
      </c>
    </row>
    <row r="1653" spans="1:14" x14ac:dyDescent="0.25">
      <c r="A1653" s="2" t="s">
        <v>29</v>
      </c>
      <c r="B1653" s="2" t="s">
        <v>30</v>
      </c>
      <c r="C1653" s="3">
        <v>30.34</v>
      </c>
      <c r="D1653" s="4">
        <v>382.28399999999999</v>
      </c>
      <c r="E1653" s="4">
        <v>303.39999999999998</v>
      </c>
      <c r="F1653" s="4">
        <f t="shared" si="109"/>
        <v>78.884000000000015</v>
      </c>
      <c r="G1653" s="5">
        <f t="shared" si="110"/>
        <v>0.20634920634920639</v>
      </c>
      <c r="H1653" s="2" t="s">
        <v>1213</v>
      </c>
      <c r="I1653" s="6" t="s">
        <v>32</v>
      </c>
      <c r="J1653" s="2" t="s">
        <v>1214</v>
      </c>
      <c r="K1653" s="2" t="s">
        <v>1215</v>
      </c>
      <c r="L1653" s="2" t="s">
        <v>28</v>
      </c>
      <c r="M1653" s="2" t="s">
        <v>5</v>
      </c>
      <c r="N1653" s="4">
        <v>2706.65</v>
      </c>
    </row>
    <row r="1654" spans="1:14" x14ac:dyDescent="0.25">
      <c r="A1654" s="2" t="s">
        <v>41</v>
      </c>
      <c r="B1654" s="2" t="s">
        <v>42</v>
      </c>
      <c r="C1654" s="3">
        <v>12.125</v>
      </c>
      <c r="D1654" s="4">
        <v>198.36500000000001</v>
      </c>
      <c r="E1654" s="4">
        <v>142.46875</v>
      </c>
      <c r="F1654" s="4">
        <f t="shared" si="109"/>
        <v>55.896250000000009</v>
      </c>
      <c r="G1654" s="5">
        <f t="shared" si="110"/>
        <v>0.28178484107579466</v>
      </c>
      <c r="H1654" s="2" t="s">
        <v>1213</v>
      </c>
      <c r="I1654" s="6" t="s">
        <v>32</v>
      </c>
      <c r="J1654" s="2" t="s">
        <v>1214</v>
      </c>
      <c r="K1654" s="2" t="s">
        <v>1215</v>
      </c>
      <c r="L1654" s="2" t="s">
        <v>28</v>
      </c>
      <c r="M1654" s="2" t="s">
        <v>5</v>
      </c>
      <c r="N1654" s="4">
        <v>2706.65</v>
      </c>
    </row>
    <row r="1655" spans="1:14" x14ac:dyDescent="0.25">
      <c r="A1655" s="2" t="s">
        <v>1216</v>
      </c>
      <c r="B1655" s="2" t="s">
        <v>1217</v>
      </c>
      <c r="C1655" s="3">
        <v>15.66</v>
      </c>
      <c r="D1655" s="4">
        <v>70.47</v>
      </c>
      <c r="E1655" s="4">
        <v>54.81</v>
      </c>
      <c r="F1655" s="4">
        <f t="shared" si="109"/>
        <v>15.659999999999997</v>
      </c>
      <c r="G1655" s="5">
        <f t="shared" si="110"/>
        <v>0.22222222222222218</v>
      </c>
      <c r="H1655" s="2" t="s">
        <v>1213</v>
      </c>
      <c r="I1655" s="6" t="s">
        <v>32</v>
      </c>
      <c r="J1655" s="2" t="s">
        <v>1214</v>
      </c>
      <c r="K1655" s="2" t="s">
        <v>1215</v>
      </c>
      <c r="L1655" s="2" t="s">
        <v>28</v>
      </c>
      <c r="M1655" s="2" t="s">
        <v>5</v>
      </c>
      <c r="N1655" s="4">
        <v>2706.65</v>
      </c>
    </row>
    <row r="1656" spans="1:14" x14ac:dyDescent="0.25">
      <c r="A1656" s="2" t="s">
        <v>203</v>
      </c>
      <c r="B1656" s="2" t="s">
        <v>204</v>
      </c>
      <c r="C1656" s="3">
        <v>29.725000000000001</v>
      </c>
      <c r="D1656" s="4">
        <v>386.42500000000001</v>
      </c>
      <c r="E1656" s="4">
        <v>148.625</v>
      </c>
      <c r="F1656" s="4">
        <f t="shared" si="109"/>
        <v>237.8</v>
      </c>
      <c r="G1656" s="5">
        <f t="shared" si="110"/>
        <v>0.61538461538461542</v>
      </c>
      <c r="H1656" s="2" t="s">
        <v>1213</v>
      </c>
      <c r="I1656" s="6" t="s">
        <v>32</v>
      </c>
      <c r="J1656" s="2" t="s">
        <v>1214</v>
      </c>
      <c r="K1656" s="2" t="s">
        <v>1215</v>
      </c>
      <c r="L1656" s="2" t="s">
        <v>28</v>
      </c>
      <c r="M1656" s="2" t="s">
        <v>5</v>
      </c>
      <c r="N1656" s="4">
        <v>2706.65</v>
      </c>
    </row>
    <row r="1657" spans="1:14" x14ac:dyDescent="0.25">
      <c r="A1657" s="2" t="s">
        <v>118</v>
      </c>
      <c r="B1657" s="2" t="s">
        <v>119</v>
      </c>
      <c r="C1657" s="3">
        <v>24</v>
      </c>
      <c r="D1657" s="4">
        <v>252</v>
      </c>
      <c r="E1657" s="4">
        <v>180</v>
      </c>
      <c r="F1657" s="4">
        <f t="shared" si="109"/>
        <v>72</v>
      </c>
      <c r="G1657" s="5">
        <f t="shared" si="110"/>
        <v>0.2857142857142857</v>
      </c>
      <c r="H1657" s="2" t="s">
        <v>1213</v>
      </c>
      <c r="I1657" s="6" t="s">
        <v>32</v>
      </c>
      <c r="J1657" s="2" t="s">
        <v>1214</v>
      </c>
      <c r="K1657" s="2" t="s">
        <v>1215</v>
      </c>
      <c r="L1657" s="2" t="s">
        <v>28</v>
      </c>
      <c r="M1657" s="2" t="s">
        <v>5</v>
      </c>
      <c r="N1657" s="4">
        <v>2706.65</v>
      </c>
    </row>
    <row r="1658" spans="1:14" x14ac:dyDescent="0.25">
      <c r="A1658" s="2" t="s">
        <v>624</v>
      </c>
      <c r="B1658" s="2" t="s">
        <v>625</v>
      </c>
      <c r="C1658" s="3">
        <v>15.08</v>
      </c>
      <c r="D1658" s="4">
        <v>180.8092</v>
      </c>
      <c r="E1658" s="4">
        <v>113.1</v>
      </c>
      <c r="F1658" s="4">
        <f t="shared" si="109"/>
        <v>67.70920000000001</v>
      </c>
      <c r="G1658" s="5">
        <f t="shared" si="110"/>
        <v>0.37447873227689749</v>
      </c>
      <c r="H1658" s="2" t="s">
        <v>1213</v>
      </c>
      <c r="I1658" s="6" t="s">
        <v>32</v>
      </c>
      <c r="J1658" s="2" t="s">
        <v>1214</v>
      </c>
      <c r="K1658" s="2" t="s">
        <v>1215</v>
      </c>
      <c r="L1658" s="2" t="s">
        <v>28</v>
      </c>
      <c r="M1658" s="2" t="s">
        <v>5</v>
      </c>
      <c r="N1658" s="4">
        <v>2706.65</v>
      </c>
    </row>
    <row r="1659" spans="1:14" x14ac:dyDescent="0.25">
      <c r="A1659" s="2" t="s">
        <v>786</v>
      </c>
      <c r="B1659" s="2" t="s">
        <v>787</v>
      </c>
      <c r="C1659" s="3">
        <v>37.42</v>
      </c>
      <c r="D1659" s="4">
        <v>593.85540000000003</v>
      </c>
      <c r="E1659" s="4">
        <v>467.75</v>
      </c>
      <c r="F1659" s="4">
        <f t="shared" si="109"/>
        <v>126.10540000000003</v>
      </c>
      <c r="G1659" s="5">
        <f t="shared" si="110"/>
        <v>0.21235034656584756</v>
      </c>
      <c r="H1659" s="2" t="s">
        <v>1213</v>
      </c>
      <c r="I1659" s="6" t="s">
        <v>32</v>
      </c>
      <c r="J1659" s="2" t="s">
        <v>1214</v>
      </c>
      <c r="K1659" s="2" t="s">
        <v>1215</v>
      </c>
      <c r="L1659" s="2" t="s">
        <v>28</v>
      </c>
      <c r="M1659" s="2" t="s">
        <v>5</v>
      </c>
      <c r="N1659" s="4">
        <v>2706.65</v>
      </c>
    </row>
    <row r="1661" spans="1:14" x14ac:dyDescent="0.25">
      <c r="A1661" s="13" t="s">
        <v>59</v>
      </c>
      <c r="B1661" s="21"/>
      <c r="C1661" s="22">
        <f>SUM(C1648:C1660)</f>
        <v>212.69</v>
      </c>
      <c r="D1661" s="23">
        <f>SUM(D1648:D1660)</f>
        <v>2706.6487999999999</v>
      </c>
      <c r="E1661" s="23">
        <f>SUM(E1648:E1660)</f>
        <v>1941.4937499999999</v>
      </c>
      <c r="F1661" s="23">
        <f>D1661-E1661</f>
        <v>765.15505000000007</v>
      </c>
      <c r="G1661" s="24">
        <f>IF(((D1661)=0),0,(D1661-E1661)/ D1661)</f>
        <v>0.28269461852605338</v>
      </c>
      <c r="H1661" s="21"/>
      <c r="I1661" s="21"/>
      <c r="J1661" s="21"/>
      <c r="K1661" s="21"/>
      <c r="L1661" s="21"/>
      <c r="M1661" s="21"/>
      <c r="N1661" s="21"/>
    </row>
    <row r="1663" spans="1:14" s="17" customFormat="1" ht="18.75" x14ac:dyDescent="0.3"/>
    <row r="1664" spans="1:14" s="7" customFormat="1" x14ac:dyDescent="0.25">
      <c r="A1664" s="13" t="s">
        <v>1218</v>
      </c>
      <c r="B1664" s="18" t="s">
        <v>1219</v>
      </c>
      <c r="C1664" s="19"/>
      <c r="D1664" s="20" t="s">
        <v>5</v>
      </c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</row>
    <row r="1666" spans="1:14" x14ac:dyDescent="0.25">
      <c r="A1666" s="2" t="s">
        <v>566</v>
      </c>
      <c r="B1666" s="2" t="s">
        <v>567</v>
      </c>
      <c r="C1666" s="3">
        <v>30.69</v>
      </c>
      <c r="D1666" s="4">
        <v>495.33659999999998</v>
      </c>
      <c r="E1666" s="4">
        <v>349.86599999999999</v>
      </c>
      <c r="F1666" s="4">
        <f t="shared" ref="F1666:F1687" si="111">D1666-E1666</f>
        <v>145.47059999999999</v>
      </c>
      <c r="G1666" s="5">
        <f t="shared" ref="G1666:G1687" si="112">IF(((D1666)=0),0,(D1666-E1666)/ D1666)</f>
        <v>0.29368029739776952</v>
      </c>
      <c r="H1666" s="2" t="s">
        <v>1220</v>
      </c>
      <c r="I1666" s="6" t="s">
        <v>74</v>
      </c>
      <c r="J1666" s="2" t="s">
        <v>1221</v>
      </c>
      <c r="K1666" s="2" t="s">
        <v>5</v>
      </c>
      <c r="L1666" s="2" t="s">
        <v>28</v>
      </c>
      <c r="M1666" s="2" t="s">
        <v>5</v>
      </c>
      <c r="N1666" s="4">
        <v>3053.17</v>
      </c>
    </row>
    <row r="1667" spans="1:14" x14ac:dyDescent="0.25">
      <c r="A1667" s="2" t="s">
        <v>566</v>
      </c>
      <c r="B1667" s="2" t="s">
        <v>567</v>
      </c>
      <c r="C1667" s="3">
        <v>15.25</v>
      </c>
      <c r="D1667" s="4">
        <v>246.13499999999999</v>
      </c>
      <c r="E1667" s="4">
        <v>173.85</v>
      </c>
      <c r="F1667" s="4">
        <f t="shared" si="111"/>
        <v>72.284999999999997</v>
      </c>
      <c r="G1667" s="5">
        <f t="shared" si="112"/>
        <v>0.29368029739776952</v>
      </c>
      <c r="H1667" s="2" t="s">
        <v>1222</v>
      </c>
      <c r="I1667" s="6" t="s">
        <v>32</v>
      </c>
      <c r="J1667" s="2" t="s">
        <v>1223</v>
      </c>
      <c r="K1667" s="2" t="s">
        <v>5</v>
      </c>
      <c r="L1667" s="2" t="s">
        <v>28</v>
      </c>
      <c r="M1667" s="2" t="s">
        <v>5</v>
      </c>
      <c r="N1667" s="4">
        <v>4141.71</v>
      </c>
    </row>
    <row r="1668" spans="1:14" x14ac:dyDescent="0.25">
      <c r="A1668" s="2" t="s">
        <v>29</v>
      </c>
      <c r="B1668" s="2" t="s">
        <v>30</v>
      </c>
      <c r="C1668" s="3">
        <v>28.065000000000001</v>
      </c>
      <c r="D1668" s="4">
        <v>362.0385</v>
      </c>
      <c r="E1668" s="4">
        <v>280.64999999999998</v>
      </c>
      <c r="F1668" s="4">
        <f t="shared" si="111"/>
        <v>81.388500000000022</v>
      </c>
      <c r="G1668" s="5">
        <f t="shared" si="112"/>
        <v>0.22480620155038766</v>
      </c>
      <c r="H1668" s="2" t="s">
        <v>1222</v>
      </c>
      <c r="I1668" s="6" t="s">
        <v>32</v>
      </c>
      <c r="J1668" s="2" t="s">
        <v>1223</v>
      </c>
      <c r="K1668" s="2" t="s">
        <v>5</v>
      </c>
      <c r="L1668" s="2" t="s">
        <v>28</v>
      </c>
      <c r="M1668" s="2" t="s">
        <v>5</v>
      </c>
      <c r="N1668" s="4">
        <v>4141.71</v>
      </c>
    </row>
    <row r="1669" spans="1:14" x14ac:dyDescent="0.25">
      <c r="A1669" s="2" t="s">
        <v>41</v>
      </c>
      <c r="B1669" s="2" t="s">
        <v>42</v>
      </c>
      <c r="C1669" s="3">
        <v>30.39</v>
      </c>
      <c r="D1669" s="4">
        <v>490.49459999999999</v>
      </c>
      <c r="E1669" s="4">
        <v>357.08249999999998</v>
      </c>
      <c r="F1669" s="4">
        <f t="shared" si="111"/>
        <v>133.41210000000001</v>
      </c>
      <c r="G1669" s="5">
        <f t="shared" si="112"/>
        <v>0.27199504337050806</v>
      </c>
      <c r="H1669" s="2" t="s">
        <v>1220</v>
      </c>
      <c r="I1669" s="6" t="s">
        <v>74</v>
      </c>
      <c r="J1669" s="2" t="s">
        <v>1221</v>
      </c>
      <c r="K1669" s="2" t="s">
        <v>5</v>
      </c>
      <c r="L1669" s="2" t="s">
        <v>28</v>
      </c>
      <c r="M1669" s="2" t="s">
        <v>5</v>
      </c>
      <c r="N1669" s="4">
        <v>3053.17</v>
      </c>
    </row>
    <row r="1670" spans="1:14" x14ac:dyDescent="0.25">
      <c r="A1670" s="2" t="s">
        <v>1224</v>
      </c>
      <c r="B1670" s="2" t="s">
        <v>1225</v>
      </c>
      <c r="C1670" s="3">
        <v>42.344999999999999</v>
      </c>
      <c r="D1670" s="4">
        <v>239.24924999999999</v>
      </c>
      <c r="E1670" s="4">
        <v>201.13874999999999</v>
      </c>
      <c r="F1670" s="4">
        <f t="shared" si="111"/>
        <v>38.110500000000002</v>
      </c>
      <c r="G1670" s="5">
        <f t="shared" si="112"/>
        <v>0.15929203539823011</v>
      </c>
      <c r="H1670" s="2" t="s">
        <v>1220</v>
      </c>
      <c r="I1670" s="6" t="s">
        <v>74</v>
      </c>
      <c r="J1670" s="2" t="s">
        <v>1221</v>
      </c>
      <c r="K1670" s="2" t="s">
        <v>5</v>
      </c>
      <c r="L1670" s="2" t="s">
        <v>28</v>
      </c>
      <c r="M1670" s="2" t="s">
        <v>5</v>
      </c>
      <c r="N1670" s="4">
        <v>3053.17</v>
      </c>
    </row>
    <row r="1671" spans="1:14" x14ac:dyDescent="0.25">
      <c r="A1671" s="2" t="s">
        <v>1224</v>
      </c>
      <c r="B1671" s="2" t="s">
        <v>1225</v>
      </c>
      <c r="C1671" s="3">
        <v>28.805</v>
      </c>
      <c r="D1671" s="4">
        <v>162.74825000000001</v>
      </c>
      <c r="E1671" s="4">
        <v>136.82374999999999</v>
      </c>
      <c r="F1671" s="4">
        <f t="shared" si="111"/>
        <v>25.924500000000023</v>
      </c>
      <c r="G1671" s="5">
        <f t="shared" si="112"/>
        <v>0.15929203539823023</v>
      </c>
      <c r="H1671" s="2" t="s">
        <v>1222</v>
      </c>
      <c r="I1671" s="6" t="s">
        <v>32</v>
      </c>
      <c r="J1671" s="2" t="s">
        <v>1223</v>
      </c>
      <c r="K1671" s="2" t="s">
        <v>5</v>
      </c>
      <c r="L1671" s="2" t="s">
        <v>28</v>
      </c>
      <c r="M1671" s="2" t="s">
        <v>5</v>
      </c>
      <c r="N1671" s="4">
        <v>4141.71</v>
      </c>
    </row>
    <row r="1672" spans="1:14" x14ac:dyDescent="0.25">
      <c r="A1672" s="2" t="s">
        <v>1226</v>
      </c>
      <c r="B1672" s="2" t="s">
        <v>1227</v>
      </c>
      <c r="C1672" s="3">
        <v>29.7</v>
      </c>
      <c r="D1672" s="4">
        <v>446.98500000000001</v>
      </c>
      <c r="E1672" s="4">
        <v>143.45099999999999</v>
      </c>
      <c r="F1672" s="4">
        <f t="shared" si="111"/>
        <v>303.53399999999999</v>
      </c>
      <c r="G1672" s="5">
        <f t="shared" si="112"/>
        <v>0.67906976744186043</v>
      </c>
      <c r="H1672" s="2" t="s">
        <v>1220</v>
      </c>
      <c r="I1672" s="6" t="s">
        <v>74</v>
      </c>
      <c r="J1672" s="2" t="s">
        <v>1221</v>
      </c>
      <c r="K1672" s="2" t="s">
        <v>5</v>
      </c>
      <c r="L1672" s="2" t="s">
        <v>28</v>
      </c>
      <c r="M1672" s="2" t="s">
        <v>5</v>
      </c>
      <c r="N1672" s="4">
        <v>3053.17</v>
      </c>
    </row>
    <row r="1673" spans="1:14" x14ac:dyDescent="0.25">
      <c r="A1673" s="2" t="s">
        <v>611</v>
      </c>
      <c r="B1673" s="2" t="s">
        <v>612</v>
      </c>
      <c r="C1673" s="3">
        <v>31.77</v>
      </c>
      <c r="D1673" s="4">
        <v>174.41730000000001</v>
      </c>
      <c r="E1673" s="4">
        <v>114.372</v>
      </c>
      <c r="F1673" s="4">
        <f t="shared" si="111"/>
        <v>60.045300000000012</v>
      </c>
      <c r="G1673" s="5">
        <f t="shared" si="112"/>
        <v>0.34426229508196726</v>
      </c>
      <c r="H1673" s="2" t="s">
        <v>1222</v>
      </c>
      <c r="I1673" s="6" t="s">
        <v>32</v>
      </c>
      <c r="J1673" s="2" t="s">
        <v>1223</v>
      </c>
      <c r="K1673" s="2" t="s">
        <v>5</v>
      </c>
      <c r="L1673" s="2" t="s">
        <v>28</v>
      </c>
      <c r="M1673" s="2" t="s">
        <v>5</v>
      </c>
      <c r="N1673" s="4">
        <v>4141.71</v>
      </c>
    </row>
    <row r="1674" spans="1:14" x14ac:dyDescent="0.25">
      <c r="A1674" s="2" t="s">
        <v>1228</v>
      </c>
      <c r="B1674" s="2" t="s">
        <v>1229</v>
      </c>
      <c r="C1674" s="3">
        <v>11.55</v>
      </c>
      <c r="D1674" s="4">
        <v>93.670500000000004</v>
      </c>
      <c r="E1674" s="4">
        <v>69.1845</v>
      </c>
      <c r="F1674" s="4">
        <f t="shared" si="111"/>
        <v>24.486000000000004</v>
      </c>
      <c r="G1674" s="5">
        <f t="shared" si="112"/>
        <v>0.26140567200986442</v>
      </c>
      <c r="H1674" s="2" t="s">
        <v>1230</v>
      </c>
      <c r="I1674" s="6" t="s">
        <v>39</v>
      </c>
      <c r="J1674" s="2" t="s">
        <v>1231</v>
      </c>
      <c r="K1674" s="2" t="s">
        <v>5</v>
      </c>
      <c r="L1674" s="2" t="s">
        <v>28</v>
      </c>
      <c r="M1674" s="2" t="s">
        <v>5</v>
      </c>
      <c r="N1674" s="4">
        <v>898.88</v>
      </c>
    </row>
    <row r="1675" spans="1:14" x14ac:dyDescent="0.25">
      <c r="A1675" s="2" t="s">
        <v>207</v>
      </c>
      <c r="B1675" s="2" t="s">
        <v>208</v>
      </c>
      <c r="C1675" s="3">
        <v>5</v>
      </c>
      <c r="D1675" s="4">
        <v>91.65</v>
      </c>
      <c r="E1675" s="4">
        <v>64.099999999999994</v>
      </c>
      <c r="F1675" s="4">
        <f t="shared" si="111"/>
        <v>27.550000000000011</v>
      </c>
      <c r="G1675" s="5">
        <f t="shared" si="112"/>
        <v>0.30060010911074753</v>
      </c>
      <c r="H1675" s="2" t="s">
        <v>1230</v>
      </c>
      <c r="I1675" s="6" t="s">
        <v>39</v>
      </c>
      <c r="J1675" s="2" t="s">
        <v>1231</v>
      </c>
      <c r="K1675" s="2" t="s">
        <v>5</v>
      </c>
      <c r="L1675" s="2" t="s">
        <v>28</v>
      </c>
      <c r="M1675" s="2" t="s">
        <v>5</v>
      </c>
      <c r="N1675" s="4">
        <v>898.88</v>
      </c>
    </row>
    <row r="1676" spans="1:14" x14ac:dyDescent="0.25">
      <c r="A1676" s="2" t="s">
        <v>211</v>
      </c>
      <c r="B1676" s="2" t="s">
        <v>212</v>
      </c>
      <c r="C1676" s="3">
        <v>29.39</v>
      </c>
      <c r="D1676" s="4">
        <v>135.19399999999999</v>
      </c>
      <c r="E1676" s="4">
        <v>73.474999999999994</v>
      </c>
      <c r="F1676" s="4">
        <f t="shared" si="111"/>
        <v>61.718999999999994</v>
      </c>
      <c r="G1676" s="5">
        <f t="shared" si="112"/>
        <v>0.45652173913043476</v>
      </c>
      <c r="H1676" s="2" t="s">
        <v>1222</v>
      </c>
      <c r="I1676" s="6" t="s">
        <v>32</v>
      </c>
      <c r="J1676" s="2" t="s">
        <v>1223</v>
      </c>
      <c r="K1676" s="2" t="s">
        <v>5</v>
      </c>
      <c r="L1676" s="2" t="s">
        <v>28</v>
      </c>
      <c r="M1676" s="2" t="s">
        <v>5</v>
      </c>
      <c r="N1676" s="4">
        <v>4141.71</v>
      </c>
    </row>
    <row r="1677" spans="1:14" x14ac:dyDescent="0.25">
      <c r="A1677" s="2" t="s">
        <v>1232</v>
      </c>
      <c r="B1677" s="2" t="s">
        <v>1233</v>
      </c>
      <c r="C1677" s="3">
        <v>6</v>
      </c>
      <c r="D1677" s="4">
        <v>54.42</v>
      </c>
      <c r="E1677" s="4">
        <v>36.06</v>
      </c>
      <c r="F1677" s="4">
        <f t="shared" si="111"/>
        <v>18.36</v>
      </c>
      <c r="G1677" s="5">
        <f t="shared" si="112"/>
        <v>0.33737596471885334</v>
      </c>
      <c r="H1677" s="2" t="s">
        <v>1230</v>
      </c>
      <c r="I1677" s="6" t="s">
        <v>39</v>
      </c>
      <c r="J1677" s="2" t="s">
        <v>1231</v>
      </c>
      <c r="K1677" s="2" t="s">
        <v>5</v>
      </c>
      <c r="L1677" s="2" t="s">
        <v>28</v>
      </c>
      <c r="M1677" s="2" t="s">
        <v>5</v>
      </c>
      <c r="N1677" s="4">
        <v>898.88</v>
      </c>
    </row>
    <row r="1678" spans="1:14" x14ac:dyDescent="0.25">
      <c r="A1678" s="2" t="s">
        <v>709</v>
      </c>
      <c r="B1678" s="2" t="s">
        <v>710</v>
      </c>
      <c r="C1678" s="3">
        <v>8.34</v>
      </c>
      <c r="D1678" s="4">
        <v>118.3446</v>
      </c>
      <c r="E1678" s="4">
        <v>86.319000000000003</v>
      </c>
      <c r="F1678" s="4">
        <f t="shared" si="111"/>
        <v>32.025599999999997</v>
      </c>
      <c r="G1678" s="5">
        <f t="shared" si="112"/>
        <v>0.2706131078224101</v>
      </c>
      <c r="H1678" s="2" t="s">
        <v>1230</v>
      </c>
      <c r="I1678" s="6" t="s">
        <v>39</v>
      </c>
      <c r="J1678" s="2" t="s">
        <v>1231</v>
      </c>
      <c r="K1678" s="2" t="s">
        <v>5</v>
      </c>
      <c r="L1678" s="2" t="s">
        <v>28</v>
      </c>
      <c r="M1678" s="2" t="s">
        <v>5</v>
      </c>
      <c r="N1678" s="4">
        <v>898.88</v>
      </c>
    </row>
    <row r="1679" spans="1:14" x14ac:dyDescent="0.25">
      <c r="A1679" s="2" t="s">
        <v>246</v>
      </c>
      <c r="B1679" s="2" t="s">
        <v>247</v>
      </c>
      <c r="C1679" s="3">
        <v>32</v>
      </c>
      <c r="D1679" s="4">
        <v>688.96</v>
      </c>
      <c r="E1679" s="4">
        <v>520</v>
      </c>
      <c r="F1679" s="4">
        <f t="shared" si="111"/>
        <v>168.96000000000004</v>
      </c>
      <c r="G1679" s="5">
        <f t="shared" si="112"/>
        <v>0.24523920111472369</v>
      </c>
      <c r="H1679" s="2" t="s">
        <v>1222</v>
      </c>
      <c r="I1679" s="6" t="s">
        <v>32</v>
      </c>
      <c r="J1679" s="2" t="s">
        <v>1223</v>
      </c>
      <c r="K1679" s="2" t="s">
        <v>5</v>
      </c>
      <c r="L1679" s="2" t="s">
        <v>28</v>
      </c>
      <c r="M1679" s="2" t="s">
        <v>5</v>
      </c>
      <c r="N1679" s="4">
        <v>4141.71</v>
      </c>
    </row>
    <row r="1680" spans="1:14" x14ac:dyDescent="0.25">
      <c r="A1680" s="2" t="s">
        <v>603</v>
      </c>
      <c r="B1680" s="2" t="s">
        <v>604</v>
      </c>
      <c r="C1680" s="3">
        <v>45.5</v>
      </c>
      <c r="D1680" s="4">
        <v>832.19500000000005</v>
      </c>
      <c r="E1680" s="4">
        <v>527.79999999999995</v>
      </c>
      <c r="F1680" s="4">
        <f t="shared" si="111"/>
        <v>304.3950000000001</v>
      </c>
      <c r="G1680" s="5">
        <f t="shared" si="112"/>
        <v>0.36577364680153096</v>
      </c>
      <c r="H1680" s="2" t="s">
        <v>1220</v>
      </c>
      <c r="I1680" s="6" t="s">
        <v>74</v>
      </c>
      <c r="J1680" s="2" t="s">
        <v>1221</v>
      </c>
      <c r="K1680" s="2" t="s">
        <v>5</v>
      </c>
      <c r="L1680" s="2" t="s">
        <v>28</v>
      </c>
      <c r="M1680" s="2" t="s">
        <v>5</v>
      </c>
      <c r="N1680" s="4">
        <v>3053.17</v>
      </c>
    </row>
    <row r="1681" spans="1:14" x14ac:dyDescent="0.25">
      <c r="A1681" s="2" t="s">
        <v>51</v>
      </c>
      <c r="B1681" s="2" t="s">
        <v>52</v>
      </c>
      <c r="C1681" s="3">
        <v>59.41</v>
      </c>
      <c r="D1681" s="4">
        <v>1086.6088999999999</v>
      </c>
      <c r="E1681" s="4">
        <v>980.26499999999999</v>
      </c>
      <c r="F1681" s="4">
        <f t="shared" si="111"/>
        <v>106.34389999999996</v>
      </c>
      <c r="G1681" s="5">
        <f t="shared" si="112"/>
        <v>9.7867687260798225E-2</v>
      </c>
      <c r="H1681" s="2" t="s">
        <v>1222</v>
      </c>
      <c r="I1681" s="6" t="s">
        <v>32</v>
      </c>
      <c r="J1681" s="2" t="s">
        <v>1223</v>
      </c>
      <c r="K1681" s="2" t="s">
        <v>5</v>
      </c>
      <c r="L1681" s="2" t="s">
        <v>28</v>
      </c>
      <c r="M1681" s="2" t="s">
        <v>5</v>
      </c>
      <c r="N1681" s="4">
        <v>4141.71</v>
      </c>
    </row>
    <row r="1682" spans="1:14" x14ac:dyDescent="0.25">
      <c r="A1682" s="2" t="s">
        <v>1234</v>
      </c>
      <c r="B1682" s="2" t="s">
        <v>1235</v>
      </c>
      <c r="C1682" s="3">
        <v>10.52</v>
      </c>
      <c r="D1682" s="4">
        <v>271.83679999999998</v>
      </c>
      <c r="E1682" s="4">
        <v>194.09399999999999</v>
      </c>
      <c r="F1682" s="4">
        <f t="shared" si="111"/>
        <v>77.742799999999988</v>
      </c>
      <c r="G1682" s="5">
        <f t="shared" si="112"/>
        <v>0.28599071207430338</v>
      </c>
      <c r="H1682" s="2" t="s">
        <v>1230</v>
      </c>
      <c r="I1682" s="6" t="s">
        <v>39</v>
      </c>
      <c r="J1682" s="2" t="s">
        <v>1231</v>
      </c>
      <c r="K1682" s="2" t="s">
        <v>5</v>
      </c>
      <c r="L1682" s="2" t="s">
        <v>28</v>
      </c>
      <c r="M1682" s="2" t="s">
        <v>5</v>
      </c>
      <c r="N1682" s="4">
        <v>898.88</v>
      </c>
    </row>
    <row r="1683" spans="1:14" x14ac:dyDescent="0.25">
      <c r="A1683" s="2" t="s">
        <v>217</v>
      </c>
      <c r="B1683" s="2" t="s">
        <v>218</v>
      </c>
      <c r="C1683" s="3">
        <v>40.69</v>
      </c>
      <c r="D1683" s="4">
        <v>548.90809999999999</v>
      </c>
      <c r="E1683" s="4">
        <v>443.52100000000002</v>
      </c>
      <c r="F1683" s="4">
        <f t="shared" si="111"/>
        <v>105.38709999999998</v>
      </c>
      <c r="G1683" s="5">
        <f t="shared" si="112"/>
        <v>0.19199406968124533</v>
      </c>
      <c r="H1683" s="2" t="s">
        <v>1220</v>
      </c>
      <c r="I1683" s="6" t="s">
        <v>74</v>
      </c>
      <c r="J1683" s="2" t="s">
        <v>1221</v>
      </c>
      <c r="K1683" s="2" t="s">
        <v>5</v>
      </c>
      <c r="L1683" s="2" t="s">
        <v>28</v>
      </c>
      <c r="M1683" s="2" t="s">
        <v>5</v>
      </c>
      <c r="N1683" s="4">
        <v>3053.17</v>
      </c>
    </row>
    <row r="1684" spans="1:14" x14ac:dyDescent="0.25">
      <c r="A1684" s="2" t="s">
        <v>53</v>
      </c>
      <c r="B1684" s="2" t="s">
        <v>54</v>
      </c>
      <c r="C1684" s="3">
        <v>45.99</v>
      </c>
      <c r="D1684" s="4">
        <v>444.26339999999999</v>
      </c>
      <c r="E1684" s="4">
        <v>335.72699999999998</v>
      </c>
      <c r="F1684" s="4">
        <f t="shared" si="111"/>
        <v>108.53640000000001</v>
      </c>
      <c r="G1684" s="5">
        <f t="shared" si="112"/>
        <v>0.24430641821946172</v>
      </c>
      <c r="H1684" s="2" t="s">
        <v>1222</v>
      </c>
      <c r="I1684" s="6" t="s">
        <v>32</v>
      </c>
      <c r="J1684" s="2" t="s">
        <v>1223</v>
      </c>
      <c r="K1684" s="2" t="s">
        <v>5</v>
      </c>
      <c r="L1684" s="2" t="s">
        <v>28</v>
      </c>
      <c r="M1684" s="2" t="s">
        <v>5</v>
      </c>
      <c r="N1684" s="4">
        <v>4141.71</v>
      </c>
    </row>
    <row r="1685" spans="1:14" x14ac:dyDescent="0.25">
      <c r="A1685" s="2" t="s">
        <v>589</v>
      </c>
      <c r="B1685" s="2" t="s">
        <v>590</v>
      </c>
      <c r="C1685" s="3">
        <v>46</v>
      </c>
      <c r="D1685" s="4">
        <v>841.34</v>
      </c>
      <c r="E1685" s="4">
        <v>632.5</v>
      </c>
      <c r="F1685" s="4">
        <f t="shared" si="111"/>
        <v>208.84000000000003</v>
      </c>
      <c r="G1685" s="5">
        <f t="shared" si="112"/>
        <v>0.24822307271733191</v>
      </c>
      <c r="H1685" s="2" t="s">
        <v>1222</v>
      </c>
      <c r="I1685" s="6" t="s">
        <v>32</v>
      </c>
      <c r="J1685" s="2" t="s">
        <v>1223</v>
      </c>
      <c r="K1685" s="2" t="s">
        <v>5</v>
      </c>
      <c r="L1685" s="2" t="s">
        <v>28</v>
      </c>
      <c r="M1685" s="2" t="s">
        <v>5</v>
      </c>
      <c r="N1685" s="4">
        <v>4141.71</v>
      </c>
    </row>
    <row r="1686" spans="1:14" x14ac:dyDescent="0.25">
      <c r="A1686" s="2" t="s">
        <v>741</v>
      </c>
      <c r="B1686" s="2" t="s">
        <v>742</v>
      </c>
      <c r="C1686" s="3">
        <v>8</v>
      </c>
      <c r="D1686" s="4">
        <v>169.28</v>
      </c>
      <c r="E1686" s="4">
        <v>122</v>
      </c>
      <c r="F1686" s="4">
        <f t="shared" si="111"/>
        <v>47.28</v>
      </c>
      <c r="G1686" s="5">
        <f t="shared" si="112"/>
        <v>0.27930056710775047</v>
      </c>
      <c r="H1686" s="2" t="s">
        <v>1230</v>
      </c>
      <c r="I1686" s="6" t="s">
        <v>39</v>
      </c>
      <c r="J1686" s="2" t="s">
        <v>1231</v>
      </c>
      <c r="K1686" s="2" t="s">
        <v>5</v>
      </c>
      <c r="L1686" s="2" t="s">
        <v>28</v>
      </c>
      <c r="M1686" s="2" t="s">
        <v>5</v>
      </c>
      <c r="N1686" s="4">
        <v>898.88</v>
      </c>
    </row>
    <row r="1687" spans="1:14" x14ac:dyDescent="0.25">
      <c r="A1687" s="2" t="s">
        <v>1236</v>
      </c>
      <c r="B1687" s="2" t="s">
        <v>1237</v>
      </c>
      <c r="C1687" s="3">
        <v>8</v>
      </c>
      <c r="D1687" s="4">
        <v>99.68</v>
      </c>
      <c r="E1687" s="4">
        <v>76.72</v>
      </c>
      <c r="F1687" s="4">
        <f t="shared" si="111"/>
        <v>22.960000000000008</v>
      </c>
      <c r="G1687" s="5">
        <f t="shared" si="112"/>
        <v>0.23033707865168546</v>
      </c>
      <c r="H1687" s="2" t="s">
        <v>1230</v>
      </c>
      <c r="I1687" s="6" t="s">
        <v>39</v>
      </c>
      <c r="J1687" s="2" t="s">
        <v>1231</v>
      </c>
      <c r="K1687" s="2" t="s">
        <v>5</v>
      </c>
      <c r="L1687" s="2" t="s">
        <v>28</v>
      </c>
      <c r="M1687" s="2" t="s">
        <v>5</v>
      </c>
      <c r="N1687" s="4">
        <v>898.88</v>
      </c>
    </row>
    <row r="1689" spans="1:14" x14ac:dyDescent="0.25">
      <c r="A1689" s="13" t="s">
        <v>59</v>
      </c>
      <c r="B1689" s="21"/>
      <c r="C1689" s="22">
        <f>SUM(C1663:C1688)</f>
        <v>593.40499999999997</v>
      </c>
      <c r="D1689" s="23">
        <f>SUM(D1663:D1688)</f>
        <v>8093.7557999999999</v>
      </c>
      <c r="E1689" s="23">
        <f>SUM(E1663:E1688)</f>
        <v>5918.9994999999999</v>
      </c>
      <c r="F1689" s="23">
        <f>D1689-E1689</f>
        <v>2174.7563</v>
      </c>
      <c r="G1689" s="24">
        <f>IF(((D1689)=0),0,(D1689-E1689)/ D1689)</f>
        <v>0.26869556652549365</v>
      </c>
      <c r="H1689" s="21"/>
      <c r="I1689" s="21"/>
      <c r="J1689" s="21"/>
      <c r="K1689" s="21"/>
      <c r="L1689" s="21"/>
      <c r="M1689" s="21"/>
      <c r="N1689" s="21"/>
    </row>
    <row r="1691" spans="1:14" s="17" customFormat="1" ht="18.75" x14ac:dyDescent="0.3"/>
    <row r="1692" spans="1:14" s="7" customFormat="1" x14ac:dyDescent="0.25">
      <c r="A1692" s="13" t="s">
        <v>1238</v>
      </c>
      <c r="B1692" s="18" t="s">
        <v>1239</v>
      </c>
      <c r="C1692" s="19"/>
      <c r="D1692" s="20" t="s">
        <v>5</v>
      </c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</row>
    <row r="1694" spans="1:14" x14ac:dyDescent="0.25">
      <c r="A1694" s="2" t="s">
        <v>813</v>
      </c>
      <c r="B1694" s="2" t="s">
        <v>814</v>
      </c>
      <c r="C1694" s="3">
        <v>40</v>
      </c>
      <c r="D1694" s="4">
        <v>568.4</v>
      </c>
      <c r="E1694" s="4">
        <v>421.2</v>
      </c>
      <c r="F1694" s="4">
        <f t="shared" ref="F1694:F1709" si="113">D1694-E1694</f>
        <v>147.19999999999999</v>
      </c>
      <c r="G1694" s="5">
        <f t="shared" ref="G1694:G1709" si="114">IF(((D1694)=0),0,(D1694-E1694)/ D1694)</f>
        <v>0.25897255453905699</v>
      </c>
      <c r="H1694" s="2" t="s">
        <v>1240</v>
      </c>
      <c r="I1694" s="6" t="s">
        <v>69</v>
      </c>
      <c r="J1694" s="2" t="s">
        <v>1241</v>
      </c>
      <c r="K1694" s="2" t="s">
        <v>5</v>
      </c>
      <c r="L1694" s="2" t="s">
        <v>28</v>
      </c>
      <c r="M1694" s="2" t="s">
        <v>5</v>
      </c>
      <c r="N1694" s="4">
        <v>2432.19</v>
      </c>
    </row>
    <row r="1695" spans="1:14" x14ac:dyDescent="0.25">
      <c r="A1695" s="2" t="s">
        <v>566</v>
      </c>
      <c r="B1695" s="2" t="s">
        <v>567</v>
      </c>
      <c r="C1695" s="3">
        <v>10.06</v>
      </c>
      <c r="D1695" s="4">
        <v>162.36840000000001</v>
      </c>
      <c r="E1695" s="4">
        <v>114.684</v>
      </c>
      <c r="F1695" s="4">
        <f t="shared" si="113"/>
        <v>47.684400000000011</v>
      </c>
      <c r="G1695" s="5">
        <f t="shared" si="114"/>
        <v>0.29368029739776957</v>
      </c>
      <c r="H1695" s="2" t="s">
        <v>1242</v>
      </c>
      <c r="I1695" s="6" t="s">
        <v>32</v>
      </c>
      <c r="J1695" s="2" t="s">
        <v>1243</v>
      </c>
      <c r="K1695" s="2" t="s">
        <v>5</v>
      </c>
      <c r="L1695" s="2" t="s">
        <v>28</v>
      </c>
      <c r="M1695" s="2" t="s">
        <v>5</v>
      </c>
      <c r="N1695" s="4">
        <v>2950.3</v>
      </c>
    </row>
    <row r="1696" spans="1:14" x14ac:dyDescent="0.25">
      <c r="A1696" s="2" t="s">
        <v>22</v>
      </c>
      <c r="B1696" s="2" t="s">
        <v>23</v>
      </c>
      <c r="C1696" s="3">
        <v>30.02</v>
      </c>
      <c r="D1696" s="4">
        <v>419.37939999999998</v>
      </c>
      <c r="E1696" s="4">
        <v>330.22</v>
      </c>
      <c r="F1696" s="4">
        <f t="shared" si="113"/>
        <v>89.159399999999948</v>
      </c>
      <c r="G1696" s="5">
        <f t="shared" si="114"/>
        <v>0.21259842519685029</v>
      </c>
      <c r="H1696" s="2" t="s">
        <v>1242</v>
      </c>
      <c r="I1696" s="6" t="s">
        <v>32</v>
      </c>
      <c r="J1696" s="2" t="s">
        <v>1243</v>
      </c>
      <c r="K1696" s="2" t="s">
        <v>5</v>
      </c>
      <c r="L1696" s="2" t="s">
        <v>28</v>
      </c>
      <c r="M1696" s="2" t="s">
        <v>5</v>
      </c>
      <c r="N1696" s="4">
        <v>2950.3</v>
      </c>
    </row>
    <row r="1697" spans="1:14" x14ac:dyDescent="0.25">
      <c r="A1697" s="2" t="s">
        <v>146</v>
      </c>
      <c r="B1697" s="2" t="s">
        <v>147</v>
      </c>
      <c r="C1697" s="3">
        <v>43.64</v>
      </c>
      <c r="D1697" s="4">
        <v>609.6508</v>
      </c>
      <c r="E1697" s="4">
        <v>493.13200000000001</v>
      </c>
      <c r="F1697" s="4">
        <f t="shared" si="113"/>
        <v>116.5188</v>
      </c>
      <c r="G1697" s="5">
        <f t="shared" si="114"/>
        <v>0.19112383679312814</v>
      </c>
      <c r="H1697" s="2" t="s">
        <v>1242</v>
      </c>
      <c r="I1697" s="6" t="s">
        <v>32</v>
      </c>
      <c r="J1697" s="2" t="s">
        <v>1243</v>
      </c>
      <c r="K1697" s="2" t="s">
        <v>5</v>
      </c>
      <c r="L1697" s="2" t="s">
        <v>28</v>
      </c>
      <c r="M1697" s="2" t="s">
        <v>5</v>
      </c>
      <c r="N1697" s="4">
        <v>2950.3</v>
      </c>
    </row>
    <row r="1698" spans="1:14" x14ac:dyDescent="0.25">
      <c r="A1698" s="2" t="s">
        <v>150</v>
      </c>
      <c r="B1698" s="2" t="s">
        <v>151</v>
      </c>
      <c r="C1698" s="3">
        <v>15.96</v>
      </c>
      <c r="D1698" s="4">
        <v>252.64680000000001</v>
      </c>
      <c r="E1698" s="4">
        <v>156.40799999999999</v>
      </c>
      <c r="F1698" s="4">
        <f t="shared" si="113"/>
        <v>96.238800000000026</v>
      </c>
      <c r="G1698" s="5">
        <f t="shared" si="114"/>
        <v>0.38092229943145933</v>
      </c>
      <c r="H1698" s="2" t="s">
        <v>1242</v>
      </c>
      <c r="I1698" s="6" t="s">
        <v>32</v>
      </c>
      <c r="J1698" s="2" t="s">
        <v>1243</v>
      </c>
      <c r="K1698" s="2" t="s">
        <v>5</v>
      </c>
      <c r="L1698" s="2" t="s">
        <v>28</v>
      </c>
      <c r="M1698" s="2" t="s">
        <v>5</v>
      </c>
      <c r="N1698" s="4">
        <v>2950.3</v>
      </c>
    </row>
    <row r="1699" spans="1:14" x14ac:dyDescent="0.25">
      <c r="A1699" s="2" t="s">
        <v>150</v>
      </c>
      <c r="B1699" s="2" t="s">
        <v>151</v>
      </c>
      <c r="C1699" s="3">
        <v>15.94</v>
      </c>
      <c r="D1699" s="4">
        <v>252.33019999999999</v>
      </c>
      <c r="E1699" s="4">
        <v>156.21199999999999</v>
      </c>
      <c r="F1699" s="4">
        <f t="shared" si="113"/>
        <v>96.118200000000002</v>
      </c>
      <c r="G1699" s="5">
        <f t="shared" si="114"/>
        <v>0.38092229943145928</v>
      </c>
      <c r="H1699" s="2" t="s">
        <v>1240</v>
      </c>
      <c r="I1699" s="6" t="s">
        <v>69</v>
      </c>
      <c r="J1699" s="2" t="s">
        <v>1241</v>
      </c>
      <c r="K1699" s="2" t="s">
        <v>5</v>
      </c>
      <c r="L1699" s="2" t="s">
        <v>28</v>
      </c>
      <c r="M1699" s="2" t="s">
        <v>5</v>
      </c>
      <c r="N1699" s="4">
        <v>2432.19</v>
      </c>
    </row>
    <row r="1700" spans="1:14" x14ac:dyDescent="0.25">
      <c r="A1700" s="2" t="s">
        <v>118</v>
      </c>
      <c r="B1700" s="2" t="s">
        <v>119</v>
      </c>
      <c r="C1700" s="3">
        <v>36</v>
      </c>
      <c r="D1700" s="4">
        <v>578.88</v>
      </c>
      <c r="E1700" s="4">
        <v>270</v>
      </c>
      <c r="F1700" s="4">
        <f t="shared" si="113"/>
        <v>308.88</v>
      </c>
      <c r="G1700" s="5">
        <f t="shared" si="114"/>
        <v>0.53358208955223885</v>
      </c>
      <c r="H1700" s="2" t="s">
        <v>1242</v>
      </c>
      <c r="I1700" s="6" t="s">
        <v>32</v>
      </c>
      <c r="J1700" s="2" t="s">
        <v>1243</v>
      </c>
      <c r="K1700" s="2" t="s">
        <v>5</v>
      </c>
      <c r="L1700" s="2" t="s">
        <v>28</v>
      </c>
      <c r="M1700" s="2" t="s">
        <v>5</v>
      </c>
      <c r="N1700" s="4">
        <v>2950.3</v>
      </c>
    </row>
    <row r="1701" spans="1:14" x14ac:dyDescent="0.25">
      <c r="A1701" s="2" t="s">
        <v>613</v>
      </c>
      <c r="B1701" s="2" t="s">
        <v>614</v>
      </c>
      <c r="C1701" s="3">
        <v>14.48</v>
      </c>
      <c r="D1701" s="4">
        <v>79.495199999999997</v>
      </c>
      <c r="E1701" s="4">
        <v>52.128</v>
      </c>
      <c r="F1701" s="4">
        <f t="shared" si="113"/>
        <v>27.367199999999997</v>
      </c>
      <c r="G1701" s="5">
        <f t="shared" si="114"/>
        <v>0.34426229508196721</v>
      </c>
      <c r="H1701" s="2" t="s">
        <v>1242</v>
      </c>
      <c r="I1701" s="6" t="s">
        <v>32</v>
      </c>
      <c r="J1701" s="2" t="s">
        <v>1243</v>
      </c>
      <c r="K1701" s="2" t="s">
        <v>5</v>
      </c>
      <c r="L1701" s="2" t="s">
        <v>28</v>
      </c>
      <c r="M1701" s="2" t="s">
        <v>5</v>
      </c>
      <c r="N1701" s="4">
        <v>2950.3</v>
      </c>
    </row>
    <row r="1702" spans="1:14" x14ac:dyDescent="0.25">
      <c r="A1702" s="2" t="s">
        <v>601</v>
      </c>
      <c r="B1702" s="2" t="s">
        <v>602</v>
      </c>
      <c r="C1702" s="3">
        <v>23.66</v>
      </c>
      <c r="D1702" s="4">
        <v>129.89340000000001</v>
      </c>
      <c r="E1702" s="4">
        <v>85.176000000000002</v>
      </c>
      <c r="F1702" s="4">
        <f t="shared" si="113"/>
        <v>44.717400000000012</v>
      </c>
      <c r="G1702" s="5">
        <f t="shared" si="114"/>
        <v>0.34426229508196726</v>
      </c>
      <c r="H1702" s="2" t="s">
        <v>1240</v>
      </c>
      <c r="I1702" s="6" t="s">
        <v>69</v>
      </c>
      <c r="J1702" s="2" t="s">
        <v>1241</v>
      </c>
      <c r="K1702" s="2" t="s">
        <v>5</v>
      </c>
      <c r="L1702" s="2" t="s">
        <v>28</v>
      </c>
      <c r="M1702" s="2" t="s">
        <v>5</v>
      </c>
      <c r="N1702" s="4">
        <v>2432.19</v>
      </c>
    </row>
    <row r="1703" spans="1:14" x14ac:dyDescent="0.25">
      <c r="A1703" s="2" t="s">
        <v>246</v>
      </c>
      <c r="B1703" s="2" t="s">
        <v>247</v>
      </c>
      <c r="C1703" s="3">
        <v>16</v>
      </c>
      <c r="D1703" s="4">
        <v>344.48</v>
      </c>
      <c r="E1703" s="4">
        <v>260</v>
      </c>
      <c r="F1703" s="4">
        <f t="shared" si="113"/>
        <v>84.480000000000018</v>
      </c>
      <c r="G1703" s="5">
        <f t="shared" si="114"/>
        <v>0.24523920111472369</v>
      </c>
      <c r="H1703" s="2" t="s">
        <v>1240</v>
      </c>
      <c r="I1703" s="6" t="s">
        <v>69</v>
      </c>
      <c r="J1703" s="2" t="s">
        <v>1241</v>
      </c>
      <c r="K1703" s="2" t="s">
        <v>5</v>
      </c>
      <c r="L1703" s="2" t="s">
        <v>28</v>
      </c>
      <c r="M1703" s="2" t="s">
        <v>5</v>
      </c>
      <c r="N1703" s="4">
        <v>2432.19</v>
      </c>
    </row>
    <row r="1704" spans="1:14" x14ac:dyDescent="0.25">
      <c r="A1704" s="2" t="s">
        <v>51</v>
      </c>
      <c r="B1704" s="2" t="s">
        <v>52</v>
      </c>
      <c r="C1704" s="3">
        <v>29.08</v>
      </c>
      <c r="D1704" s="4">
        <v>531.8732</v>
      </c>
      <c r="E1704" s="4">
        <v>479.82</v>
      </c>
      <c r="F1704" s="4">
        <f t="shared" si="113"/>
        <v>52.053200000000004</v>
      </c>
      <c r="G1704" s="5">
        <f t="shared" si="114"/>
        <v>9.7867687260798253E-2</v>
      </c>
      <c r="H1704" s="2" t="s">
        <v>1242</v>
      </c>
      <c r="I1704" s="6" t="s">
        <v>32</v>
      </c>
      <c r="J1704" s="2" t="s">
        <v>1243</v>
      </c>
      <c r="K1704" s="2" t="s">
        <v>5</v>
      </c>
      <c r="L1704" s="2" t="s">
        <v>28</v>
      </c>
      <c r="M1704" s="2" t="s">
        <v>5</v>
      </c>
      <c r="N1704" s="4">
        <v>2950.3</v>
      </c>
    </row>
    <row r="1705" spans="1:14" x14ac:dyDescent="0.25">
      <c r="A1705" s="2" t="s">
        <v>248</v>
      </c>
      <c r="B1705" s="2" t="s">
        <v>249</v>
      </c>
      <c r="C1705" s="3">
        <v>16</v>
      </c>
      <c r="D1705" s="4">
        <v>198.56</v>
      </c>
      <c r="E1705" s="4">
        <v>152</v>
      </c>
      <c r="F1705" s="4">
        <f t="shared" si="113"/>
        <v>46.56</v>
      </c>
      <c r="G1705" s="5">
        <f t="shared" si="114"/>
        <v>0.23448831587429494</v>
      </c>
      <c r="H1705" s="2" t="s">
        <v>1240</v>
      </c>
      <c r="I1705" s="6" t="s">
        <v>69</v>
      </c>
      <c r="J1705" s="2" t="s">
        <v>1241</v>
      </c>
      <c r="K1705" s="2" t="s">
        <v>5</v>
      </c>
      <c r="L1705" s="2" t="s">
        <v>28</v>
      </c>
      <c r="M1705" s="2" t="s">
        <v>5</v>
      </c>
      <c r="N1705" s="4">
        <v>2432.19</v>
      </c>
    </row>
    <row r="1706" spans="1:14" x14ac:dyDescent="0.25">
      <c r="A1706" s="2" t="s">
        <v>581</v>
      </c>
      <c r="B1706" s="2" t="s">
        <v>582</v>
      </c>
      <c r="C1706" s="3">
        <v>22.62</v>
      </c>
      <c r="D1706" s="4">
        <v>316.00139999999999</v>
      </c>
      <c r="E1706" s="4">
        <v>196.79400000000001</v>
      </c>
      <c r="F1706" s="4">
        <f t="shared" si="113"/>
        <v>119.20739999999998</v>
      </c>
      <c r="G1706" s="5">
        <f t="shared" si="114"/>
        <v>0.37723693629205435</v>
      </c>
      <c r="H1706" s="2" t="s">
        <v>1242</v>
      </c>
      <c r="I1706" s="6" t="s">
        <v>32</v>
      </c>
      <c r="J1706" s="2" t="s">
        <v>1243</v>
      </c>
      <c r="K1706" s="2" t="s">
        <v>5</v>
      </c>
      <c r="L1706" s="2" t="s">
        <v>28</v>
      </c>
      <c r="M1706" s="2" t="s">
        <v>5</v>
      </c>
      <c r="N1706" s="4">
        <v>2950.3</v>
      </c>
    </row>
    <row r="1707" spans="1:14" x14ac:dyDescent="0.25">
      <c r="A1707" s="2" t="s">
        <v>217</v>
      </c>
      <c r="B1707" s="2" t="s">
        <v>218</v>
      </c>
      <c r="C1707" s="3">
        <v>26.48</v>
      </c>
      <c r="D1707" s="4">
        <v>357.21519999999998</v>
      </c>
      <c r="E1707" s="4">
        <v>288.63200000000001</v>
      </c>
      <c r="F1707" s="4">
        <f t="shared" si="113"/>
        <v>68.583199999999977</v>
      </c>
      <c r="G1707" s="5">
        <f t="shared" si="114"/>
        <v>0.1919940696812453</v>
      </c>
      <c r="H1707" s="2" t="s">
        <v>1240</v>
      </c>
      <c r="I1707" s="6" t="s">
        <v>69</v>
      </c>
      <c r="J1707" s="2" t="s">
        <v>1241</v>
      </c>
      <c r="K1707" s="2" t="s">
        <v>5</v>
      </c>
      <c r="L1707" s="2" t="s">
        <v>28</v>
      </c>
      <c r="M1707" s="2" t="s">
        <v>5</v>
      </c>
      <c r="N1707" s="4">
        <v>2432.19</v>
      </c>
    </row>
    <row r="1708" spans="1:14" x14ac:dyDescent="0.25">
      <c r="A1708" s="2" t="s">
        <v>53</v>
      </c>
      <c r="B1708" s="2" t="s">
        <v>54</v>
      </c>
      <c r="C1708" s="3">
        <v>31.4</v>
      </c>
      <c r="D1708" s="4">
        <v>303.32400000000001</v>
      </c>
      <c r="E1708" s="4">
        <v>229.22</v>
      </c>
      <c r="F1708" s="4">
        <f t="shared" si="113"/>
        <v>74.104000000000013</v>
      </c>
      <c r="G1708" s="5">
        <f t="shared" si="114"/>
        <v>0.24430641821946172</v>
      </c>
      <c r="H1708" s="2" t="s">
        <v>1240</v>
      </c>
      <c r="I1708" s="6" t="s">
        <v>69</v>
      </c>
      <c r="J1708" s="2" t="s">
        <v>1241</v>
      </c>
      <c r="K1708" s="2" t="s">
        <v>5</v>
      </c>
      <c r="L1708" s="2" t="s">
        <v>28</v>
      </c>
      <c r="M1708" s="2" t="s">
        <v>5</v>
      </c>
      <c r="N1708" s="4">
        <v>2432.19</v>
      </c>
    </row>
    <row r="1709" spans="1:14" x14ac:dyDescent="0.25">
      <c r="A1709" s="2" t="s">
        <v>250</v>
      </c>
      <c r="B1709" s="2" t="s">
        <v>251</v>
      </c>
      <c r="C1709" s="3">
        <v>22.4</v>
      </c>
      <c r="D1709" s="4">
        <v>277.98399999999998</v>
      </c>
      <c r="E1709" s="4">
        <v>190.4</v>
      </c>
      <c r="F1709" s="4">
        <f t="shared" si="113"/>
        <v>87.583999999999975</v>
      </c>
      <c r="G1709" s="5">
        <f t="shared" si="114"/>
        <v>0.31506849315068486</v>
      </c>
      <c r="H1709" s="2" t="s">
        <v>1240</v>
      </c>
      <c r="I1709" s="6" t="s">
        <v>69</v>
      </c>
      <c r="J1709" s="2" t="s">
        <v>1241</v>
      </c>
      <c r="K1709" s="2" t="s">
        <v>5</v>
      </c>
      <c r="L1709" s="2" t="s">
        <v>28</v>
      </c>
      <c r="M1709" s="2" t="s">
        <v>5</v>
      </c>
      <c r="N1709" s="4">
        <v>2432.19</v>
      </c>
    </row>
    <row r="1711" spans="1:14" x14ac:dyDescent="0.25">
      <c r="A1711" s="13" t="s">
        <v>59</v>
      </c>
      <c r="B1711" s="21"/>
      <c r="C1711" s="22">
        <f>SUM(C1691:C1710)</f>
        <v>393.73999999999995</v>
      </c>
      <c r="D1711" s="23">
        <f>SUM(D1691:D1710)</f>
        <v>5382.482</v>
      </c>
      <c r="E1711" s="23">
        <f>SUM(E1691:E1710)</f>
        <v>3876.0259999999998</v>
      </c>
      <c r="F1711" s="23">
        <f>D1711-E1711</f>
        <v>1506.4560000000001</v>
      </c>
      <c r="G1711" s="24">
        <f>IF(((D1711)=0),0,(D1711-E1711)/ D1711)</f>
        <v>0.27988128896668862</v>
      </c>
      <c r="H1711" s="21"/>
      <c r="I1711" s="21"/>
      <c r="J1711" s="21"/>
      <c r="K1711" s="21"/>
      <c r="L1711" s="21"/>
      <c r="M1711" s="21"/>
      <c r="N1711" s="21"/>
    </row>
    <row r="1713" spans="1:14" s="17" customFormat="1" ht="18.75" x14ac:dyDescent="0.3"/>
    <row r="1714" spans="1:14" s="7" customFormat="1" x14ac:dyDescent="0.25">
      <c r="A1714" s="13" t="s">
        <v>1244</v>
      </c>
      <c r="B1714" s="18" t="s">
        <v>1245</v>
      </c>
      <c r="C1714" s="19"/>
      <c r="D1714" s="20" t="s">
        <v>5</v>
      </c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</row>
    <row r="1716" spans="1:14" x14ac:dyDescent="0.25">
      <c r="A1716" s="2" t="s">
        <v>660</v>
      </c>
      <c r="B1716" s="2" t="s">
        <v>661</v>
      </c>
      <c r="C1716" s="3">
        <v>5.33</v>
      </c>
      <c r="D1716" s="4">
        <v>81.655600000000007</v>
      </c>
      <c r="E1716" s="4">
        <v>36.777000000000001</v>
      </c>
      <c r="F1716" s="4">
        <f>D1716-E1716</f>
        <v>44.878600000000006</v>
      </c>
      <c r="G1716" s="5">
        <f>IF(((D1716)=0),0,(D1716-E1716)/ D1716)</f>
        <v>0.54960835509138384</v>
      </c>
      <c r="H1716" s="2" t="s">
        <v>1246</v>
      </c>
      <c r="I1716" s="6" t="s">
        <v>39</v>
      </c>
      <c r="J1716" s="2" t="s">
        <v>1247</v>
      </c>
      <c r="K1716" s="2" t="s">
        <v>5</v>
      </c>
      <c r="L1716" s="2" t="s">
        <v>28</v>
      </c>
      <c r="M1716" s="2" t="s">
        <v>5</v>
      </c>
      <c r="N1716" s="4">
        <v>108.21</v>
      </c>
    </row>
    <row r="1717" spans="1:14" x14ac:dyDescent="0.25">
      <c r="A1717" s="2" t="s">
        <v>211</v>
      </c>
      <c r="B1717" s="2" t="s">
        <v>212</v>
      </c>
      <c r="C1717" s="3">
        <v>5.29</v>
      </c>
      <c r="D1717" s="4">
        <v>26.555800000000001</v>
      </c>
      <c r="E1717" s="4">
        <v>13.225</v>
      </c>
      <c r="F1717" s="4">
        <f>D1717-E1717</f>
        <v>13.330800000000002</v>
      </c>
      <c r="G1717" s="5">
        <f>IF(((D1717)=0),0,(D1717-E1717)/ D1717)</f>
        <v>0.50199203187250996</v>
      </c>
      <c r="H1717" s="2" t="s">
        <v>1246</v>
      </c>
      <c r="I1717" s="6" t="s">
        <v>39</v>
      </c>
      <c r="J1717" s="2" t="s">
        <v>1247</v>
      </c>
      <c r="K1717" s="2" t="s">
        <v>5</v>
      </c>
      <c r="L1717" s="2" t="s">
        <v>28</v>
      </c>
      <c r="M1717" s="2" t="s">
        <v>5</v>
      </c>
      <c r="N1717" s="4">
        <v>108.21</v>
      </c>
    </row>
    <row r="1718" spans="1:14" x14ac:dyDescent="0.25">
      <c r="A1718" s="2" t="s">
        <v>1248</v>
      </c>
      <c r="B1718" s="2" t="s">
        <v>1249</v>
      </c>
      <c r="C1718" s="3">
        <v>5.5339999999999998</v>
      </c>
      <c r="D1718" s="4">
        <v>224.18234000000001</v>
      </c>
      <c r="E1718" s="4">
        <v>141.11699999999999</v>
      </c>
      <c r="F1718" s="4">
        <f>D1718-E1718</f>
        <v>83.06534000000002</v>
      </c>
      <c r="G1718" s="5">
        <f>IF(((D1718)=0),0,(D1718-E1718)/ D1718)</f>
        <v>0.37052579609972852</v>
      </c>
      <c r="H1718" s="2" t="s">
        <v>1250</v>
      </c>
      <c r="I1718" s="6" t="s">
        <v>69</v>
      </c>
      <c r="J1718" s="2" t="s">
        <v>1251</v>
      </c>
      <c r="K1718" s="2" t="s">
        <v>5</v>
      </c>
      <c r="L1718" s="2" t="s">
        <v>28</v>
      </c>
      <c r="M1718" s="2" t="s">
        <v>5</v>
      </c>
      <c r="N1718" s="4">
        <v>224.18</v>
      </c>
    </row>
    <row r="1720" spans="1:14" x14ac:dyDescent="0.25">
      <c r="A1720" s="13" t="s">
        <v>59</v>
      </c>
      <c r="B1720" s="21"/>
      <c r="C1720" s="22">
        <f>SUM(C1713:C1719)</f>
        <v>16.154</v>
      </c>
      <c r="D1720" s="23">
        <f>SUM(D1713:D1719)</f>
        <v>332.39374000000004</v>
      </c>
      <c r="E1720" s="23">
        <f>SUM(E1713:E1719)</f>
        <v>191.119</v>
      </c>
      <c r="F1720" s="23">
        <f>D1720-E1720</f>
        <v>141.27474000000004</v>
      </c>
      <c r="G1720" s="24">
        <f>IF(((D1720)=0),0,(D1720-E1720)/ D1720)</f>
        <v>0.42502226425804535</v>
      </c>
      <c r="H1720" s="21"/>
      <c r="I1720" s="21"/>
      <c r="J1720" s="21"/>
      <c r="K1720" s="21"/>
      <c r="L1720" s="21"/>
      <c r="M1720" s="21"/>
      <c r="N1720" s="21"/>
    </row>
    <row r="1722" spans="1:14" s="17" customFormat="1" ht="18.75" x14ac:dyDescent="0.3"/>
    <row r="1723" spans="1:14" s="7" customFormat="1" x14ac:dyDescent="0.25">
      <c r="A1723" s="13" t="s">
        <v>1252</v>
      </c>
      <c r="B1723" s="18" t="s">
        <v>1253</v>
      </c>
      <c r="C1723" s="19"/>
      <c r="D1723" s="20" t="s">
        <v>5</v>
      </c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</row>
    <row r="1725" spans="1:14" x14ac:dyDescent="0.25">
      <c r="A1725" s="2" t="s">
        <v>562</v>
      </c>
      <c r="B1725" s="2" t="s">
        <v>563</v>
      </c>
      <c r="C1725" s="3">
        <v>8.31</v>
      </c>
      <c r="D1725" s="4">
        <v>282.37380000000002</v>
      </c>
      <c r="E1725" s="4">
        <v>182.82</v>
      </c>
      <c r="F1725" s="4">
        <f>D1725-E1725</f>
        <v>99.553800000000024</v>
      </c>
      <c r="G1725" s="5">
        <f>IF(((D1725)=0),0,(D1725-E1725)/ D1725)</f>
        <v>0.35256032960565042</v>
      </c>
      <c r="H1725" s="2" t="s">
        <v>1254</v>
      </c>
      <c r="I1725" s="6" t="s">
        <v>32</v>
      </c>
      <c r="J1725" s="2" t="s">
        <v>1255</v>
      </c>
      <c r="K1725" s="2" t="s">
        <v>5</v>
      </c>
      <c r="L1725" s="2" t="s">
        <v>28</v>
      </c>
      <c r="M1725" s="2" t="s">
        <v>5</v>
      </c>
      <c r="N1725" s="4">
        <v>282.37</v>
      </c>
    </row>
    <row r="1727" spans="1:14" x14ac:dyDescent="0.25">
      <c r="A1727" s="13" t="s">
        <v>59</v>
      </c>
      <c r="B1727" s="21"/>
      <c r="C1727" s="22">
        <f>SUM(C1722:C1726)</f>
        <v>8.31</v>
      </c>
      <c r="D1727" s="23">
        <f>SUM(D1722:D1726)</f>
        <v>282.37380000000002</v>
      </c>
      <c r="E1727" s="23">
        <f>SUM(E1722:E1726)</f>
        <v>182.82</v>
      </c>
      <c r="F1727" s="23">
        <f>D1727-E1727</f>
        <v>99.553800000000024</v>
      </c>
      <c r="G1727" s="24">
        <f>IF(((D1727)=0),0,(D1727-E1727)/ D1727)</f>
        <v>0.35256032960565042</v>
      </c>
      <c r="H1727" s="21"/>
      <c r="I1727" s="21"/>
      <c r="J1727" s="21"/>
      <c r="K1727" s="21"/>
      <c r="L1727" s="21"/>
      <c r="M1727" s="21"/>
      <c r="N1727" s="21"/>
    </row>
    <row r="1729" spans="1:14" s="17" customFormat="1" ht="18.75" x14ac:dyDescent="0.3"/>
    <row r="1730" spans="1:14" s="7" customFormat="1" x14ac:dyDescent="0.25">
      <c r="A1730" s="13" t="s">
        <v>1256</v>
      </c>
      <c r="B1730" s="18" t="s">
        <v>1257</v>
      </c>
      <c r="C1730" s="19"/>
      <c r="D1730" s="20" t="s">
        <v>5</v>
      </c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</row>
    <row r="1732" spans="1:14" x14ac:dyDescent="0.25">
      <c r="A1732" s="2" t="s">
        <v>203</v>
      </c>
      <c r="B1732" s="2" t="s">
        <v>204</v>
      </c>
      <c r="C1732" s="3">
        <v>61.52</v>
      </c>
      <c r="D1732" s="4">
        <v>856.97360000000003</v>
      </c>
      <c r="E1732" s="4">
        <v>307.60000000000002</v>
      </c>
      <c r="F1732" s="4">
        <f t="shared" ref="F1732:F1740" si="115">D1732-E1732</f>
        <v>549.37360000000001</v>
      </c>
      <c r="G1732" s="5">
        <f t="shared" ref="G1732:G1740" si="116">IF(((D1732)=0),0,(D1732-E1732)/ D1732)</f>
        <v>0.64106245513280691</v>
      </c>
      <c r="H1732" s="2" t="s">
        <v>1258</v>
      </c>
      <c r="I1732" s="6" t="s">
        <v>39</v>
      </c>
      <c r="J1732" s="2" t="s">
        <v>1259</v>
      </c>
      <c r="K1732" s="2" t="s">
        <v>5</v>
      </c>
      <c r="L1732" s="2" t="s">
        <v>28</v>
      </c>
      <c r="M1732" s="2" t="s">
        <v>5</v>
      </c>
      <c r="N1732" s="4">
        <v>1795.36</v>
      </c>
    </row>
    <row r="1733" spans="1:14" x14ac:dyDescent="0.25">
      <c r="A1733" s="2" t="s">
        <v>45</v>
      </c>
      <c r="B1733" s="2" t="s">
        <v>46</v>
      </c>
      <c r="C1733" s="3">
        <v>15.85</v>
      </c>
      <c r="D1733" s="4">
        <v>197.49100000000001</v>
      </c>
      <c r="E1733" s="4">
        <v>115.705</v>
      </c>
      <c r="F1733" s="4">
        <f t="shared" si="115"/>
        <v>81.786000000000016</v>
      </c>
      <c r="G1733" s="5">
        <f t="shared" si="116"/>
        <v>0.4141252006420546</v>
      </c>
      <c r="H1733" s="2" t="s">
        <v>1260</v>
      </c>
      <c r="I1733" s="6" t="s">
        <v>32</v>
      </c>
      <c r="J1733" s="2" t="s">
        <v>1261</v>
      </c>
      <c r="K1733" s="2" t="s">
        <v>5</v>
      </c>
      <c r="L1733" s="2" t="s">
        <v>28</v>
      </c>
      <c r="M1733" s="2" t="s">
        <v>5</v>
      </c>
      <c r="N1733" s="4">
        <v>406.86</v>
      </c>
    </row>
    <row r="1734" spans="1:14" x14ac:dyDescent="0.25">
      <c r="A1734" s="2" t="s">
        <v>45</v>
      </c>
      <c r="B1734" s="2" t="s">
        <v>46</v>
      </c>
      <c r="C1734" s="3">
        <v>75.311999999999998</v>
      </c>
      <c r="D1734" s="4">
        <v>938.38751999999999</v>
      </c>
      <c r="E1734" s="4">
        <v>549.77760000000001</v>
      </c>
      <c r="F1734" s="4">
        <f t="shared" si="115"/>
        <v>388.60991999999999</v>
      </c>
      <c r="G1734" s="5">
        <f t="shared" si="116"/>
        <v>0.41412520064205455</v>
      </c>
      <c r="H1734" s="2" t="s">
        <v>1258</v>
      </c>
      <c r="I1734" s="6" t="s">
        <v>39</v>
      </c>
      <c r="J1734" s="2" t="s">
        <v>1259</v>
      </c>
      <c r="K1734" s="2" t="s">
        <v>5</v>
      </c>
      <c r="L1734" s="2" t="s">
        <v>28</v>
      </c>
      <c r="M1734" s="2" t="s">
        <v>5</v>
      </c>
      <c r="N1734" s="4">
        <v>1795.36</v>
      </c>
    </row>
    <row r="1735" spans="1:14" x14ac:dyDescent="0.25">
      <c r="A1735" s="2" t="s">
        <v>45</v>
      </c>
      <c r="B1735" s="2" t="s">
        <v>46</v>
      </c>
      <c r="C1735" s="3">
        <v>30.68</v>
      </c>
      <c r="D1735" s="4">
        <v>382.27280000000002</v>
      </c>
      <c r="E1735" s="4">
        <v>223.964</v>
      </c>
      <c r="F1735" s="4">
        <f t="shared" si="115"/>
        <v>158.30880000000002</v>
      </c>
      <c r="G1735" s="5">
        <f t="shared" si="116"/>
        <v>0.4141252006420546</v>
      </c>
      <c r="H1735" s="2" t="s">
        <v>1262</v>
      </c>
      <c r="I1735" s="6" t="s">
        <v>69</v>
      </c>
      <c r="J1735" s="2" t="s">
        <v>1263</v>
      </c>
      <c r="K1735" s="2" t="s">
        <v>5</v>
      </c>
      <c r="L1735" s="2" t="s">
        <v>28</v>
      </c>
      <c r="M1735" s="2" t="s">
        <v>5</v>
      </c>
      <c r="N1735" s="4">
        <v>686.53</v>
      </c>
    </row>
    <row r="1736" spans="1:14" x14ac:dyDescent="0.25">
      <c r="A1736" s="2" t="s">
        <v>45</v>
      </c>
      <c r="B1736" s="2" t="s">
        <v>46</v>
      </c>
      <c r="C1736" s="3">
        <v>51.661000000000001</v>
      </c>
      <c r="D1736" s="4">
        <v>643.69605999999999</v>
      </c>
      <c r="E1736" s="4">
        <v>377.12529999999998</v>
      </c>
      <c r="F1736" s="4">
        <f t="shared" si="115"/>
        <v>266.57076000000001</v>
      </c>
      <c r="G1736" s="5">
        <f t="shared" si="116"/>
        <v>0.4141252006420546</v>
      </c>
      <c r="H1736" s="2" t="s">
        <v>1264</v>
      </c>
      <c r="I1736" s="6" t="s">
        <v>25</v>
      </c>
      <c r="J1736" s="2" t="s">
        <v>1265</v>
      </c>
      <c r="K1736" s="2" t="s">
        <v>5</v>
      </c>
      <c r="L1736" s="2" t="s">
        <v>28</v>
      </c>
      <c r="M1736" s="2" t="s">
        <v>5</v>
      </c>
      <c r="N1736" s="4">
        <v>1067.73</v>
      </c>
    </row>
    <row r="1737" spans="1:14" x14ac:dyDescent="0.25">
      <c r="A1737" s="2" t="s">
        <v>152</v>
      </c>
      <c r="B1737" s="2" t="s">
        <v>153</v>
      </c>
      <c r="C1737" s="3">
        <v>30.44</v>
      </c>
      <c r="D1737" s="4">
        <v>424.0292</v>
      </c>
      <c r="E1737" s="4">
        <v>210.036</v>
      </c>
      <c r="F1737" s="4">
        <f t="shared" si="115"/>
        <v>213.9932</v>
      </c>
      <c r="G1737" s="5">
        <f t="shared" si="116"/>
        <v>0.50466618808327346</v>
      </c>
      <c r="H1737" s="2" t="s">
        <v>1264</v>
      </c>
      <c r="I1737" s="6" t="s">
        <v>25</v>
      </c>
      <c r="J1737" s="2" t="s">
        <v>1265</v>
      </c>
      <c r="K1737" s="2" t="s">
        <v>5</v>
      </c>
      <c r="L1737" s="2" t="s">
        <v>28</v>
      </c>
      <c r="M1737" s="2" t="s">
        <v>5</v>
      </c>
      <c r="N1737" s="4">
        <v>1067.73</v>
      </c>
    </row>
    <row r="1738" spans="1:14" x14ac:dyDescent="0.25">
      <c r="A1738" s="2" t="s">
        <v>152</v>
      </c>
      <c r="B1738" s="2" t="s">
        <v>153</v>
      </c>
      <c r="C1738" s="3">
        <v>15.03</v>
      </c>
      <c r="D1738" s="4">
        <v>209.36789999999999</v>
      </c>
      <c r="E1738" s="4">
        <v>103.70699999999999</v>
      </c>
      <c r="F1738" s="4">
        <f t="shared" si="115"/>
        <v>105.6609</v>
      </c>
      <c r="G1738" s="5">
        <f t="shared" si="116"/>
        <v>0.50466618808327357</v>
      </c>
      <c r="H1738" s="2" t="s">
        <v>1260</v>
      </c>
      <c r="I1738" s="6" t="s">
        <v>32</v>
      </c>
      <c r="J1738" s="2" t="s">
        <v>1261</v>
      </c>
      <c r="K1738" s="2" t="s">
        <v>5</v>
      </c>
      <c r="L1738" s="2" t="s">
        <v>28</v>
      </c>
      <c r="M1738" s="2" t="s">
        <v>5</v>
      </c>
      <c r="N1738" s="4">
        <v>406.86</v>
      </c>
    </row>
    <row r="1739" spans="1:14" x14ac:dyDescent="0.25">
      <c r="A1739" s="2" t="s">
        <v>152</v>
      </c>
      <c r="B1739" s="2" t="s">
        <v>153</v>
      </c>
      <c r="C1739" s="3">
        <v>15.67</v>
      </c>
      <c r="D1739" s="4">
        <v>218.28309999999999</v>
      </c>
      <c r="E1739" s="4">
        <v>108.123</v>
      </c>
      <c r="F1739" s="4">
        <f t="shared" si="115"/>
        <v>110.16009999999999</v>
      </c>
      <c r="G1739" s="5">
        <f t="shared" si="116"/>
        <v>0.50466618808327346</v>
      </c>
      <c r="H1739" s="2" t="s">
        <v>1262</v>
      </c>
      <c r="I1739" s="6" t="s">
        <v>69</v>
      </c>
      <c r="J1739" s="2" t="s">
        <v>1263</v>
      </c>
      <c r="K1739" s="2" t="s">
        <v>5</v>
      </c>
      <c r="L1739" s="2" t="s">
        <v>28</v>
      </c>
      <c r="M1739" s="2" t="s">
        <v>5</v>
      </c>
      <c r="N1739" s="4">
        <v>686.53</v>
      </c>
    </row>
    <row r="1740" spans="1:14" x14ac:dyDescent="0.25">
      <c r="A1740" s="2" t="s">
        <v>1266</v>
      </c>
      <c r="B1740" s="2" t="s">
        <v>1267</v>
      </c>
      <c r="C1740" s="3">
        <v>5.1479999999999997</v>
      </c>
      <c r="D1740" s="4">
        <v>85.971599999999995</v>
      </c>
      <c r="E1740" s="4">
        <v>63.8352</v>
      </c>
      <c r="F1740" s="4">
        <f t="shared" si="115"/>
        <v>22.136399999999995</v>
      </c>
      <c r="G1740" s="5">
        <f t="shared" si="116"/>
        <v>0.25748502994011974</v>
      </c>
      <c r="H1740" s="2" t="s">
        <v>1262</v>
      </c>
      <c r="I1740" s="6" t="s">
        <v>69</v>
      </c>
      <c r="J1740" s="2" t="s">
        <v>1263</v>
      </c>
      <c r="K1740" s="2" t="s">
        <v>5</v>
      </c>
      <c r="L1740" s="2" t="s">
        <v>28</v>
      </c>
      <c r="M1740" s="2" t="s">
        <v>5</v>
      </c>
      <c r="N1740" s="4">
        <v>686.53</v>
      </c>
    </row>
    <row r="1742" spans="1:14" x14ac:dyDescent="0.25">
      <c r="A1742" s="13" t="s">
        <v>59</v>
      </c>
      <c r="B1742" s="21"/>
      <c r="C1742" s="22">
        <f>SUM(C1729:C1741)</f>
        <v>301.31100000000004</v>
      </c>
      <c r="D1742" s="23">
        <f>SUM(D1729:D1741)</f>
        <v>3956.4727800000005</v>
      </c>
      <c r="E1742" s="23">
        <f>SUM(E1729:E1741)</f>
        <v>2059.8730999999998</v>
      </c>
      <c r="F1742" s="23">
        <f>D1742-E1742</f>
        <v>1896.5996800000007</v>
      </c>
      <c r="G1742" s="24">
        <f>IF(((D1742)=0),0,(D1742-E1742)/ D1742)</f>
        <v>0.47936629049675922</v>
      </c>
      <c r="H1742" s="21"/>
      <c r="I1742" s="21"/>
      <c r="J1742" s="21"/>
      <c r="K1742" s="21"/>
      <c r="L1742" s="21"/>
      <c r="M1742" s="21"/>
      <c r="N1742" s="21"/>
    </row>
    <row r="1744" spans="1:14" s="17" customFormat="1" ht="18.75" x14ac:dyDescent="0.3"/>
    <row r="1745" spans="1:14" s="7" customFormat="1" x14ac:dyDescent="0.25">
      <c r="A1745" s="13" t="s">
        <v>1268</v>
      </c>
      <c r="B1745" s="18" t="s">
        <v>1269</v>
      </c>
      <c r="C1745" s="19"/>
      <c r="D1745" s="20" t="s">
        <v>5</v>
      </c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</row>
    <row r="1747" spans="1:14" x14ac:dyDescent="0.25">
      <c r="A1747" s="2" t="s">
        <v>22</v>
      </c>
      <c r="B1747" s="2" t="s">
        <v>23</v>
      </c>
      <c r="C1747" s="3">
        <v>14.96</v>
      </c>
      <c r="D1747" s="4">
        <v>229.18719999999999</v>
      </c>
      <c r="E1747" s="4">
        <v>164.56</v>
      </c>
      <c r="F1747" s="4">
        <f t="shared" ref="F1747:F1758" si="117">D1747-E1747</f>
        <v>64.627199999999988</v>
      </c>
      <c r="G1747" s="5">
        <f t="shared" ref="G1747:G1758" si="118">IF(((D1747)=0),0,(D1747-E1747)/ D1747)</f>
        <v>0.28198433420365532</v>
      </c>
      <c r="H1747" s="2" t="s">
        <v>1270</v>
      </c>
      <c r="I1747" s="6" t="s">
        <v>32</v>
      </c>
      <c r="J1747" s="2" t="s">
        <v>1271</v>
      </c>
      <c r="K1747" s="2" t="s">
        <v>5</v>
      </c>
      <c r="L1747" s="2" t="s">
        <v>28</v>
      </c>
      <c r="M1747" s="2" t="s">
        <v>5</v>
      </c>
      <c r="N1747" s="4">
        <v>687.69</v>
      </c>
    </row>
    <row r="1748" spans="1:14" x14ac:dyDescent="0.25">
      <c r="A1748" s="2" t="s">
        <v>22</v>
      </c>
      <c r="B1748" s="2" t="s">
        <v>23</v>
      </c>
      <c r="C1748" s="3">
        <v>38.799999999999997</v>
      </c>
      <c r="D1748" s="4">
        <v>594.41600000000005</v>
      </c>
      <c r="E1748" s="4">
        <v>426.8</v>
      </c>
      <c r="F1748" s="4">
        <f t="shared" si="117"/>
        <v>167.61600000000004</v>
      </c>
      <c r="G1748" s="5">
        <f t="shared" si="118"/>
        <v>0.28198433420365537</v>
      </c>
      <c r="H1748" s="2" t="s">
        <v>1272</v>
      </c>
      <c r="I1748" s="6" t="s">
        <v>39</v>
      </c>
      <c r="J1748" s="2" t="s">
        <v>1273</v>
      </c>
      <c r="K1748" s="2" t="s">
        <v>5</v>
      </c>
      <c r="L1748" s="2" t="s">
        <v>28</v>
      </c>
      <c r="M1748" s="2" t="s">
        <v>5</v>
      </c>
      <c r="N1748" s="4">
        <v>983.12</v>
      </c>
    </row>
    <row r="1749" spans="1:14" x14ac:dyDescent="0.25">
      <c r="A1749" s="2" t="s">
        <v>22</v>
      </c>
      <c r="B1749" s="2" t="s">
        <v>23</v>
      </c>
      <c r="C1749" s="3">
        <v>15.02</v>
      </c>
      <c r="D1749" s="4">
        <v>230.10640000000001</v>
      </c>
      <c r="E1749" s="4">
        <v>165.22</v>
      </c>
      <c r="F1749" s="4">
        <f t="shared" si="117"/>
        <v>64.886400000000009</v>
      </c>
      <c r="G1749" s="5">
        <f t="shared" si="118"/>
        <v>0.28198433420365537</v>
      </c>
      <c r="H1749" s="2" t="s">
        <v>1274</v>
      </c>
      <c r="I1749" s="6" t="s">
        <v>69</v>
      </c>
      <c r="J1749" s="2" t="s">
        <v>1275</v>
      </c>
      <c r="K1749" s="2" t="s">
        <v>5</v>
      </c>
      <c r="L1749" s="2" t="s">
        <v>28</v>
      </c>
      <c r="M1749" s="2" t="s">
        <v>5</v>
      </c>
      <c r="N1749" s="4">
        <v>419.8</v>
      </c>
    </row>
    <row r="1750" spans="1:14" x14ac:dyDescent="0.25">
      <c r="A1750" s="2" t="s">
        <v>53</v>
      </c>
      <c r="B1750" s="2" t="s">
        <v>54</v>
      </c>
      <c r="C1750" s="3">
        <v>29.98</v>
      </c>
      <c r="D1750" s="4">
        <v>360.65940000000001</v>
      </c>
      <c r="E1750" s="4">
        <v>218.85400000000001</v>
      </c>
      <c r="F1750" s="4">
        <f t="shared" si="117"/>
        <v>141.80539999999999</v>
      </c>
      <c r="G1750" s="5">
        <f t="shared" si="118"/>
        <v>0.39318370739817121</v>
      </c>
      <c r="H1750" s="2" t="s">
        <v>1276</v>
      </c>
      <c r="I1750" s="6" t="s">
        <v>25</v>
      </c>
      <c r="J1750" s="2" t="s">
        <v>1277</v>
      </c>
      <c r="K1750" s="2" t="s">
        <v>5</v>
      </c>
      <c r="L1750" s="2" t="s">
        <v>28</v>
      </c>
      <c r="M1750" s="2" t="s">
        <v>5</v>
      </c>
      <c r="N1750" s="4">
        <v>360.66</v>
      </c>
    </row>
    <row r="1751" spans="1:14" x14ac:dyDescent="0.25">
      <c r="A1751" s="2" t="s">
        <v>53</v>
      </c>
      <c r="B1751" s="2" t="s">
        <v>54</v>
      </c>
      <c r="C1751" s="3">
        <v>26.66</v>
      </c>
      <c r="D1751" s="4">
        <v>320.71980000000002</v>
      </c>
      <c r="E1751" s="4">
        <v>194.61799999999999</v>
      </c>
      <c r="F1751" s="4">
        <f t="shared" si="117"/>
        <v>126.10180000000003</v>
      </c>
      <c r="G1751" s="5">
        <f t="shared" si="118"/>
        <v>0.39318370739817127</v>
      </c>
      <c r="H1751" s="2" t="s">
        <v>1272</v>
      </c>
      <c r="I1751" s="6" t="s">
        <v>39</v>
      </c>
      <c r="J1751" s="2" t="s">
        <v>1273</v>
      </c>
      <c r="K1751" s="2" t="s">
        <v>5</v>
      </c>
      <c r="L1751" s="2" t="s">
        <v>28</v>
      </c>
      <c r="M1751" s="2" t="s">
        <v>5</v>
      </c>
      <c r="N1751" s="4">
        <v>983.12</v>
      </c>
    </row>
    <row r="1752" spans="1:14" x14ac:dyDescent="0.25">
      <c r="A1752" s="2" t="s">
        <v>53</v>
      </c>
      <c r="B1752" s="2" t="s">
        <v>54</v>
      </c>
      <c r="C1752" s="3">
        <v>13.35</v>
      </c>
      <c r="D1752" s="4">
        <v>160.60050000000001</v>
      </c>
      <c r="E1752" s="4">
        <v>97.454999999999998</v>
      </c>
      <c r="F1752" s="4">
        <f t="shared" si="117"/>
        <v>63.145500000000013</v>
      </c>
      <c r="G1752" s="5">
        <f t="shared" si="118"/>
        <v>0.39318370739817127</v>
      </c>
      <c r="H1752" s="2" t="s">
        <v>1274</v>
      </c>
      <c r="I1752" s="6" t="s">
        <v>69</v>
      </c>
      <c r="J1752" s="2" t="s">
        <v>1275</v>
      </c>
      <c r="K1752" s="2" t="s">
        <v>5</v>
      </c>
      <c r="L1752" s="2" t="s">
        <v>28</v>
      </c>
      <c r="M1752" s="2" t="s">
        <v>5</v>
      </c>
      <c r="N1752" s="4">
        <v>419.8</v>
      </c>
    </row>
    <row r="1753" spans="1:14" x14ac:dyDescent="0.25">
      <c r="A1753" s="2" t="s">
        <v>53</v>
      </c>
      <c r="B1753" s="2" t="s">
        <v>54</v>
      </c>
      <c r="C1753" s="3">
        <v>29.92</v>
      </c>
      <c r="D1753" s="4">
        <v>359.93759999999997</v>
      </c>
      <c r="E1753" s="4">
        <v>218.416</v>
      </c>
      <c r="F1753" s="4">
        <f t="shared" si="117"/>
        <v>141.52159999999998</v>
      </c>
      <c r="G1753" s="5">
        <f t="shared" si="118"/>
        <v>0.39318370739817121</v>
      </c>
      <c r="H1753" s="2" t="s">
        <v>1270</v>
      </c>
      <c r="I1753" s="6" t="s">
        <v>32</v>
      </c>
      <c r="J1753" s="2" t="s">
        <v>1271</v>
      </c>
      <c r="K1753" s="2" t="s">
        <v>5</v>
      </c>
      <c r="L1753" s="2" t="s">
        <v>28</v>
      </c>
      <c r="M1753" s="2" t="s">
        <v>5</v>
      </c>
      <c r="N1753" s="4">
        <v>687.69</v>
      </c>
    </row>
    <row r="1754" spans="1:14" x14ac:dyDescent="0.25">
      <c r="A1754" s="2" t="s">
        <v>1035</v>
      </c>
      <c r="B1754" s="2" t="s">
        <v>1036</v>
      </c>
      <c r="C1754" s="3">
        <v>10.029999999999999</v>
      </c>
      <c r="D1754" s="4">
        <v>37.311599999999999</v>
      </c>
      <c r="E1754" s="4">
        <v>23.068999999999999</v>
      </c>
      <c r="F1754" s="4">
        <f t="shared" si="117"/>
        <v>14.242599999999999</v>
      </c>
      <c r="G1754" s="5">
        <f t="shared" si="118"/>
        <v>0.38172043010752688</v>
      </c>
      <c r="H1754" s="2" t="s">
        <v>1272</v>
      </c>
      <c r="I1754" s="6" t="s">
        <v>39</v>
      </c>
      <c r="J1754" s="2" t="s">
        <v>1273</v>
      </c>
      <c r="K1754" s="2" t="s">
        <v>5</v>
      </c>
      <c r="L1754" s="2" t="s">
        <v>28</v>
      </c>
      <c r="M1754" s="2" t="s">
        <v>5</v>
      </c>
      <c r="N1754" s="4">
        <v>983.12</v>
      </c>
    </row>
    <row r="1755" spans="1:14" x14ac:dyDescent="0.25">
      <c r="A1755" s="2" t="s">
        <v>1035</v>
      </c>
      <c r="B1755" s="2" t="s">
        <v>1036</v>
      </c>
      <c r="C1755" s="3">
        <v>10.18</v>
      </c>
      <c r="D1755" s="4">
        <v>37.869599999999998</v>
      </c>
      <c r="E1755" s="4">
        <v>23.414000000000001</v>
      </c>
      <c r="F1755" s="4">
        <f t="shared" si="117"/>
        <v>14.455599999999997</v>
      </c>
      <c r="G1755" s="5">
        <f t="shared" si="118"/>
        <v>0.38172043010752682</v>
      </c>
      <c r="H1755" s="2" t="s">
        <v>1270</v>
      </c>
      <c r="I1755" s="6" t="s">
        <v>32</v>
      </c>
      <c r="J1755" s="2" t="s">
        <v>1271</v>
      </c>
      <c r="K1755" s="2" t="s">
        <v>5</v>
      </c>
      <c r="L1755" s="2" t="s">
        <v>28</v>
      </c>
      <c r="M1755" s="2" t="s">
        <v>5</v>
      </c>
      <c r="N1755" s="4">
        <v>687.69</v>
      </c>
    </row>
    <row r="1756" spans="1:14" x14ac:dyDescent="0.25">
      <c r="A1756" s="2" t="s">
        <v>1037</v>
      </c>
      <c r="B1756" s="2" t="s">
        <v>1038</v>
      </c>
      <c r="C1756" s="3">
        <v>2.2160000000000002</v>
      </c>
      <c r="D1756" s="4">
        <v>60.696240000000003</v>
      </c>
      <c r="E1756" s="4">
        <v>31.688800000000001</v>
      </c>
      <c r="F1756" s="4">
        <f t="shared" si="117"/>
        <v>29.007440000000003</v>
      </c>
      <c r="G1756" s="5">
        <f t="shared" si="118"/>
        <v>0.47791164658634538</v>
      </c>
      <c r="H1756" s="2" t="s">
        <v>1270</v>
      </c>
      <c r="I1756" s="6" t="s">
        <v>32</v>
      </c>
      <c r="J1756" s="2" t="s">
        <v>1271</v>
      </c>
      <c r="K1756" s="2" t="s">
        <v>5</v>
      </c>
      <c r="L1756" s="2" t="s">
        <v>28</v>
      </c>
      <c r="M1756" s="2" t="s">
        <v>5</v>
      </c>
      <c r="N1756" s="4">
        <v>687.69</v>
      </c>
    </row>
    <row r="1757" spans="1:14" x14ac:dyDescent="0.25">
      <c r="A1757" s="2" t="s">
        <v>1037</v>
      </c>
      <c r="B1757" s="2" t="s">
        <v>1038</v>
      </c>
      <c r="C1757" s="3">
        <v>1.0620000000000001</v>
      </c>
      <c r="D1757" s="4">
        <v>29.088180000000001</v>
      </c>
      <c r="E1757" s="4">
        <v>15.1866</v>
      </c>
      <c r="F1757" s="4">
        <f t="shared" si="117"/>
        <v>13.901580000000001</v>
      </c>
      <c r="G1757" s="5">
        <f t="shared" si="118"/>
        <v>0.47791164658634538</v>
      </c>
      <c r="H1757" s="2" t="s">
        <v>1274</v>
      </c>
      <c r="I1757" s="6" t="s">
        <v>69</v>
      </c>
      <c r="J1757" s="2" t="s">
        <v>1275</v>
      </c>
      <c r="K1757" s="2" t="s">
        <v>5</v>
      </c>
      <c r="L1757" s="2" t="s">
        <v>28</v>
      </c>
      <c r="M1757" s="2" t="s">
        <v>5</v>
      </c>
      <c r="N1757" s="4">
        <v>419.8</v>
      </c>
    </row>
    <row r="1758" spans="1:14" x14ac:dyDescent="0.25">
      <c r="A1758" s="2" t="s">
        <v>1037</v>
      </c>
      <c r="B1758" s="2" t="s">
        <v>1038</v>
      </c>
      <c r="C1758" s="3">
        <v>1.1200000000000001</v>
      </c>
      <c r="D1758" s="4">
        <v>30.6768</v>
      </c>
      <c r="E1758" s="4">
        <v>16.015999999999998</v>
      </c>
      <c r="F1758" s="4">
        <f t="shared" si="117"/>
        <v>14.660800000000002</v>
      </c>
      <c r="G1758" s="5">
        <f t="shared" si="118"/>
        <v>0.47791164658634544</v>
      </c>
      <c r="H1758" s="2" t="s">
        <v>1272</v>
      </c>
      <c r="I1758" s="6" t="s">
        <v>39</v>
      </c>
      <c r="J1758" s="2" t="s">
        <v>1273</v>
      </c>
      <c r="K1758" s="2" t="s">
        <v>5</v>
      </c>
      <c r="L1758" s="2" t="s">
        <v>28</v>
      </c>
      <c r="M1758" s="2" t="s">
        <v>5</v>
      </c>
      <c r="N1758" s="4">
        <v>983.12</v>
      </c>
    </row>
    <row r="1760" spans="1:14" x14ac:dyDescent="0.25">
      <c r="A1760" s="13" t="s">
        <v>59</v>
      </c>
      <c r="B1760" s="21"/>
      <c r="C1760" s="22">
        <f>SUM(C1744:C1759)</f>
        <v>193.29800000000003</v>
      </c>
      <c r="D1760" s="23">
        <f>SUM(D1744:D1759)</f>
        <v>2451.2693200000008</v>
      </c>
      <c r="E1760" s="23">
        <f>SUM(E1744:E1759)</f>
        <v>1595.2973999999999</v>
      </c>
      <c r="F1760" s="23">
        <f>D1760-E1760</f>
        <v>855.97192000000086</v>
      </c>
      <c r="G1760" s="24">
        <f>IF(((D1760)=0),0,(D1760-E1760)/ D1760)</f>
        <v>0.34919537931474642</v>
      </c>
      <c r="H1760" s="21"/>
      <c r="I1760" s="21"/>
      <c r="J1760" s="21"/>
      <c r="K1760" s="21"/>
      <c r="L1760" s="21"/>
      <c r="M1760" s="21"/>
      <c r="N1760" s="21"/>
    </row>
    <row r="1762" spans="1:14" s="17" customFormat="1" ht="18.75" x14ac:dyDescent="0.3"/>
    <row r="1763" spans="1:14" s="7" customFormat="1" x14ac:dyDescent="0.25">
      <c r="A1763" s="13" t="s">
        <v>1278</v>
      </c>
      <c r="B1763" s="18" t="s">
        <v>1279</v>
      </c>
      <c r="C1763" s="19"/>
      <c r="D1763" s="20" t="s">
        <v>5</v>
      </c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</row>
    <row r="1765" spans="1:14" x14ac:dyDescent="0.25">
      <c r="A1765" s="2" t="s">
        <v>22</v>
      </c>
      <c r="B1765" s="2" t="s">
        <v>23</v>
      </c>
      <c r="C1765" s="3">
        <v>5.44</v>
      </c>
      <c r="D1765" s="4">
        <v>79.532799999999995</v>
      </c>
      <c r="E1765" s="4">
        <v>59.84</v>
      </c>
      <c r="F1765" s="4">
        <f t="shared" ref="F1765:F1785" si="119">D1765-E1765</f>
        <v>19.692799999999991</v>
      </c>
      <c r="G1765" s="5">
        <f t="shared" ref="G1765:G1785" si="120">IF(((D1765)=0),0,(D1765-E1765)/ D1765)</f>
        <v>0.24760601915184668</v>
      </c>
      <c r="H1765" s="2" t="s">
        <v>1280</v>
      </c>
      <c r="I1765" s="6" t="s">
        <v>69</v>
      </c>
      <c r="J1765" s="2" t="s">
        <v>1281</v>
      </c>
      <c r="K1765" s="2" t="s">
        <v>1282</v>
      </c>
      <c r="L1765" s="2" t="s">
        <v>28</v>
      </c>
      <c r="M1765" s="2" t="s">
        <v>5</v>
      </c>
      <c r="N1765" s="4">
        <v>1657.75</v>
      </c>
    </row>
    <row r="1766" spans="1:14" x14ac:dyDescent="0.25">
      <c r="A1766" s="2" t="s">
        <v>22</v>
      </c>
      <c r="B1766" s="2" t="s">
        <v>23</v>
      </c>
      <c r="C1766" s="3">
        <v>5.73</v>
      </c>
      <c r="D1766" s="4">
        <v>83.772599999999997</v>
      </c>
      <c r="E1766" s="4">
        <v>63.03</v>
      </c>
      <c r="F1766" s="4">
        <f t="shared" si="119"/>
        <v>20.742599999999996</v>
      </c>
      <c r="G1766" s="5">
        <f t="shared" si="120"/>
        <v>0.24760601915184674</v>
      </c>
      <c r="H1766" s="2" t="s">
        <v>1283</v>
      </c>
      <c r="I1766" s="6" t="s">
        <v>32</v>
      </c>
      <c r="J1766" s="2" t="s">
        <v>1284</v>
      </c>
      <c r="K1766" s="2" t="s">
        <v>1285</v>
      </c>
      <c r="L1766" s="2" t="s">
        <v>28</v>
      </c>
      <c r="M1766" s="2" t="s">
        <v>5</v>
      </c>
      <c r="N1766" s="4">
        <v>2011.49</v>
      </c>
    </row>
    <row r="1767" spans="1:14" x14ac:dyDescent="0.25">
      <c r="A1767" s="2" t="s">
        <v>29</v>
      </c>
      <c r="B1767" s="2" t="s">
        <v>30</v>
      </c>
      <c r="C1767" s="3">
        <v>20.41</v>
      </c>
      <c r="D1767" s="4">
        <v>287.57690000000002</v>
      </c>
      <c r="E1767" s="4">
        <v>204.1</v>
      </c>
      <c r="F1767" s="4">
        <f t="shared" si="119"/>
        <v>83.476900000000029</v>
      </c>
      <c r="G1767" s="5">
        <f t="shared" si="120"/>
        <v>0.29027679205110013</v>
      </c>
      <c r="H1767" s="2" t="s">
        <v>1280</v>
      </c>
      <c r="I1767" s="6" t="s">
        <v>69</v>
      </c>
      <c r="J1767" s="2" t="s">
        <v>1281</v>
      </c>
      <c r="K1767" s="2" t="s">
        <v>1282</v>
      </c>
      <c r="L1767" s="2" t="s">
        <v>28</v>
      </c>
      <c r="M1767" s="2" t="s">
        <v>5</v>
      </c>
      <c r="N1767" s="4">
        <v>1657.75</v>
      </c>
    </row>
    <row r="1768" spans="1:14" x14ac:dyDescent="0.25">
      <c r="A1768" s="2" t="s">
        <v>797</v>
      </c>
      <c r="B1768" s="2" t="s">
        <v>798</v>
      </c>
      <c r="C1768" s="3">
        <v>12.335000000000001</v>
      </c>
      <c r="D1768" s="4">
        <v>113.97539999999999</v>
      </c>
      <c r="E1768" s="4">
        <v>67.842500000000001</v>
      </c>
      <c r="F1768" s="4">
        <f t="shared" si="119"/>
        <v>46.132899999999992</v>
      </c>
      <c r="G1768" s="5">
        <f t="shared" si="120"/>
        <v>0.40476190476190471</v>
      </c>
      <c r="H1768" s="2" t="s">
        <v>1283</v>
      </c>
      <c r="I1768" s="6" t="s">
        <v>32</v>
      </c>
      <c r="J1768" s="2" t="s">
        <v>1284</v>
      </c>
      <c r="K1768" s="2" t="s">
        <v>1285</v>
      </c>
      <c r="L1768" s="2" t="s">
        <v>28</v>
      </c>
      <c r="M1768" s="2" t="s">
        <v>5</v>
      </c>
      <c r="N1768" s="4">
        <v>2011.49</v>
      </c>
    </row>
    <row r="1769" spans="1:14" x14ac:dyDescent="0.25">
      <c r="A1769" s="2" t="s">
        <v>797</v>
      </c>
      <c r="B1769" s="2" t="s">
        <v>798</v>
      </c>
      <c r="C1769" s="3">
        <v>12.335000000000001</v>
      </c>
      <c r="D1769" s="4">
        <v>113.97539999999999</v>
      </c>
      <c r="E1769" s="4">
        <v>67.842500000000001</v>
      </c>
      <c r="F1769" s="4">
        <f t="shared" si="119"/>
        <v>46.132899999999992</v>
      </c>
      <c r="G1769" s="5">
        <f t="shared" si="120"/>
        <v>0.40476190476190471</v>
      </c>
      <c r="H1769" s="2" t="s">
        <v>1280</v>
      </c>
      <c r="I1769" s="6" t="s">
        <v>69</v>
      </c>
      <c r="J1769" s="2" t="s">
        <v>1281</v>
      </c>
      <c r="K1769" s="2" t="s">
        <v>1282</v>
      </c>
      <c r="L1769" s="2" t="s">
        <v>28</v>
      </c>
      <c r="M1769" s="2" t="s">
        <v>5</v>
      </c>
      <c r="N1769" s="4">
        <v>1657.75</v>
      </c>
    </row>
    <row r="1770" spans="1:14" x14ac:dyDescent="0.25">
      <c r="A1770" s="2" t="s">
        <v>611</v>
      </c>
      <c r="B1770" s="2" t="s">
        <v>612</v>
      </c>
      <c r="C1770" s="3">
        <v>4.7300000000000004</v>
      </c>
      <c r="D1770" s="4">
        <v>28.0962</v>
      </c>
      <c r="E1770" s="4">
        <v>17.027999999999999</v>
      </c>
      <c r="F1770" s="4">
        <f t="shared" si="119"/>
        <v>11.068200000000001</v>
      </c>
      <c r="G1770" s="5">
        <f t="shared" si="120"/>
        <v>0.39393939393939398</v>
      </c>
      <c r="H1770" s="2" t="s">
        <v>1280</v>
      </c>
      <c r="I1770" s="6" t="s">
        <v>69</v>
      </c>
      <c r="J1770" s="2" t="s">
        <v>1281</v>
      </c>
      <c r="K1770" s="2" t="s">
        <v>1282</v>
      </c>
      <c r="L1770" s="2" t="s">
        <v>28</v>
      </c>
      <c r="M1770" s="2" t="s">
        <v>5</v>
      </c>
      <c r="N1770" s="4">
        <v>1657.75</v>
      </c>
    </row>
    <row r="1771" spans="1:14" x14ac:dyDescent="0.25">
      <c r="A1771" s="2" t="s">
        <v>705</v>
      </c>
      <c r="B1771" s="2" t="s">
        <v>706</v>
      </c>
      <c r="C1771" s="3">
        <v>20</v>
      </c>
      <c r="D1771" s="4">
        <v>259.8</v>
      </c>
      <c r="E1771" s="4">
        <v>150</v>
      </c>
      <c r="F1771" s="4">
        <f t="shared" si="119"/>
        <v>109.80000000000001</v>
      </c>
      <c r="G1771" s="5">
        <f t="shared" si="120"/>
        <v>0.42263279445727486</v>
      </c>
      <c r="H1771" s="2" t="s">
        <v>1280</v>
      </c>
      <c r="I1771" s="6" t="s">
        <v>69</v>
      </c>
      <c r="J1771" s="2" t="s">
        <v>1281</v>
      </c>
      <c r="K1771" s="2" t="s">
        <v>1282</v>
      </c>
      <c r="L1771" s="2" t="s">
        <v>28</v>
      </c>
      <c r="M1771" s="2" t="s">
        <v>5</v>
      </c>
      <c r="N1771" s="4">
        <v>1657.75</v>
      </c>
    </row>
    <row r="1772" spans="1:14" x14ac:dyDescent="0.25">
      <c r="A1772" s="2" t="s">
        <v>705</v>
      </c>
      <c r="B1772" s="2" t="s">
        <v>706</v>
      </c>
      <c r="C1772" s="3">
        <v>40</v>
      </c>
      <c r="D1772" s="4">
        <v>519.6</v>
      </c>
      <c r="E1772" s="4">
        <v>300</v>
      </c>
      <c r="F1772" s="4">
        <f t="shared" si="119"/>
        <v>219.60000000000002</v>
      </c>
      <c r="G1772" s="5">
        <f t="shared" si="120"/>
        <v>0.42263279445727486</v>
      </c>
      <c r="H1772" s="2" t="s">
        <v>1283</v>
      </c>
      <c r="I1772" s="6" t="s">
        <v>32</v>
      </c>
      <c r="J1772" s="2" t="s">
        <v>1284</v>
      </c>
      <c r="K1772" s="2" t="s">
        <v>1285</v>
      </c>
      <c r="L1772" s="2" t="s">
        <v>28</v>
      </c>
      <c r="M1772" s="2" t="s">
        <v>5</v>
      </c>
      <c r="N1772" s="4">
        <v>2011.49</v>
      </c>
    </row>
    <row r="1773" spans="1:14" x14ac:dyDescent="0.25">
      <c r="A1773" s="2" t="s">
        <v>211</v>
      </c>
      <c r="B1773" s="2" t="s">
        <v>212</v>
      </c>
      <c r="C1773" s="3">
        <v>5.2039999999999997</v>
      </c>
      <c r="D1773" s="4">
        <v>25.083279999999998</v>
      </c>
      <c r="E1773" s="4">
        <v>13.01</v>
      </c>
      <c r="F1773" s="4">
        <f t="shared" si="119"/>
        <v>12.073279999999999</v>
      </c>
      <c r="G1773" s="5">
        <f t="shared" si="120"/>
        <v>0.48132780082987547</v>
      </c>
      <c r="H1773" s="2" t="s">
        <v>1280</v>
      </c>
      <c r="I1773" s="6" t="s">
        <v>69</v>
      </c>
      <c r="J1773" s="2" t="s">
        <v>1281</v>
      </c>
      <c r="K1773" s="2" t="s">
        <v>1282</v>
      </c>
      <c r="L1773" s="2" t="s">
        <v>28</v>
      </c>
      <c r="M1773" s="2" t="s">
        <v>5</v>
      </c>
      <c r="N1773" s="4">
        <v>1657.75</v>
      </c>
    </row>
    <row r="1774" spans="1:14" x14ac:dyDescent="0.25">
      <c r="A1774" s="2" t="s">
        <v>53</v>
      </c>
      <c r="B1774" s="2" t="s">
        <v>54</v>
      </c>
      <c r="C1774" s="3">
        <v>15.77</v>
      </c>
      <c r="D1774" s="4">
        <v>183.56280000000001</v>
      </c>
      <c r="E1774" s="4">
        <v>115.121</v>
      </c>
      <c r="F1774" s="4">
        <f t="shared" si="119"/>
        <v>68.441800000000015</v>
      </c>
      <c r="G1774" s="5">
        <f t="shared" si="120"/>
        <v>0.37285223367697601</v>
      </c>
      <c r="H1774" s="2" t="s">
        <v>1280</v>
      </c>
      <c r="I1774" s="6" t="s">
        <v>69</v>
      </c>
      <c r="J1774" s="2" t="s">
        <v>1281</v>
      </c>
      <c r="K1774" s="2" t="s">
        <v>1282</v>
      </c>
      <c r="L1774" s="2" t="s">
        <v>28</v>
      </c>
      <c r="M1774" s="2" t="s">
        <v>5</v>
      </c>
      <c r="N1774" s="4">
        <v>1657.75</v>
      </c>
    </row>
    <row r="1775" spans="1:14" x14ac:dyDescent="0.25">
      <c r="A1775" s="2" t="s">
        <v>53</v>
      </c>
      <c r="B1775" s="2" t="s">
        <v>54</v>
      </c>
      <c r="C1775" s="3">
        <v>15.31</v>
      </c>
      <c r="D1775" s="4">
        <v>178.20840000000001</v>
      </c>
      <c r="E1775" s="4">
        <v>111.76300000000001</v>
      </c>
      <c r="F1775" s="4">
        <f t="shared" si="119"/>
        <v>66.445400000000006</v>
      </c>
      <c r="G1775" s="5">
        <f t="shared" si="120"/>
        <v>0.37285223367697595</v>
      </c>
      <c r="H1775" s="2" t="s">
        <v>1283</v>
      </c>
      <c r="I1775" s="6" t="s">
        <v>32</v>
      </c>
      <c r="J1775" s="2" t="s">
        <v>1284</v>
      </c>
      <c r="K1775" s="2" t="s">
        <v>1285</v>
      </c>
      <c r="L1775" s="2" t="s">
        <v>28</v>
      </c>
      <c r="M1775" s="2" t="s">
        <v>5</v>
      </c>
      <c r="N1775" s="4">
        <v>2011.49</v>
      </c>
    </row>
    <row r="1776" spans="1:14" x14ac:dyDescent="0.25">
      <c r="A1776" s="2" t="s">
        <v>1286</v>
      </c>
      <c r="B1776" s="2" t="s">
        <v>1287</v>
      </c>
      <c r="C1776" s="3">
        <v>17.25</v>
      </c>
      <c r="D1776" s="4">
        <v>411.75749999999999</v>
      </c>
      <c r="E1776" s="4">
        <v>215.625</v>
      </c>
      <c r="F1776" s="4">
        <f t="shared" si="119"/>
        <v>196.13249999999999</v>
      </c>
      <c r="G1776" s="5">
        <f t="shared" si="120"/>
        <v>0.4763301214914118</v>
      </c>
      <c r="H1776" s="2" t="s">
        <v>1283</v>
      </c>
      <c r="I1776" s="6" t="s">
        <v>32</v>
      </c>
      <c r="J1776" s="2" t="s">
        <v>1284</v>
      </c>
      <c r="K1776" s="2" t="s">
        <v>1285</v>
      </c>
      <c r="L1776" s="2" t="s">
        <v>28</v>
      </c>
      <c r="M1776" s="2" t="s">
        <v>5</v>
      </c>
      <c r="N1776" s="4">
        <v>2011.49</v>
      </c>
    </row>
    <row r="1777" spans="1:14" x14ac:dyDescent="0.25">
      <c r="A1777" s="2" t="s">
        <v>55</v>
      </c>
      <c r="B1777" s="2" t="s">
        <v>56</v>
      </c>
      <c r="C1777" s="3">
        <v>1.976</v>
      </c>
      <c r="D1777" s="4">
        <v>41.910960000000003</v>
      </c>
      <c r="E1777" s="4">
        <v>23.316800000000001</v>
      </c>
      <c r="F1777" s="4">
        <f t="shared" si="119"/>
        <v>18.594160000000002</v>
      </c>
      <c r="G1777" s="5">
        <f t="shared" si="120"/>
        <v>0.44365865157944367</v>
      </c>
      <c r="H1777" s="2" t="s">
        <v>1283</v>
      </c>
      <c r="I1777" s="6" t="s">
        <v>32</v>
      </c>
      <c r="J1777" s="2" t="s">
        <v>1284</v>
      </c>
      <c r="K1777" s="2" t="s">
        <v>1285</v>
      </c>
      <c r="L1777" s="2" t="s">
        <v>28</v>
      </c>
      <c r="M1777" s="2" t="s">
        <v>5</v>
      </c>
      <c r="N1777" s="4">
        <v>2011.49</v>
      </c>
    </row>
    <row r="1778" spans="1:14" x14ac:dyDescent="0.25">
      <c r="A1778" s="2" t="s">
        <v>694</v>
      </c>
      <c r="B1778" s="2" t="s">
        <v>695</v>
      </c>
      <c r="C1778" s="3">
        <v>3.996</v>
      </c>
      <c r="D1778" s="4">
        <v>64.974959999999996</v>
      </c>
      <c r="E1778" s="4">
        <v>36.363599999999998</v>
      </c>
      <c r="F1778" s="4">
        <f t="shared" si="119"/>
        <v>28.611359999999998</v>
      </c>
      <c r="G1778" s="5">
        <f t="shared" si="120"/>
        <v>0.44034440344403442</v>
      </c>
      <c r="H1778" s="2" t="s">
        <v>1283</v>
      </c>
      <c r="I1778" s="6" t="s">
        <v>32</v>
      </c>
      <c r="J1778" s="2" t="s">
        <v>1284</v>
      </c>
      <c r="K1778" s="2" t="s">
        <v>1285</v>
      </c>
      <c r="L1778" s="2" t="s">
        <v>28</v>
      </c>
      <c r="M1778" s="2" t="s">
        <v>5</v>
      </c>
      <c r="N1778" s="4">
        <v>2011.49</v>
      </c>
    </row>
    <row r="1779" spans="1:14" x14ac:dyDescent="0.25">
      <c r="A1779" s="2" t="s">
        <v>250</v>
      </c>
      <c r="B1779" s="2" t="s">
        <v>251</v>
      </c>
      <c r="C1779" s="3">
        <v>10.199999999999999</v>
      </c>
      <c r="D1779" s="4">
        <v>144.22800000000001</v>
      </c>
      <c r="E1779" s="4">
        <v>86.7</v>
      </c>
      <c r="F1779" s="4">
        <f t="shared" si="119"/>
        <v>57.528000000000006</v>
      </c>
      <c r="G1779" s="5">
        <f t="shared" si="120"/>
        <v>0.39886845827439887</v>
      </c>
      <c r="H1779" s="2" t="s">
        <v>1280</v>
      </c>
      <c r="I1779" s="6" t="s">
        <v>69</v>
      </c>
      <c r="J1779" s="2" t="s">
        <v>1281</v>
      </c>
      <c r="K1779" s="2" t="s">
        <v>1282</v>
      </c>
      <c r="L1779" s="2" t="s">
        <v>28</v>
      </c>
      <c r="M1779" s="2" t="s">
        <v>5</v>
      </c>
      <c r="N1779" s="4">
        <v>1657.75</v>
      </c>
    </row>
    <row r="1780" spans="1:14" x14ac:dyDescent="0.25">
      <c r="A1780" s="2" t="s">
        <v>250</v>
      </c>
      <c r="B1780" s="2" t="s">
        <v>251</v>
      </c>
      <c r="C1780" s="3">
        <v>7.21</v>
      </c>
      <c r="D1780" s="4">
        <v>101.9494</v>
      </c>
      <c r="E1780" s="4">
        <v>61.284999999999997</v>
      </c>
      <c r="F1780" s="4">
        <f t="shared" si="119"/>
        <v>40.664400000000001</v>
      </c>
      <c r="G1780" s="5">
        <f t="shared" si="120"/>
        <v>0.39886845827439887</v>
      </c>
      <c r="H1780" s="2" t="s">
        <v>1283</v>
      </c>
      <c r="I1780" s="6" t="s">
        <v>32</v>
      </c>
      <c r="J1780" s="2" t="s">
        <v>1284</v>
      </c>
      <c r="K1780" s="2" t="s">
        <v>1285</v>
      </c>
      <c r="L1780" s="2" t="s">
        <v>28</v>
      </c>
      <c r="M1780" s="2" t="s">
        <v>5</v>
      </c>
      <c r="N1780" s="4">
        <v>2011.49</v>
      </c>
    </row>
    <row r="1781" spans="1:14" x14ac:dyDescent="0.25">
      <c r="A1781" s="2" t="s">
        <v>591</v>
      </c>
      <c r="B1781" s="2" t="s">
        <v>592</v>
      </c>
      <c r="C1781" s="3">
        <v>11.32</v>
      </c>
      <c r="D1781" s="4">
        <v>110.14360000000001</v>
      </c>
      <c r="E1781" s="4">
        <v>65.656000000000006</v>
      </c>
      <c r="F1781" s="4">
        <f t="shared" si="119"/>
        <v>44.4876</v>
      </c>
      <c r="G1781" s="5">
        <f t="shared" si="120"/>
        <v>0.40390544707091469</v>
      </c>
      <c r="H1781" s="2" t="s">
        <v>1280</v>
      </c>
      <c r="I1781" s="6" t="s">
        <v>69</v>
      </c>
      <c r="J1781" s="2" t="s">
        <v>1281</v>
      </c>
      <c r="K1781" s="2" t="s">
        <v>1282</v>
      </c>
      <c r="L1781" s="2" t="s">
        <v>28</v>
      </c>
      <c r="M1781" s="2" t="s">
        <v>5</v>
      </c>
      <c r="N1781" s="4">
        <v>1657.75</v>
      </c>
    </row>
    <row r="1782" spans="1:14" x14ac:dyDescent="0.25">
      <c r="A1782" s="2" t="s">
        <v>593</v>
      </c>
      <c r="B1782" s="2" t="s">
        <v>594</v>
      </c>
      <c r="C1782" s="3">
        <v>8.7050000000000001</v>
      </c>
      <c r="D1782" s="4">
        <v>84.699650000000005</v>
      </c>
      <c r="E1782" s="4">
        <v>50.488999999999997</v>
      </c>
      <c r="F1782" s="4">
        <f t="shared" si="119"/>
        <v>34.210650000000008</v>
      </c>
      <c r="G1782" s="5">
        <f t="shared" si="120"/>
        <v>0.40390544707091475</v>
      </c>
      <c r="H1782" s="2" t="s">
        <v>1280</v>
      </c>
      <c r="I1782" s="6" t="s">
        <v>69</v>
      </c>
      <c r="J1782" s="2" t="s">
        <v>1281</v>
      </c>
      <c r="K1782" s="2" t="s">
        <v>1282</v>
      </c>
      <c r="L1782" s="2" t="s">
        <v>28</v>
      </c>
      <c r="M1782" s="2" t="s">
        <v>5</v>
      </c>
      <c r="N1782" s="4">
        <v>1657.75</v>
      </c>
    </row>
    <row r="1783" spans="1:14" x14ac:dyDescent="0.25">
      <c r="A1783" s="2" t="s">
        <v>593</v>
      </c>
      <c r="B1783" s="2" t="s">
        <v>594</v>
      </c>
      <c r="C1783" s="3">
        <v>16.045000000000002</v>
      </c>
      <c r="D1783" s="4">
        <v>156.11785</v>
      </c>
      <c r="E1783" s="4">
        <v>93.061000000000007</v>
      </c>
      <c r="F1783" s="4">
        <f t="shared" si="119"/>
        <v>63.056849999999997</v>
      </c>
      <c r="G1783" s="5">
        <f t="shared" si="120"/>
        <v>0.40390544707091469</v>
      </c>
      <c r="H1783" s="2" t="s">
        <v>1283</v>
      </c>
      <c r="I1783" s="6" t="s">
        <v>32</v>
      </c>
      <c r="J1783" s="2" t="s">
        <v>1284</v>
      </c>
      <c r="K1783" s="2" t="s">
        <v>1285</v>
      </c>
      <c r="L1783" s="2" t="s">
        <v>28</v>
      </c>
      <c r="M1783" s="2" t="s">
        <v>5</v>
      </c>
      <c r="N1783" s="4">
        <v>2011.49</v>
      </c>
    </row>
    <row r="1784" spans="1:14" x14ac:dyDescent="0.25">
      <c r="A1784" s="2" t="s">
        <v>1288</v>
      </c>
      <c r="B1784" s="2" t="s">
        <v>1289</v>
      </c>
      <c r="C1784" s="3">
        <v>10.23</v>
      </c>
      <c r="D1784" s="4">
        <v>339.22680000000003</v>
      </c>
      <c r="E1784" s="4">
        <v>225.06</v>
      </c>
      <c r="F1784" s="4">
        <f t="shared" si="119"/>
        <v>114.16680000000002</v>
      </c>
      <c r="G1784" s="5">
        <f t="shared" si="120"/>
        <v>0.33655006031363094</v>
      </c>
      <c r="H1784" s="2" t="s">
        <v>1283</v>
      </c>
      <c r="I1784" s="6" t="s">
        <v>32</v>
      </c>
      <c r="J1784" s="2" t="s">
        <v>1284</v>
      </c>
      <c r="K1784" s="2" t="s">
        <v>1285</v>
      </c>
      <c r="L1784" s="2" t="s">
        <v>28</v>
      </c>
      <c r="M1784" s="2" t="s">
        <v>5</v>
      </c>
      <c r="N1784" s="4">
        <v>2011.49</v>
      </c>
    </row>
    <row r="1785" spans="1:14" x14ac:dyDescent="0.25">
      <c r="A1785" s="2" t="s">
        <v>1288</v>
      </c>
      <c r="B1785" s="2" t="s">
        <v>1289</v>
      </c>
      <c r="C1785" s="3">
        <v>10.285</v>
      </c>
      <c r="D1785" s="4">
        <v>341.05059999999997</v>
      </c>
      <c r="E1785" s="4">
        <v>226.27</v>
      </c>
      <c r="F1785" s="4">
        <f t="shared" si="119"/>
        <v>114.78059999999996</v>
      </c>
      <c r="G1785" s="5">
        <f t="shared" si="120"/>
        <v>0.33655006031363083</v>
      </c>
      <c r="H1785" s="2" t="s">
        <v>1280</v>
      </c>
      <c r="I1785" s="6" t="s">
        <v>69</v>
      </c>
      <c r="J1785" s="2" t="s">
        <v>1281</v>
      </c>
      <c r="K1785" s="2" t="s">
        <v>1282</v>
      </c>
      <c r="L1785" s="2" t="s">
        <v>28</v>
      </c>
      <c r="M1785" s="2" t="s">
        <v>5</v>
      </c>
      <c r="N1785" s="4">
        <v>1657.75</v>
      </c>
    </row>
    <row r="1787" spans="1:14" x14ac:dyDescent="0.25">
      <c r="A1787" s="13" t="s">
        <v>59</v>
      </c>
      <c r="B1787" s="21"/>
      <c r="C1787" s="22">
        <f>SUM(C1762:C1786)</f>
        <v>254.48099999999999</v>
      </c>
      <c r="D1787" s="23">
        <f>SUM(D1762:D1786)</f>
        <v>3669.2431000000001</v>
      </c>
      <c r="E1787" s="23">
        <f>SUM(E1762:E1786)</f>
        <v>2253.4034000000001</v>
      </c>
      <c r="F1787" s="23">
        <f>D1787-E1787</f>
        <v>1415.8397</v>
      </c>
      <c r="G1787" s="24">
        <f>IF(((D1787)=0),0,(D1787-E1787)/ D1787)</f>
        <v>0.38586696531499914</v>
      </c>
      <c r="H1787" s="21"/>
      <c r="I1787" s="21"/>
      <c r="J1787" s="21"/>
      <c r="K1787" s="21"/>
      <c r="L1787" s="21"/>
      <c r="M1787" s="21"/>
      <c r="N1787" s="21"/>
    </row>
    <row r="1789" spans="1:14" s="17" customFormat="1" ht="18.75" x14ac:dyDescent="0.3"/>
    <row r="1790" spans="1:14" s="7" customFormat="1" x14ac:dyDescent="0.25">
      <c r="A1790" s="13" t="s">
        <v>1290</v>
      </c>
      <c r="B1790" s="18" t="s">
        <v>1291</v>
      </c>
      <c r="C1790" s="19"/>
      <c r="D1790" s="20" t="s">
        <v>5</v>
      </c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</row>
    <row r="1792" spans="1:14" x14ac:dyDescent="0.25">
      <c r="A1792" s="2" t="s">
        <v>146</v>
      </c>
      <c r="B1792" s="2" t="s">
        <v>147</v>
      </c>
      <c r="C1792" s="3">
        <v>16.54</v>
      </c>
      <c r="D1792" s="4">
        <v>229.40979999999999</v>
      </c>
      <c r="E1792" s="4">
        <v>186.90199999999999</v>
      </c>
      <c r="F1792" s="4">
        <f t="shared" ref="F1792:F1806" si="121">D1792-E1792</f>
        <v>42.507800000000003</v>
      </c>
      <c r="G1792" s="5">
        <f t="shared" ref="G1792:G1806" si="122">IF(((D1792)=0),0,(D1792-E1792)/ D1792)</f>
        <v>0.18529199711607788</v>
      </c>
      <c r="H1792" s="2" t="s">
        <v>1292</v>
      </c>
      <c r="I1792" s="6" t="s">
        <v>32</v>
      </c>
      <c r="J1792" s="2" t="s">
        <v>1293</v>
      </c>
      <c r="K1792" s="2" t="s">
        <v>5</v>
      </c>
      <c r="L1792" s="2" t="s">
        <v>28</v>
      </c>
      <c r="M1792" s="2" t="s">
        <v>5</v>
      </c>
      <c r="N1792" s="4">
        <v>3021.51</v>
      </c>
    </row>
    <row r="1793" spans="1:14" x14ac:dyDescent="0.25">
      <c r="A1793" s="2" t="s">
        <v>146</v>
      </c>
      <c r="B1793" s="2" t="s">
        <v>147</v>
      </c>
      <c r="C1793" s="3">
        <v>44.45</v>
      </c>
      <c r="D1793" s="4">
        <v>616.52149999999995</v>
      </c>
      <c r="E1793" s="4">
        <v>502.28500000000003</v>
      </c>
      <c r="F1793" s="4">
        <f t="shared" si="121"/>
        <v>114.23649999999992</v>
      </c>
      <c r="G1793" s="5">
        <f t="shared" si="122"/>
        <v>0.18529199711607774</v>
      </c>
      <c r="H1793" s="2" t="s">
        <v>1294</v>
      </c>
      <c r="I1793" s="6" t="s">
        <v>69</v>
      </c>
      <c r="J1793" s="2" t="s">
        <v>1295</v>
      </c>
      <c r="K1793" s="2" t="s">
        <v>5</v>
      </c>
      <c r="L1793" s="2" t="s">
        <v>28</v>
      </c>
      <c r="M1793" s="2" t="s">
        <v>5</v>
      </c>
      <c r="N1793" s="4">
        <v>5163.3100000000004</v>
      </c>
    </row>
    <row r="1794" spans="1:14" x14ac:dyDescent="0.25">
      <c r="A1794" s="2" t="s">
        <v>556</v>
      </c>
      <c r="B1794" s="2" t="s">
        <v>557</v>
      </c>
      <c r="C1794" s="3">
        <v>6.77</v>
      </c>
      <c r="D1794" s="4">
        <v>108.3877</v>
      </c>
      <c r="E1794" s="4">
        <v>62.622500000000002</v>
      </c>
      <c r="F1794" s="4">
        <f t="shared" si="121"/>
        <v>45.765199999999993</v>
      </c>
      <c r="G1794" s="5">
        <f t="shared" si="122"/>
        <v>0.42223610243597748</v>
      </c>
      <c r="H1794" s="2" t="s">
        <v>1292</v>
      </c>
      <c r="I1794" s="6" t="s">
        <v>32</v>
      </c>
      <c r="J1794" s="2" t="s">
        <v>1293</v>
      </c>
      <c r="K1794" s="2" t="s">
        <v>5</v>
      </c>
      <c r="L1794" s="2" t="s">
        <v>28</v>
      </c>
      <c r="M1794" s="2" t="s">
        <v>5</v>
      </c>
      <c r="N1794" s="4">
        <v>3021.51</v>
      </c>
    </row>
    <row r="1795" spans="1:14" x14ac:dyDescent="0.25">
      <c r="A1795" s="2" t="s">
        <v>556</v>
      </c>
      <c r="B1795" s="2" t="s">
        <v>557</v>
      </c>
      <c r="C1795" s="3">
        <v>6.88</v>
      </c>
      <c r="D1795" s="4">
        <v>110.14879999999999</v>
      </c>
      <c r="E1795" s="4">
        <v>63.64</v>
      </c>
      <c r="F1795" s="4">
        <f t="shared" si="121"/>
        <v>46.508799999999994</v>
      </c>
      <c r="G1795" s="5">
        <f t="shared" si="122"/>
        <v>0.42223610243597748</v>
      </c>
      <c r="H1795" s="2" t="s">
        <v>1294</v>
      </c>
      <c r="I1795" s="6" t="s">
        <v>69</v>
      </c>
      <c r="J1795" s="2" t="s">
        <v>1295</v>
      </c>
      <c r="K1795" s="2" t="s">
        <v>5</v>
      </c>
      <c r="L1795" s="2" t="s">
        <v>28</v>
      </c>
      <c r="M1795" s="2" t="s">
        <v>5</v>
      </c>
      <c r="N1795" s="4">
        <v>5163.3100000000004</v>
      </c>
    </row>
    <row r="1796" spans="1:14" x14ac:dyDescent="0.25">
      <c r="A1796" s="2" t="s">
        <v>731</v>
      </c>
      <c r="B1796" s="2" t="s">
        <v>732</v>
      </c>
      <c r="C1796" s="3">
        <v>10.9</v>
      </c>
      <c r="D1796" s="4">
        <v>528.43200000000002</v>
      </c>
      <c r="E1796" s="4">
        <v>305.2</v>
      </c>
      <c r="F1796" s="4">
        <f t="shared" si="121"/>
        <v>223.23200000000003</v>
      </c>
      <c r="G1796" s="5">
        <f t="shared" si="122"/>
        <v>0.4224422442244225</v>
      </c>
      <c r="H1796" s="2" t="s">
        <v>1292</v>
      </c>
      <c r="I1796" s="6" t="s">
        <v>32</v>
      </c>
      <c r="J1796" s="2" t="s">
        <v>1293</v>
      </c>
      <c r="K1796" s="2" t="s">
        <v>5</v>
      </c>
      <c r="L1796" s="2" t="s">
        <v>28</v>
      </c>
      <c r="M1796" s="2" t="s">
        <v>5</v>
      </c>
      <c r="N1796" s="4">
        <v>3021.51</v>
      </c>
    </row>
    <row r="1797" spans="1:14" x14ac:dyDescent="0.25">
      <c r="A1797" s="2" t="s">
        <v>328</v>
      </c>
      <c r="B1797" s="2" t="s">
        <v>329</v>
      </c>
      <c r="C1797" s="3">
        <v>10.16</v>
      </c>
      <c r="D1797" s="4">
        <v>610.92079999999999</v>
      </c>
      <c r="E1797" s="4">
        <v>375.92</v>
      </c>
      <c r="F1797" s="4">
        <f t="shared" si="121"/>
        <v>235.00079999999997</v>
      </c>
      <c r="G1797" s="5">
        <f t="shared" si="122"/>
        <v>0.3846665557957758</v>
      </c>
      <c r="H1797" s="2" t="s">
        <v>1294</v>
      </c>
      <c r="I1797" s="6" t="s">
        <v>69</v>
      </c>
      <c r="J1797" s="2" t="s">
        <v>1295</v>
      </c>
      <c r="K1797" s="2" t="s">
        <v>5</v>
      </c>
      <c r="L1797" s="2" t="s">
        <v>28</v>
      </c>
      <c r="M1797" s="2" t="s">
        <v>5</v>
      </c>
      <c r="N1797" s="4">
        <v>5163.3100000000004</v>
      </c>
    </row>
    <row r="1798" spans="1:14" x14ac:dyDescent="0.25">
      <c r="A1798" s="2" t="s">
        <v>120</v>
      </c>
      <c r="B1798" s="2" t="s">
        <v>121</v>
      </c>
      <c r="C1798" s="3">
        <v>5.6639999999999997</v>
      </c>
      <c r="D1798" s="4">
        <v>271.75871999999998</v>
      </c>
      <c r="E1798" s="4">
        <v>220.3296</v>
      </c>
      <c r="F1798" s="4">
        <f t="shared" si="121"/>
        <v>51.429119999999983</v>
      </c>
      <c r="G1798" s="5">
        <f t="shared" si="122"/>
        <v>0.18924551896623587</v>
      </c>
      <c r="H1798" s="2" t="s">
        <v>1292</v>
      </c>
      <c r="I1798" s="6" t="s">
        <v>32</v>
      </c>
      <c r="J1798" s="2" t="s">
        <v>1293</v>
      </c>
      <c r="K1798" s="2" t="s">
        <v>5</v>
      </c>
      <c r="L1798" s="2" t="s">
        <v>28</v>
      </c>
      <c r="M1798" s="2" t="s">
        <v>5</v>
      </c>
      <c r="N1798" s="4">
        <v>3021.51</v>
      </c>
    </row>
    <row r="1799" spans="1:14" x14ac:dyDescent="0.25">
      <c r="A1799" s="2" t="s">
        <v>120</v>
      </c>
      <c r="B1799" s="2" t="s">
        <v>121</v>
      </c>
      <c r="C1799" s="3">
        <v>5.78</v>
      </c>
      <c r="D1799" s="4">
        <v>277.32440000000003</v>
      </c>
      <c r="E1799" s="4">
        <v>224.84200000000001</v>
      </c>
      <c r="F1799" s="4">
        <f t="shared" si="121"/>
        <v>52.482400000000013</v>
      </c>
      <c r="G1799" s="5">
        <f t="shared" si="122"/>
        <v>0.18924551896623595</v>
      </c>
      <c r="H1799" s="2" t="s">
        <v>1294</v>
      </c>
      <c r="I1799" s="6" t="s">
        <v>69</v>
      </c>
      <c r="J1799" s="2" t="s">
        <v>1295</v>
      </c>
      <c r="K1799" s="2" t="s">
        <v>5</v>
      </c>
      <c r="L1799" s="2" t="s">
        <v>28</v>
      </c>
      <c r="M1799" s="2" t="s">
        <v>5</v>
      </c>
      <c r="N1799" s="4">
        <v>5163.3100000000004</v>
      </c>
    </row>
    <row r="1800" spans="1:14" x14ac:dyDescent="0.25">
      <c r="A1800" s="2" t="s">
        <v>165</v>
      </c>
      <c r="B1800" s="2" t="s">
        <v>166</v>
      </c>
      <c r="C1800" s="3">
        <v>13</v>
      </c>
      <c r="D1800" s="4">
        <v>454.61</v>
      </c>
      <c r="E1800" s="4">
        <v>305.5</v>
      </c>
      <c r="F1800" s="4">
        <f t="shared" si="121"/>
        <v>149.11000000000001</v>
      </c>
      <c r="G1800" s="5">
        <f t="shared" si="122"/>
        <v>0.32799542464969977</v>
      </c>
      <c r="H1800" s="2" t="s">
        <v>1294</v>
      </c>
      <c r="I1800" s="6" t="s">
        <v>69</v>
      </c>
      <c r="J1800" s="2" t="s">
        <v>1295</v>
      </c>
      <c r="K1800" s="2" t="s">
        <v>5</v>
      </c>
      <c r="L1800" s="2" t="s">
        <v>28</v>
      </c>
      <c r="M1800" s="2" t="s">
        <v>5</v>
      </c>
      <c r="N1800" s="4">
        <v>5163.3100000000004</v>
      </c>
    </row>
    <row r="1801" spans="1:14" x14ac:dyDescent="0.25">
      <c r="A1801" s="2" t="s">
        <v>737</v>
      </c>
      <c r="B1801" s="2" t="s">
        <v>738</v>
      </c>
      <c r="C1801" s="3">
        <v>18.43</v>
      </c>
      <c r="D1801" s="4">
        <v>974.947</v>
      </c>
      <c r="E1801" s="4">
        <v>727.98500000000001</v>
      </c>
      <c r="F1801" s="4">
        <f t="shared" si="121"/>
        <v>246.96199999999999</v>
      </c>
      <c r="G1801" s="5">
        <f t="shared" si="122"/>
        <v>0.25330812854442342</v>
      </c>
      <c r="H1801" s="2" t="s">
        <v>1292</v>
      </c>
      <c r="I1801" s="6" t="s">
        <v>32</v>
      </c>
      <c r="J1801" s="2" t="s">
        <v>1293</v>
      </c>
      <c r="K1801" s="2" t="s">
        <v>5</v>
      </c>
      <c r="L1801" s="2" t="s">
        <v>28</v>
      </c>
      <c r="M1801" s="2" t="s">
        <v>5</v>
      </c>
      <c r="N1801" s="4">
        <v>3021.51</v>
      </c>
    </row>
    <row r="1802" spans="1:14" x14ac:dyDescent="0.25">
      <c r="A1802" s="2" t="s">
        <v>737</v>
      </c>
      <c r="B1802" s="2" t="s">
        <v>738</v>
      </c>
      <c r="C1802" s="3">
        <v>31.5</v>
      </c>
      <c r="D1802" s="4">
        <v>1666.35</v>
      </c>
      <c r="E1802" s="4">
        <v>1244.25</v>
      </c>
      <c r="F1802" s="4">
        <f t="shared" si="121"/>
        <v>422.09999999999991</v>
      </c>
      <c r="G1802" s="5">
        <f t="shared" si="122"/>
        <v>0.25330812854442342</v>
      </c>
      <c r="H1802" s="2" t="s">
        <v>1294</v>
      </c>
      <c r="I1802" s="6" t="s">
        <v>69</v>
      </c>
      <c r="J1802" s="2" t="s">
        <v>1295</v>
      </c>
      <c r="K1802" s="2" t="s">
        <v>5</v>
      </c>
      <c r="L1802" s="2" t="s">
        <v>28</v>
      </c>
      <c r="M1802" s="2" t="s">
        <v>5</v>
      </c>
      <c r="N1802" s="4">
        <v>5163.3100000000004</v>
      </c>
    </row>
    <row r="1803" spans="1:14" x14ac:dyDescent="0.25">
      <c r="A1803" s="2" t="s">
        <v>1296</v>
      </c>
      <c r="B1803" s="2" t="s">
        <v>1297</v>
      </c>
      <c r="C1803" s="3">
        <v>12.75</v>
      </c>
      <c r="D1803" s="4">
        <v>364.90499999999997</v>
      </c>
      <c r="E1803" s="4">
        <v>188.0625</v>
      </c>
      <c r="F1803" s="4">
        <f t="shared" si="121"/>
        <v>176.84249999999997</v>
      </c>
      <c r="G1803" s="5">
        <f t="shared" si="122"/>
        <v>0.48462613556953177</v>
      </c>
      <c r="H1803" s="2" t="s">
        <v>1294</v>
      </c>
      <c r="I1803" s="6" t="s">
        <v>69</v>
      </c>
      <c r="J1803" s="2" t="s">
        <v>1295</v>
      </c>
      <c r="K1803" s="2" t="s">
        <v>5</v>
      </c>
      <c r="L1803" s="2" t="s">
        <v>28</v>
      </c>
      <c r="M1803" s="2" t="s">
        <v>5</v>
      </c>
      <c r="N1803" s="4">
        <v>5163.3100000000004</v>
      </c>
    </row>
    <row r="1804" spans="1:14" x14ac:dyDescent="0.25">
      <c r="A1804" s="2" t="s">
        <v>1296</v>
      </c>
      <c r="B1804" s="2" t="s">
        <v>1297</v>
      </c>
      <c r="C1804" s="3">
        <v>8.8450000000000006</v>
      </c>
      <c r="D1804" s="4">
        <v>253.1439</v>
      </c>
      <c r="E1804" s="4">
        <v>130.46375</v>
      </c>
      <c r="F1804" s="4">
        <f t="shared" si="121"/>
        <v>122.68015</v>
      </c>
      <c r="G1804" s="5">
        <f t="shared" si="122"/>
        <v>0.48462613556953177</v>
      </c>
      <c r="H1804" s="2" t="s">
        <v>1292</v>
      </c>
      <c r="I1804" s="6" t="s">
        <v>32</v>
      </c>
      <c r="J1804" s="2" t="s">
        <v>1293</v>
      </c>
      <c r="K1804" s="2" t="s">
        <v>5</v>
      </c>
      <c r="L1804" s="2" t="s">
        <v>28</v>
      </c>
      <c r="M1804" s="2" t="s">
        <v>5</v>
      </c>
      <c r="N1804" s="4">
        <v>3021.51</v>
      </c>
    </row>
    <row r="1805" spans="1:14" x14ac:dyDescent="0.25">
      <c r="A1805" s="2" t="s">
        <v>1298</v>
      </c>
      <c r="B1805" s="2" t="s">
        <v>1299</v>
      </c>
      <c r="C1805" s="3">
        <v>16.100000000000001</v>
      </c>
      <c r="D1805" s="4">
        <v>655.43100000000004</v>
      </c>
      <c r="E1805" s="4">
        <v>410.55</v>
      </c>
      <c r="F1805" s="4">
        <f t="shared" si="121"/>
        <v>244.88100000000003</v>
      </c>
      <c r="G1805" s="5">
        <f t="shared" si="122"/>
        <v>0.37361827560795874</v>
      </c>
      <c r="H1805" s="2" t="s">
        <v>1292</v>
      </c>
      <c r="I1805" s="6" t="s">
        <v>32</v>
      </c>
      <c r="J1805" s="2" t="s">
        <v>1293</v>
      </c>
      <c r="K1805" s="2" t="s">
        <v>5</v>
      </c>
      <c r="L1805" s="2" t="s">
        <v>28</v>
      </c>
      <c r="M1805" s="2" t="s">
        <v>5</v>
      </c>
      <c r="N1805" s="4">
        <v>3021.51</v>
      </c>
    </row>
    <row r="1806" spans="1:14" x14ac:dyDescent="0.25">
      <c r="A1806" s="2" t="s">
        <v>1298</v>
      </c>
      <c r="B1806" s="2" t="s">
        <v>1299</v>
      </c>
      <c r="C1806" s="3">
        <v>26.1</v>
      </c>
      <c r="D1806" s="4">
        <v>1062.5309999999999</v>
      </c>
      <c r="E1806" s="4">
        <v>665.55</v>
      </c>
      <c r="F1806" s="4">
        <f t="shared" si="121"/>
        <v>396.98099999999999</v>
      </c>
      <c r="G1806" s="5">
        <f t="shared" si="122"/>
        <v>0.37361827560795874</v>
      </c>
      <c r="H1806" s="2" t="s">
        <v>1294</v>
      </c>
      <c r="I1806" s="6" t="s">
        <v>69</v>
      </c>
      <c r="J1806" s="2" t="s">
        <v>1295</v>
      </c>
      <c r="K1806" s="2" t="s">
        <v>5</v>
      </c>
      <c r="L1806" s="2" t="s">
        <v>28</v>
      </c>
      <c r="M1806" s="2" t="s">
        <v>5</v>
      </c>
      <c r="N1806" s="4">
        <v>5163.3100000000004</v>
      </c>
    </row>
    <row r="1808" spans="1:14" x14ac:dyDescent="0.25">
      <c r="A1808" s="13" t="s">
        <v>59</v>
      </c>
      <c r="B1808" s="21"/>
      <c r="C1808" s="22">
        <f>SUM(C1789:C1807)</f>
        <v>233.869</v>
      </c>
      <c r="D1808" s="23">
        <f>SUM(D1789:D1807)</f>
        <v>8184.8216199999997</v>
      </c>
      <c r="E1808" s="23">
        <f>SUM(E1789:E1807)</f>
        <v>5614.1023500000001</v>
      </c>
      <c r="F1808" s="23">
        <f>D1808-E1808</f>
        <v>2570.7192699999996</v>
      </c>
      <c r="G1808" s="24">
        <f>IF(((D1808)=0),0,(D1808-E1808)/ D1808)</f>
        <v>0.31408372587110822</v>
      </c>
      <c r="H1808" s="21"/>
      <c r="I1808" s="21"/>
      <c r="J1808" s="21"/>
      <c r="K1808" s="21"/>
      <c r="L1808" s="21"/>
      <c r="M1808" s="21"/>
      <c r="N1808" s="21"/>
    </row>
    <row r="1810" spans="1:14" s="17" customFormat="1" ht="18.75" x14ac:dyDescent="0.3"/>
    <row r="1811" spans="1:14" s="7" customFormat="1" x14ac:dyDescent="0.25">
      <c r="A1811" s="13" t="s">
        <v>1300</v>
      </c>
      <c r="B1811" s="18" t="s">
        <v>1301</v>
      </c>
      <c r="C1811" s="19"/>
      <c r="D1811" s="20" t="s">
        <v>5</v>
      </c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</row>
    <row r="1813" spans="1:14" x14ac:dyDescent="0.25">
      <c r="A1813" s="2" t="s">
        <v>877</v>
      </c>
      <c r="B1813" s="2" t="s">
        <v>878</v>
      </c>
      <c r="C1813" s="3">
        <v>75.45</v>
      </c>
      <c r="D1813" s="4">
        <v>1717.9965</v>
      </c>
      <c r="E1813" s="4">
        <v>943.125</v>
      </c>
      <c r="F1813" s="4">
        <f t="shared" ref="F1813:F1851" si="123">D1813-E1813</f>
        <v>774.87149999999997</v>
      </c>
      <c r="G1813" s="5">
        <f t="shared" ref="G1813:G1851" si="124">IF(((D1813)=0),0,(D1813-E1813)/ D1813)</f>
        <v>0.45103205972771188</v>
      </c>
      <c r="H1813" s="2" t="s">
        <v>1302</v>
      </c>
      <c r="I1813" s="6" t="s">
        <v>25</v>
      </c>
      <c r="J1813" s="2" t="s">
        <v>1303</v>
      </c>
      <c r="K1813" s="2" t="s">
        <v>1304</v>
      </c>
      <c r="L1813" s="2" t="s">
        <v>28</v>
      </c>
      <c r="M1813" s="2" t="s">
        <v>5</v>
      </c>
      <c r="N1813" s="4">
        <v>24864.31</v>
      </c>
    </row>
    <row r="1814" spans="1:14" x14ac:dyDescent="0.25">
      <c r="A1814" s="2" t="s">
        <v>747</v>
      </c>
      <c r="B1814" s="2" t="s">
        <v>748</v>
      </c>
      <c r="C1814" s="3">
        <v>12</v>
      </c>
      <c r="D1814" s="4">
        <v>190.08</v>
      </c>
      <c r="E1814" s="4">
        <v>109.08</v>
      </c>
      <c r="F1814" s="4">
        <f t="shared" si="123"/>
        <v>81.000000000000014</v>
      </c>
      <c r="G1814" s="5">
        <f t="shared" si="124"/>
        <v>0.4261363636363637</v>
      </c>
      <c r="H1814" s="2" t="s">
        <v>1302</v>
      </c>
      <c r="I1814" s="6" t="s">
        <v>25</v>
      </c>
      <c r="J1814" s="2" t="s">
        <v>1303</v>
      </c>
      <c r="K1814" s="2" t="s">
        <v>1304</v>
      </c>
      <c r="L1814" s="2" t="s">
        <v>28</v>
      </c>
      <c r="M1814" s="2" t="s">
        <v>5</v>
      </c>
      <c r="N1814" s="4">
        <v>24864.31</v>
      </c>
    </row>
    <row r="1815" spans="1:14" x14ac:dyDescent="0.25">
      <c r="A1815" s="2" t="s">
        <v>260</v>
      </c>
      <c r="B1815" s="2" t="s">
        <v>261</v>
      </c>
      <c r="C1815" s="3">
        <v>80</v>
      </c>
      <c r="D1815" s="4">
        <v>1411.2</v>
      </c>
      <c r="E1815" s="4">
        <v>800</v>
      </c>
      <c r="F1815" s="4">
        <f t="shared" si="123"/>
        <v>611.20000000000005</v>
      </c>
      <c r="G1815" s="5">
        <f t="shared" si="124"/>
        <v>0.43310657596371882</v>
      </c>
      <c r="H1815" s="2" t="s">
        <v>1302</v>
      </c>
      <c r="I1815" s="6" t="s">
        <v>25</v>
      </c>
      <c r="J1815" s="2" t="s">
        <v>1303</v>
      </c>
      <c r="K1815" s="2" t="s">
        <v>1304</v>
      </c>
      <c r="L1815" s="2" t="s">
        <v>28</v>
      </c>
      <c r="M1815" s="2" t="s">
        <v>5</v>
      </c>
      <c r="N1815" s="4">
        <v>24864.31</v>
      </c>
    </row>
    <row r="1816" spans="1:14" x14ac:dyDescent="0.25">
      <c r="A1816" s="2" t="s">
        <v>268</v>
      </c>
      <c r="B1816" s="2" t="s">
        <v>269</v>
      </c>
      <c r="C1816" s="3">
        <v>25.18</v>
      </c>
      <c r="D1816" s="4">
        <v>512.16120000000001</v>
      </c>
      <c r="E1816" s="4">
        <v>297.12400000000002</v>
      </c>
      <c r="F1816" s="4">
        <f t="shared" si="123"/>
        <v>215.03719999999998</v>
      </c>
      <c r="G1816" s="5">
        <f t="shared" si="124"/>
        <v>0.41986234021632246</v>
      </c>
      <c r="H1816" s="2" t="s">
        <v>1302</v>
      </c>
      <c r="I1816" s="6" t="s">
        <v>25</v>
      </c>
      <c r="J1816" s="2" t="s">
        <v>1303</v>
      </c>
      <c r="K1816" s="2" t="s">
        <v>1304</v>
      </c>
      <c r="L1816" s="2" t="s">
        <v>28</v>
      </c>
      <c r="M1816" s="2" t="s">
        <v>5</v>
      </c>
      <c r="N1816" s="4">
        <v>24864.31</v>
      </c>
    </row>
    <row r="1817" spans="1:14" x14ac:dyDescent="0.25">
      <c r="A1817" s="2" t="s">
        <v>270</v>
      </c>
      <c r="B1817" s="2" t="s">
        <v>271</v>
      </c>
      <c r="C1817" s="3">
        <v>115.37</v>
      </c>
      <c r="D1817" s="4">
        <v>2036.2805000000001</v>
      </c>
      <c r="E1817" s="4">
        <v>1269.07</v>
      </c>
      <c r="F1817" s="4">
        <f t="shared" si="123"/>
        <v>767.21050000000014</v>
      </c>
      <c r="G1817" s="5">
        <f t="shared" si="124"/>
        <v>0.37677053824362611</v>
      </c>
      <c r="H1817" s="2" t="s">
        <v>1302</v>
      </c>
      <c r="I1817" s="6" t="s">
        <v>25</v>
      </c>
      <c r="J1817" s="2" t="s">
        <v>1303</v>
      </c>
      <c r="K1817" s="2" t="s">
        <v>1304</v>
      </c>
      <c r="L1817" s="2" t="s">
        <v>28</v>
      </c>
      <c r="M1817" s="2" t="s">
        <v>5</v>
      </c>
      <c r="N1817" s="4">
        <v>24864.31</v>
      </c>
    </row>
    <row r="1818" spans="1:14" x14ac:dyDescent="0.25">
      <c r="A1818" s="2" t="s">
        <v>272</v>
      </c>
      <c r="B1818" s="2" t="s">
        <v>273</v>
      </c>
      <c r="C1818" s="3">
        <v>65.510000000000005</v>
      </c>
      <c r="D1818" s="4">
        <v>1027.1967999999999</v>
      </c>
      <c r="E1818" s="4">
        <v>799.22199999999998</v>
      </c>
      <c r="F1818" s="4">
        <f t="shared" si="123"/>
        <v>227.97479999999996</v>
      </c>
      <c r="G1818" s="5">
        <f t="shared" si="124"/>
        <v>0.22193877551020405</v>
      </c>
      <c r="H1818" s="2" t="s">
        <v>1302</v>
      </c>
      <c r="I1818" s="6" t="s">
        <v>25</v>
      </c>
      <c r="J1818" s="2" t="s">
        <v>1303</v>
      </c>
      <c r="K1818" s="2" t="s">
        <v>1304</v>
      </c>
      <c r="L1818" s="2" t="s">
        <v>28</v>
      </c>
      <c r="M1818" s="2" t="s">
        <v>5</v>
      </c>
      <c r="N1818" s="4">
        <v>24864.31</v>
      </c>
    </row>
    <row r="1819" spans="1:14" x14ac:dyDescent="0.25">
      <c r="A1819" s="2" t="s">
        <v>1305</v>
      </c>
      <c r="B1819" s="2" t="s">
        <v>1306</v>
      </c>
      <c r="C1819" s="3">
        <v>66.03</v>
      </c>
      <c r="D1819" s="4">
        <v>1343.0501999999999</v>
      </c>
      <c r="E1819" s="4">
        <v>676.8075</v>
      </c>
      <c r="F1819" s="4">
        <f t="shared" si="123"/>
        <v>666.2426999999999</v>
      </c>
      <c r="G1819" s="5">
        <f t="shared" si="124"/>
        <v>0.49606686332350047</v>
      </c>
      <c r="H1819" s="2" t="s">
        <v>1302</v>
      </c>
      <c r="I1819" s="6" t="s">
        <v>25</v>
      </c>
      <c r="J1819" s="2" t="s">
        <v>1303</v>
      </c>
      <c r="K1819" s="2" t="s">
        <v>1304</v>
      </c>
      <c r="L1819" s="2" t="s">
        <v>28</v>
      </c>
      <c r="M1819" s="2" t="s">
        <v>5</v>
      </c>
      <c r="N1819" s="4">
        <v>24864.31</v>
      </c>
    </row>
    <row r="1820" spans="1:14" x14ac:dyDescent="0.25">
      <c r="A1820" s="2" t="s">
        <v>850</v>
      </c>
      <c r="B1820" s="2" t="s">
        <v>851</v>
      </c>
      <c r="C1820" s="3">
        <v>40</v>
      </c>
      <c r="D1820" s="4">
        <v>314.8</v>
      </c>
      <c r="E1820" s="4">
        <v>190</v>
      </c>
      <c r="F1820" s="4">
        <f t="shared" si="123"/>
        <v>124.80000000000001</v>
      </c>
      <c r="G1820" s="5">
        <f t="shared" si="124"/>
        <v>0.39644218551461247</v>
      </c>
      <c r="H1820" s="2" t="s">
        <v>1302</v>
      </c>
      <c r="I1820" s="6" t="s">
        <v>25</v>
      </c>
      <c r="J1820" s="2" t="s">
        <v>1303</v>
      </c>
      <c r="K1820" s="2" t="s">
        <v>1304</v>
      </c>
      <c r="L1820" s="2" t="s">
        <v>28</v>
      </c>
      <c r="M1820" s="2" t="s">
        <v>5</v>
      </c>
      <c r="N1820" s="4">
        <v>24864.31</v>
      </c>
    </row>
    <row r="1821" spans="1:14" x14ac:dyDescent="0.25">
      <c r="A1821" s="2" t="s">
        <v>274</v>
      </c>
      <c r="B1821" s="2" t="s">
        <v>275</v>
      </c>
      <c r="C1821" s="3">
        <v>49.9</v>
      </c>
      <c r="D1821" s="4">
        <v>803.88900000000001</v>
      </c>
      <c r="E1821" s="4">
        <v>179.64</v>
      </c>
      <c r="F1821" s="4">
        <f t="shared" si="123"/>
        <v>624.24900000000002</v>
      </c>
      <c r="G1821" s="5">
        <f t="shared" si="124"/>
        <v>0.77653631284916202</v>
      </c>
      <c r="H1821" s="2" t="s">
        <v>1302</v>
      </c>
      <c r="I1821" s="6" t="s">
        <v>25</v>
      </c>
      <c r="J1821" s="2" t="s">
        <v>1303</v>
      </c>
      <c r="K1821" s="2" t="s">
        <v>1304</v>
      </c>
      <c r="L1821" s="2" t="s">
        <v>28</v>
      </c>
      <c r="M1821" s="2" t="s">
        <v>5</v>
      </c>
      <c r="N1821" s="4">
        <v>24864.31</v>
      </c>
    </row>
    <row r="1822" spans="1:14" x14ac:dyDescent="0.25">
      <c r="A1822" s="2" t="s">
        <v>276</v>
      </c>
      <c r="B1822" s="2" t="s">
        <v>277</v>
      </c>
      <c r="C1822" s="3">
        <v>31.62</v>
      </c>
      <c r="D1822" s="4">
        <v>546.39359999999999</v>
      </c>
      <c r="E1822" s="4">
        <v>158.1</v>
      </c>
      <c r="F1822" s="4">
        <f t="shared" si="123"/>
        <v>388.29359999999997</v>
      </c>
      <c r="G1822" s="5">
        <f t="shared" si="124"/>
        <v>0.71064814814814814</v>
      </c>
      <c r="H1822" s="2" t="s">
        <v>1302</v>
      </c>
      <c r="I1822" s="6" t="s">
        <v>25</v>
      </c>
      <c r="J1822" s="2" t="s">
        <v>1303</v>
      </c>
      <c r="K1822" s="2" t="s">
        <v>1304</v>
      </c>
      <c r="L1822" s="2" t="s">
        <v>28</v>
      </c>
      <c r="M1822" s="2" t="s">
        <v>5</v>
      </c>
      <c r="N1822" s="4">
        <v>24864.31</v>
      </c>
    </row>
    <row r="1823" spans="1:14" x14ac:dyDescent="0.25">
      <c r="A1823" s="2" t="s">
        <v>278</v>
      </c>
      <c r="B1823" s="2" t="s">
        <v>279</v>
      </c>
      <c r="C1823" s="3">
        <v>46.76</v>
      </c>
      <c r="D1823" s="4">
        <v>314.69479999999999</v>
      </c>
      <c r="E1823" s="4">
        <v>168.33600000000001</v>
      </c>
      <c r="F1823" s="4">
        <f t="shared" si="123"/>
        <v>146.35879999999997</v>
      </c>
      <c r="G1823" s="5">
        <f t="shared" si="124"/>
        <v>0.46508172362555716</v>
      </c>
      <c r="H1823" s="2" t="s">
        <v>1302</v>
      </c>
      <c r="I1823" s="6" t="s">
        <v>25</v>
      </c>
      <c r="J1823" s="2" t="s">
        <v>1303</v>
      </c>
      <c r="K1823" s="2" t="s">
        <v>1304</v>
      </c>
      <c r="L1823" s="2" t="s">
        <v>28</v>
      </c>
      <c r="M1823" s="2" t="s">
        <v>5</v>
      </c>
      <c r="N1823" s="4">
        <v>24864.31</v>
      </c>
    </row>
    <row r="1824" spans="1:14" x14ac:dyDescent="0.25">
      <c r="A1824" s="2" t="s">
        <v>280</v>
      </c>
      <c r="B1824" s="2" t="s">
        <v>281</v>
      </c>
      <c r="C1824" s="3">
        <v>45.604999999999997</v>
      </c>
      <c r="D1824" s="4">
        <v>741.08124999999995</v>
      </c>
      <c r="E1824" s="4">
        <v>314.67450000000002</v>
      </c>
      <c r="F1824" s="4">
        <f t="shared" si="123"/>
        <v>426.40674999999993</v>
      </c>
      <c r="G1824" s="5">
        <f t="shared" si="124"/>
        <v>0.57538461538461527</v>
      </c>
      <c r="H1824" s="2" t="s">
        <v>1302</v>
      </c>
      <c r="I1824" s="6" t="s">
        <v>25</v>
      </c>
      <c r="J1824" s="2" t="s">
        <v>1303</v>
      </c>
      <c r="K1824" s="2" t="s">
        <v>1304</v>
      </c>
      <c r="L1824" s="2" t="s">
        <v>28</v>
      </c>
      <c r="M1824" s="2" t="s">
        <v>5</v>
      </c>
      <c r="N1824" s="4">
        <v>24864.31</v>
      </c>
    </row>
    <row r="1825" spans="1:14" x14ac:dyDescent="0.25">
      <c r="A1825" s="2" t="s">
        <v>1307</v>
      </c>
      <c r="B1825" s="2" t="s">
        <v>1308</v>
      </c>
      <c r="C1825" s="3">
        <v>36</v>
      </c>
      <c r="D1825" s="4">
        <v>722.88</v>
      </c>
      <c r="E1825" s="4">
        <v>270</v>
      </c>
      <c r="F1825" s="4">
        <f t="shared" si="123"/>
        <v>452.88</v>
      </c>
      <c r="G1825" s="5">
        <f t="shared" si="124"/>
        <v>0.62649402390438247</v>
      </c>
      <c r="H1825" s="2" t="s">
        <v>1302</v>
      </c>
      <c r="I1825" s="6" t="s">
        <v>25</v>
      </c>
      <c r="J1825" s="2" t="s">
        <v>1303</v>
      </c>
      <c r="K1825" s="2" t="s">
        <v>1304</v>
      </c>
      <c r="L1825" s="2" t="s">
        <v>28</v>
      </c>
      <c r="M1825" s="2" t="s">
        <v>5</v>
      </c>
      <c r="N1825" s="4">
        <v>24864.31</v>
      </c>
    </row>
    <row r="1826" spans="1:14" x14ac:dyDescent="0.25">
      <c r="A1826" s="2" t="s">
        <v>282</v>
      </c>
      <c r="B1826" s="2" t="s">
        <v>283</v>
      </c>
      <c r="C1826" s="3">
        <v>10</v>
      </c>
      <c r="D1826" s="4">
        <v>108.7</v>
      </c>
      <c r="E1826" s="4">
        <v>59.9</v>
      </c>
      <c r="F1826" s="4">
        <f t="shared" si="123"/>
        <v>48.800000000000004</v>
      </c>
      <c r="G1826" s="5">
        <f t="shared" si="124"/>
        <v>0.44894204231830731</v>
      </c>
      <c r="H1826" s="2" t="s">
        <v>1302</v>
      </c>
      <c r="I1826" s="6" t="s">
        <v>25</v>
      </c>
      <c r="J1826" s="2" t="s">
        <v>1303</v>
      </c>
      <c r="K1826" s="2" t="s">
        <v>1304</v>
      </c>
      <c r="L1826" s="2" t="s">
        <v>28</v>
      </c>
      <c r="M1826" s="2" t="s">
        <v>5</v>
      </c>
      <c r="N1826" s="4">
        <v>24864.31</v>
      </c>
    </row>
    <row r="1827" spans="1:14" x14ac:dyDescent="0.25">
      <c r="A1827" s="2" t="s">
        <v>1309</v>
      </c>
      <c r="B1827" s="2" t="s">
        <v>1310</v>
      </c>
      <c r="C1827" s="3">
        <v>29.99</v>
      </c>
      <c r="D1827" s="4">
        <v>341.58609999999999</v>
      </c>
      <c r="E1827" s="4">
        <v>365.87799999999999</v>
      </c>
      <c r="F1827" s="4">
        <f t="shared" si="123"/>
        <v>-24.291899999999998</v>
      </c>
      <c r="G1827" s="5">
        <f t="shared" si="124"/>
        <v>-7.1115013169446878E-2</v>
      </c>
      <c r="H1827" s="2" t="s">
        <v>1302</v>
      </c>
      <c r="I1827" s="6" t="s">
        <v>25</v>
      </c>
      <c r="J1827" s="2" t="s">
        <v>1303</v>
      </c>
      <c r="K1827" s="2" t="s">
        <v>1304</v>
      </c>
      <c r="L1827" s="2" t="s">
        <v>28</v>
      </c>
      <c r="M1827" s="2" t="s">
        <v>5</v>
      </c>
      <c r="N1827" s="4">
        <v>24864.31</v>
      </c>
    </row>
    <row r="1828" spans="1:14" x14ac:dyDescent="0.25">
      <c r="A1828" s="2" t="s">
        <v>754</v>
      </c>
      <c r="B1828" s="2" t="s">
        <v>755</v>
      </c>
      <c r="C1828" s="3">
        <v>9.7899999999999991</v>
      </c>
      <c r="D1828" s="4">
        <v>228.00909999999999</v>
      </c>
      <c r="E1828" s="4">
        <v>125.5078</v>
      </c>
      <c r="F1828" s="4">
        <f t="shared" si="123"/>
        <v>102.50129999999999</v>
      </c>
      <c r="G1828" s="5">
        <f t="shared" si="124"/>
        <v>0.44954916273078571</v>
      </c>
      <c r="H1828" s="2" t="s">
        <v>1302</v>
      </c>
      <c r="I1828" s="6" t="s">
        <v>25</v>
      </c>
      <c r="J1828" s="2" t="s">
        <v>1303</v>
      </c>
      <c r="K1828" s="2" t="s">
        <v>1304</v>
      </c>
      <c r="L1828" s="2" t="s">
        <v>28</v>
      </c>
      <c r="M1828" s="2" t="s">
        <v>5</v>
      </c>
      <c r="N1828" s="4">
        <v>24864.31</v>
      </c>
    </row>
    <row r="1829" spans="1:14" x14ac:dyDescent="0.25">
      <c r="A1829" s="2" t="s">
        <v>1311</v>
      </c>
      <c r="B1829" s="2" t="s">
        <v>1312</v>
      </c>
      <c r="C1829" s="3">
        <v>9.8000000000000007</v>
      </c>
      <c r="D1829" s="4">
        <v>171.20599999999999</v>
      </c>
      <c r="E1829" s="4">
        <v>97.313999999999993</v>
      </c>
      <c r="F1829" s="4">
        <f t="shared" si="123"/>
        <v>73.891999999999996</v>
      </c>
      <c r="G1829" s="5">
        <f t="shared" si="124"/>
        <v>0.43159702346880369</v>
      </c>
      <c r="H1829" s="2" t="s">
        <v>1302</v>
      </c>
      <c r="I1829" s="6" t="s">
        <v>25</v>
      </c>
      <c r="J1829" s="2" t="s">
        <v>1303</v>
      </c>
      <c r="K1829" s="2" t="s">
        <v>1304</v>
      </c>
      <c r="L1829" s="2" t="s">
        <v>28</v>
      </c>
      <c r="M1829" s="2" t="s">
        <v>5</v>
      </c>
      <c r="N1829" s="4">
        <v>24864.31</v>
      </c>
    </row>
    <row r="1830" spans="1:14" x14ac:dyDescent="0.25">
      <c r="A1830" s="2" t="s">
        <v>284</v>
      </c>
      <c r="B1830" s="2" t="s">
        <v>285</v>
      </c>
      <c r="C1830" s="3">
        <v>16.95</v>
      </c>
      <c r="D1830" s="4">
        <v>92.038499999999999</v>
      </c>
      <c r="E1830" s="4">
        <v>42.375</v>
      </c>
      <c r="F1830" s="4">
        <f t="shared" si="123"/>
        <v>49.663499999999999</v>
      </c>
      <c r="G1830" s="5">
        <f t="shared" si="124"/>
        <v>0.53959484346224673</v>
      </c>
      <c r="H1830" s="2" t="s">
        <v>1302</v>
      </c>
      <c r="I1830" s="6" t="s">
        <v>25</v>
      </c>
      <c r="J1830" s="2" t="s">
        <v>1303</v>
      </c>
      <c r="K1830" s="2" t="s">
        <v>1304</v>
      </c>
      <c r="L1830" s="2" t="s">
        <v>28</v>
      </c>
      <c r="M1830" s="2" t="s">
        <v>5</v>
      </c>
      <c r="N1830" s="4">
        <v>24864.31</v>
      </c>
    </row>
    <row r="1831" spans="1:14" x14ac:dyDescent="0.25">
      <c r="A1831" s="2" t="s">
        <v>1313</v>
      </c>
      <c r="B1831" s="2" t="s">
        <v>1314</v>
      </c>
      <c r="C1831" s="3">
        <v>12</v>
      </c>
      <c r="D1831" s="4">
        <v>131.04</v>
      </c>
      <c r="E1831" s="4">
        <v>72.12</v>
      </c>
      <c r="F1831" s="4">
        <f t="shared" si="123"/>
        <v>58.919999999999987</v>
      </c>
      <c r="G1831" s="5">
        <f t="shared" si="124"/>
        <v>0.44963369963369959</v>
      </c>
      <c r="H1831" s="2" t="s">
        <v>1302</v>
      </c>
      <c r="I1831" s="6" t="s">
        <v>25</v>
      </c>
      <c r="J1831" s="2" t="s">
        <v>1303</v>
      </c>
      <c r="K1831" s="2" t="s">
        <v>1304</v>
      </c>
      <c r="L1831" s="2" t="s">
        <v>28</v>
      </c>
      <c r="M1831" s="2" t="s">
        <v>5</v>
      </c>
      <c r="N1831" s="4">
        <v>24864.31</v>
      </c>
    </row>
    <row r="1832" spans="1:14" x14ac:dyDescent="0.25">
      <c r="A1832" s="2" t="s">
        <v>852</v>
      </c>
      <c r="B1832" s="2" t="s">
        <v>853</v>
      </c>
      <c r="C1832" s="3">
        <v>10</v>
      </c>
      <c r="D1832" s="4">
        <v>110.2</v>
      </c>
      <c r="E1832" s="4">
        <v>60.9</v>
      </c>
      <c r="F1832" s="4">
        <f t="shared" si="123"/>
        <v>49.300000000000004</v>
      </c>
      <c r="G1832" s="5">
        <f t="shared" si="124"/>
        <v>0.44736842105263158</v>
      </c>
      <c r="H1832" s="2" t="s">
        <v>1302</v>
      </c>
      <c r="I1832" s="6" t="s">
        <v>25</v>
      </c>
      <c r="J1832" s="2" t="s">
        <v>1303</v>
      </c>
      <c r="K1832" s="2" t="s">
        <v>1304</v>
      </c>
      <c r="L1832" s="2" t="s">
        <v>28</v>
      </c>
      <c r="M1832" s="2" t="s">
        <v>5</v>
      </c>
      <c r="N1832" s="4">
        <v>24864.31</v>
      </c>
    </row>
    <row r="1833" spans="1:14" x14ac:dyDescent="0.25">
      <c r="A1833" s="2" t="s">
        <v>286</v>
      </c>
      <c r="B1833" s="2" t="s">
        <v>287</v>
      </c>
      <c r="C1833" s="3">
        <v>48.44</v>
      </c>
      <c r="D1833" s="4">
        <v>684.45719999999994</v>
      </c>
      <c r="E1833" s="4">
        <v>401.56760000000003</v>
      </c>
      <c r="F1833" s="4">
        <f t="shared" si="123"/>
        <v>282.88959999999992</v>
      </c>
      <c r="G1833" s="5">
        <f t="shared" si="124"/>
        <v>0.41330502476999281</v>
      </c>
      <c r="H1833" s="2" t="s">
        <v>1302</v>
      </c>
      <c r="I1833" s="6" t="s">
        <v>25</v>
      </c>
      <c r="J1833" s="2" t="s">
        <v>1303</v>
      </c>
      <c r="K1833" s="2" t="s">
        <v>1304</v>
      </c>
      <c r="L1833" s="2" t="s">
        <v>28</v>
      </c>
      <c r="M1833" s="2" t="s">
        <v>5</v>
      </c>
      <c r="N1833" s="4">
        <v>24864.31</v>
      </c>
    </row>
    <row r="1834" spans="1:14" x14ac:dyDescent="0.25">
      <c r="A1834" s="2" t="s">
        <v>288</v>
      </c>
      <c r="B1834" s="2" t="s">
        <v>289</v>
      </c>
      <c r="C1834" s="3">
        <v>16.399999999999999</v>
      </c>
      <c r="D1834" s="4">
        <v>308.15600000000001</v>
      </c>
      <c r="E1834" s="4">
        <v>169.74</v>
      </c>
      <c r="F1834" s="4">
        <f t="shared" si="123"/>
        <v>138.416</v>
      </c>
      <c r="G1834" s="5">
        <f t="shared" si="124"/>
        <v>0.44917509313464604</v>
      </c>
      <c r="H1834" s="2" t="s">
        <v>1302</v>
      </c>
      <c r="I1834" s="6" t="s">
        <v>25</v>
      </c>
      <c r="J1834" s="2" t="s">
        <v>1303</v>
      </c>
      <c r="K1834" s="2" t="s">
        <v>1304</v>
      </c>
      <c r="L1834" s="2" t="s">
        <v>28</v>
      </c>
      <c r="M1834" s="2" t="s">
        <v>5</v>
      </c>
      <c r="N1834" s="4">
        <v>24864.31</v>
      </c>
    </row>
    <row r="1835" spans="1:14" x14ac:dyDescent="0.25">
      <c r="A1835" s="2" t="s">
        <v>290</v>
      </c>
      <c r="B1835" s="2" t="s">
        <v>291</v>
      </c>
      <c r="C1835" s="3">
        <v>32</v>
      </c>
      <c r="D1835" s="4">
        <v>740.16</v>
      </c>
      <c r="E1835" s="4">
        <v>520</v>
      </c>
      <c r="F1835" s="4">
        <f t="shared" si="123"/>
        <v>220.15999999999997</v>
      </c>
      <c r="G1835" s="5">
        <f t="shared" si="124"/>
        <v>0.29744920017293552</v>
      </c>
      <c r="H1835" s="2" t="s">
        <v>1302</v>
      </c>
      <c r="I1835" s="6" t="s">
        <v>25</v>
      </c>
      <c r="J1835" s="2" t="s">
        <v>1303</v>
      </c>
      <c r="K1835" s="2" t="s">
        <v>1304</v>
      </c>
      <c r="L1835" s="2" t="s">
        <v>28</v>
      </c>
      <c r="M1835" s="2" t="s">
        <v>5</v>
      </c>
      <c r="N1835" s="4">
        <v>24864.31</v>
      </c>
    </row>
    <row r="1836" spans="1:14" x14ac:dyDescent="0.25">
      <c r="A1836" s="2" t="s">
        <v>949</v>
      </c>
      <c r="B1836" s="2" t="s">
        <v>950</v>
      </c>
      <c r="C1836" s="3">
        <v>27.55</v>
      </c>
      <c r="D1836" s="4">
        <v>506.09350000000001</v>
      </c>
      <c r="E1836" s="4">
        <v>256.21499999999997</v>
      </c>
      <c r="F1836" s="4">
        <f t="shared" si="123"/>
        <v>249.87850000000003</v>
      </c>
      <c r="G1836" s="5">
        <f t="shared" si="124"/>
        <v>0.49373979314099081</v>
      </c>
      <c r="H1836" s="2" t="s">
        <v>1302</v>
      </c>
      <c r="I1836" s="6" t="s">
        <v>25</v>
      </c>
      <c r="J1836" s="2" t="s">
        <v>1303</v>
      </c>
      <c r="K1836" s="2" t="s">
        <v>1304</v>
      </c>
      <c r="L1836" s="2" t="s">
        <v>28</v>
      </c>
      <c r="M1836" s="2" t="s">
        <v>5</v>
      </c>
      <c r="N1836" s="4">
        <v>24864.31</v>
      </c>
    </row>
    <row r="1837" spans="1:14" x14ac:dyDescent="0.25">
      <c r="A1837" s="2" t="s">
        <v>292</v>
      </c>
      <c r="B1837" s="2" t="s">
        <v>293</v>
      </c>
      <c r="C1837" s="3">
        <v>57.37</v>
      </c>
      <c r="D1837" s="4">
        <v>1169.7743</v>
      </c>
      <c r="E1837" s="4">
        <v>946.60500000000002</v>
      </c>
      <c r="F1837" s="4">
        <f t="shared" si="123"/>
        <v>223.16930000000002</v>
      </c>
      <c r="G1837" s="5">
        <f t="shared" si="124"/>
        <v>0.19077979401667486</v>
      </c>
      <c r="H1837" s="2" t="s">
        <v>1302</v>
      </c>
      <c r="I1837" s="6" t="s">
        <v>25</v>
      </c>
      <c r="J1837" s="2" t="s">
        <v>1303</v>
      </c>
      <c r="K1837" s="2" t="s">
        <v>1304</v>
      </c>
      <c r="L1837" s="2" t="s">
        <v>28</v>
      </c>
      <c r="M1837" s="2" t="s">
        <v>5</v>
      </c>
      <c r="N1837" s="4">
        <v>24864.31</v>
      </c>
    </row>
    <row r="1838" spans="1:14" x14ac:dyDescent="0.25">
      <c r="A1838" s="2" t="s">
        <v>766</v>
      </c>
      <c r="B1838" s="2" t="s">
        <v>767</v>
      </c>
      <c r="C1838" s="3">
        <v>16</v>
      </c>
      <c r="D1838" s="4">
        <v>244.32</v>
      </c>
      <c r="E1838" s="4">
        <v>152</v>
      </c>
      <c r="F1838" s="4">
        <f t="shared" si="123"/>
        <v>92.32</v>
      </c>
      <c r="G1838" s="5">
        <f t="shared" si="124"/>
        <v>0.37786509495743287</v>
      </c>
      <c r="H1838" s="2" t="s">
        <v>1302</v>
      </c>
      <c r="I1838" s="6" t="s">
        <v>25</v>
      </c>
      <c r="J1838" s="2" t="s">
        <v>1303</v>
      </c>
      <c r="K1838" s="2" t="s">
        <v>1304</v>
      </c>
      <c r="L1838" s="2" t="s">
        <v>28</v>
      </c>
      <c r="M1838" s="2" t="s">
        <v>5</v>
      </c>
      <c r="N1838" s="4">
        <v>24864.31</v>
      </c>
    </row>
    <row r="1839" spans="1:14" x14ac:dyDescent="0.25">
      <c r="A1839" s="2" t="s">
        <v>1315</v>
      </c>
      <c r="B1839" s="2" t="s">
        <v>1316</v>
      </c>
      <c r="C1839" s="3">
        <v>64.3</v>
      </c>
      <c r="D1839" s="4">
        <v>1135.538</v>
      </c>
      <c r="E1839" s="4">
        <v>559.41</v>
      </c>
      <c r="F1839" s="4">
        <f t="shared" si="123"/>
        <v>576.12800000000004</v>
      </c>
      <c r="G1839" s="5">
        <f t="shared" si="124"/>
        <v>0.50736126840317108</v>
      </c>
      <c r="H1839" s="2" t="s">
        <v>1302</v>
      </c>
      <c r="I1839" s="6" t="s">
        <v>25</v>
      </c>
      <c r="J1839" s="2" t="s">
        <v>1303</v>
      </c>
      <c r="K1839" s="2" t="s">
        <v>1304</v>
      </c>
      <c r="L1839" s="2" t="s">
        <v>28</v>
      </c>
      <c r="M1839" s="2" t="s">
        <v>5</v>
      </c>
      <c r="N1839" s="4">
        <v>24864.31</v>
      </c>
    </row>
    <row r="1840" spans="1:14" x14ac:dyDescent="0.25">
      <c r="A1840" s="2" t="s">
        <v>1317</v>
      </c>
      <c r="B1840" s="2" t="s">
        <v>1318</v>
      </c>
      <c r="C1840" s="3">
        <v>12.72</v>
      </c>
      <c r="D1840" s="4">
        <v>233.66640000000001</v>
      </c>
      <c r="E1840" s="4">
        <v>138.648</v>
      </c>
      <c r="F1840" s="4">
        <f t="shared" si="123"/>
        <v>95.018400000000014</v>
      </c>
      <c r="G1840" s="5">
        <f t="shared" si="124"/>
        <v>0.40664126292868813</v>
      </c>
      <c r="H1840" s="2" t="s">
        <v>1302</v>
      </c>
      <c r="I1840" s="6" t="s">
        <v>25</v>
      </c>
      <c r="J1840" s="2" t="s">
        <v>1303</v>
      </c>
      <c r="K1840" s="2" t="s">
        <v>1304</v>
      </c>
      <c r="L1840" s="2" t="s">
        <v>28</v>
      </c>
      <c r="M1840" s="2" t="s">
        <v>5</v>
      </c>
      <c r="N1840" s="4">
        <v>24864.31</v>
      </c>
    </row>
    <row r="1841" spans="1:14" x14ac:dyDescent="0.25">
      <c r="A1841" s="2" t="s">
        <v>294</v>
      </c>
      <c r="B1841" s="2" t="s">
        <v>295</v>
      </c>
      <c r="C1841" s="3">
        <v>15.52</v>
      </c>
      <c r="D1841" s="4">
        <v>252.2</v>
      </c>
      <c r="E1841" s="4">
        <v>125.712</v>
      </c>
      <c r="F1841" s="4">
        <f t="shared" si="123"/>
        <v>126.48799999999999</v>
      </c>
      <c r="G1841" s="5">
        <f t="shared" si="124"/>
        <v>0.50153846153846149</v>
      </c>
      <c r="H1841" s="2" t="s">
        <v>1302</v>
      </c>
      <c r="I1841" s="6" t="s">
        <v>25</v>
      </c>
      <c r="J1841" s="2" t="s">
        <v>1303</v>
      </c>
      <c r="K1841" s="2" t="s">
        <v>1304</v>
      </c>
      <c r="L1841" s="2" t="s">
        <v>28</v>
      </c>
      <c r="M1841" s="2" t="s">
        <v>5</v>
      </c>
      <c r="N1841" s="4">
        <v>24864.31</v>
      </c>
    </row>
    <row r="1842" spans="1:14" x14ac:dyDescent="0.25">
      <c r="A1842" s="2" t="s">
        <v>854</v>
      </c>
      <c r="B1842" s="2" t="s">
        <v>855</v>
      </c>
      <c r="C1842" s="3">
        <v>29.85</v>
      </c>
      <c r="D1842" s="4">
        <v>526.85249999999996</v>
      </c>
      <c r="E1842" s="4">
        <v>283.57499999999999</v>
      </c>
      <c r="F1842" s="4">
        <f t="shared" si="123"/>
        <v>243.27749999999997</v>
      </c>
      <c r="G1842" s="5">
        <f t="shared" si="124"/>
        <v>0.46175637393767704</v>
      </c>
      <c r="H1842" s="2" t="s">
        <v>1302</v>
      </c>
      <c r="I1842" s="6" t="s">
        <v>25</v>
      </c>
      <c r="J1842" s="2" t="s">
        <v>1303</v>
      </c>
      <c r="K1842" s="2" t="s">
        <v>1304</v>
      </c>
      <c r="L1842" s="2" t="s">
        <v>28</v>
      </c>
      <c r="M1842" s="2" t="s">
        <v>5</v>
      </c>
      <c r="N1842" s="4">
        <v>24864.31</v>
      </c>
    </row>
    <row r="1843" spans="1:14" x14ac:dyDescent="0.25">
      <c r="A1843" s="2" t="s">
        <v>296</v>
      </c>
      <c r="B1843" s="2" t="s">
        <v>297</v>
      </c>
      <c r="C1843" s="3">
        <v>86.45</v>
      </c>
      <c r="D1843" s="4">
        <v>1001.9555</v>
      </c>
      <c r="E1843" s="4">
        <v>631.08500000000004</v>
      </c>
      <c r="F1843" s="4">
        <f t="shared" si="123"/>
        <v>370.87049999999999</v>
      </c>
      <c r="G1843" s="5">
        <f t="shared" si="124"/>
        <v>0.37014667817083691</v>
      </c>
      <c r="H1843" s="2" t="s">
        <v>1302</v>
      </c>
      <c r="I1843" s="6" t="s">
        <v>25</v>
      </c>
      <c r="J1843" s="2" t="s">
        <v>1303</v>
      </c>
      <c r="K1843" s="2" t="s">
        <v>1304</v>
      </c>
      <c r="L1843" s="2" t="s">
        <v>28</v>
      </c>
      <c r="M1843" s="2" t="s">
        <v>5</v>
      </c>
      <c r="N1843" s="4">
        <v>24864.31</v>
      </c>
    </row>
    <row r="1844" spans="1:14" x14ac:dyDescent="0.25">
      <c r="A1844" s="2" t="s">
        <v>1319</v>
      </c>
      <c r="B1844" s="2" t="s">
        <v>1320</v>
      </c>
      <c r="C1844" s="3">
        <v>55.23</v>
      </c>
      <c r="D1844" s="4">
        <v>674.35829999999999</v>
      </c>
      <c r="E1844" s="4">
        <v>392.13299999999998</v>
      </c>
      <c r="F1844" s="4">
        <f t="shared" si="123"/>
        <v>282.2253</v>
      </c>
      <c r="G1844" s="5">
        <f t="shared" si="124"/>
        <v>0.41850941850941853</v>
      </c>
      <c r="H1844" s="2" t="s">
        <v>1302</v>
      </c>
      <c r="I1844" s="6" t="s">
        <v>25</v>
      </c>
      <c r="J1844" s="2" t="s">
        <v>1303</v>
      </c>
      <c r="K1844" s="2" t="s">
        <v>1304</v>
      </c>
      <c r="L1844" s="2" t="s">
        <v>28</v>
      </c>
      <c r="M1844" s="2" t="s">
        <v>5</v>
      </c>
      <c r="N1844" s="4">
        <v>24864.31</v>
      </c>
    </row>
    <row r="1845" spans="1:14" x14ac:dyDescent="0.25">
      <c r="A1845" s="2" t="s">
        <v>298</v>
      </c>
      <c r="B1845" s="2" t="s">
        <v>299</v>
      </c>
      <c r="C1845" s="3">
        <v>48.16</v>
      </c>
      <c r="D1845" s="4">
        <v>588.03359999999998</v>
      </c>
      <c r="E1845" s="4">
        <v>351.56799999999998</v>
      </c>
      <c r="F1845" s="4">
        <f t="shared" si="123"/>
        <v>236.46559999999999</v>
      </c>
      <c r="G1845" s="5">
        <f t="shared" si="124"/>
        <v>0.40212940212940212</v>
      </c>
      <c r="H1845" s="2" t="s">
        <v>1302</v>
      </c>
      <c r="I1845" s="6" t="s">
        <v>25</v>
      </c>
      <c r="J1845" s="2" t="s">
        <v>1303</v>
      </c>
      <c r="K1845" s="2" t="s">
        <v>1304</v>
      </c>
      <c r="L1845" s="2" t="s">
        <v>28</v>
      </c>
      <c r="M1845" s="2" t="s">
        <v>5</v>
      </c>
      <c r="N1845" s="4">
        <v>24864.31</v>
      </c>
    </row>
    <row r="1846" spans="1:14" x14ac:dyDescent="0.25">
      <c r="A1846" s="2" t="s">
        <v>300</v>
      </c>
      <c r="B1846" s="2" t="s">
        <v>301</v>
      </c>
      <c r="C1846" s="3">
        <v>29.585000000000001</v>
      </c>
      <c r="D1846" s="4">
        <v>301.47115000000002</v>
      </c>
      <c r="E1846" s="4">
        <v>210.05350000000001</v>
      </c>
      <c r="F1846" s="4">
        <f t="shared" si="123"/>
        <v>91.417650000000009</v>
      </c>
      <c r="G1846" s="5">
        <f t="shared" si="124"/>
        <v>0.30323846908734053</v>
      </c>
      <c r="H1846" s="2" t="s">
        <v>1302</v>
      </c>
      <c r="I1846" s="6" t="s">
        <v>25</v>
      </c>
      <c r="J1846" s="2" t="s">
        <v>1303</v>
      </c>
      <c r="K1846" s="2" t="s">
        <v>1304</v>
      </c>
      <c r="L1846" s="2" t="s">
        <v>28</v>
      </c>
      <c r="M1846" s="2" t="s">
        <v>5</v>
      </c>
      <c r="N1846" s="4">
        <v>24864.31</v>
      </c>
    </row>
    <row r="1847" spans="1:14" x14ac:dyDescent="0.25">
      <c r="A1847" s="2" t="s">
        <v>858</v>
      </c>
      <c r="B1847" s="2" t="s">
        <v>859</v>
      </c>
      <c r="C1847" s="3">
        <v>5</v>
      </c>
      <c r="D1847" s="4">
        <v>138.44999999999999</v>
      </c>
      <c r="E1847" s="4">
        <v>76.25</v>
      </c>
      <c r="F1847" s="4">
        <f t="shared" si="123"/>
        <v>62.199999999999989</v>
      </c>
      <c r="G1847" s="5">
        <f t="shared" si="124"/>
        <v>0.44925966052726612</v>
      </c>
      <c r="H1847" s="2" t="s">
        <v>1302</v>
      </c>
      <c r="I1847" s="6" t="s">
        <v>25</v>
      </c>
      <c r="J1847" s="2" t="s">
        <v>1303</v>
      </c>
      <c r="K1847" s="2" t="s">
        <v>1304</v>
      </c>
      <c r="L1847" s="2" t="s">
        <v>28</v>
      </c>
      <c r="M1847" s="2" t="s">
        <v>5</v>
      </c>
      <c r="N1847" s="4">
        <v>24864.31</v>
      </c>
    </row>
    <row r="1848" spans="1:14" x14ac:dyDescent="0.25">
      <c r="A1848" s="2" t="s">
        <v>1321</v>
      </c>
      <c r="B1848" s="2" t="s">
        <v>1322</v>
      </c>
      <c r="C1848" s="3">
        <v>8.1750000000000007</v>
      </c>
      <c r="D1848" s="4">
        <v>98.754000000000005</v>
      </c>
      <c r="E1848" s="4">
        <v>58.042499999999997</v>
      </c>
      <c r="F1848" s="4">
        <f t="shared" si="123"/>
        <v>40.711500000000008</v>
      </c>
      <c r="G1848" s="5">
        <f t="shared" si="124"/>
        <v>0.41225165562913912</v>
      </c>
      <c r="H1848" s="2" t="s">
        <v>1302</v>
      </c>
      <c r="I1848" s="6" t="s">
        <v>25</v>
      </c>
      <c r="J1848" s="2" t="s">
        <v>1303</v>
      </c>
      <c r="K1848" s="2" t="s">
        <v>1304</v>
      </c>
      <c r="L1848" s="2" t="s">
        <v>28</v>
      </c>
      <c r="M1848" s="2" t="s">
        <v>5</v>
      </c>
      <c r="N1848" s="4">
        <v>24864.31</v>
      </c>
    </row>
    <row r="1849" spans="1:14" x14ac:dyDescent="0.25">
      <c r="A1849" s="2" t="s">
        <v>1323</v>
      </c>
      <c r="B1849" s="2" t="s">
        <v>1324</v>
      </c>
      <c r="C1849" s="3">
        <v>59.755000000000003</v>
      </c>
      <c r="D1849" s="4">
        <v>2133.8510500000002</v>
      </c>
      <c r="E1849" s="4">
        <v>941.14125000000001</v>
      </c>
      <c r="F1849" s="4">
        <f t="shared" si="123"/>
        <v>1192.7098000000001</v>
      </c>
      <c r="G1849" s="5">
        <f t="shared" si="124"/>
        <v>0.55894707364883789</v>
      </c>
      <c r="H1849" s="2" t="s">
        <v>1302</v>
      </c>
      <c r="I1849" s="6" t="s">
        <v>25</v>
      </c>
      <c r="J1849" s="2" t="s">
        <v>1303</v>
      </c>
      <c r="K1849" s="2" t="s">
        <v>1304</v>
      </c>
      <c r="L1849" s="2" t="s">
        <v>28</v>
      </c>
      <c r="M1849" s="2" t="s">
        <v>5</v>
      </c>
      <c r="N1849" s="4">
        <v>24864.31</v>
      </c>
    </row>
    <row r="1850" spans="1:14" x14ac:dyDescent="0.25">
      <c r="A1850" s="2" t="s">
        <v>772</v>
      </c>
      <c r="B1850" s="2" t="s">
        <v>773</v>
      </c>
      <c r="C1850" s="3">
        <v>62.9</v>
      </c>
      <c r="D1850" s="4">
        <v>937.21</v>
      </c>
      <c r="E1850" s="4">
        <v>534.65</v>
      </c>
      <c r="F1850" s="4">
        <f t="shared" si="123"/>
        <v>402.56000000000006</v>
      </c>
      <c r="G1850" s="5">
        <f t="shared" si="124"/>
        <v>0.42953020134228193</v>
      </c>
      <c r="H1850" s="2" t="s">
        <v>1302</v>
      </c>
      <c r="I1850" s="6" t="s">
        <v>25</v>
      </c>
      <c r="J1850" s="2" t="s">
        <v>1303</v>
      </c>
      <c r="K1850" s="2" t="s">
        <v>1304</v>
      </c>
      <c r="L1850" s="2" t="s">
        <v>28</v>
      </c>
      <c r="M1850" s="2" t="s">
        <v>5</v>
      </c>
      <c r="N1850" s="4">
        <v>24864.31</v>
      </c>
    </row>
    <row r="1851" spans="1:14" x14ac:dyDescent="0.25">
      <c r="A1851" s="2" t="s">
        <v>304</v>
      </c>
      <c r="B1851" s="2" t="s">
        <v>305</v>
      </c>
      <c r="C1851" s="3">
        <v>28</v>
      </c>
      <c r="D1851" s="4">
        <v>324.52</v>
      </c>
      <c r="E1851" s="4">
        <v>224</v>
      </c>
      <c r="F1851" s="4">
        <f t="shared" si="123"/>
        <v>100.51999999999998</v>
      </c>
      <c r="G1851" s="5">
        <f t="shared" si="124"/>
        <v>0.30974978429680755</v>
      </c>
      <c r="H1851" s="2" t="s">
        <v>1302</v>
      </c>
      <c r="I1851" s="6" t="s">
        <v>25</v>
      </c>
      <c r="J1851" s="2" t="s">
        <v>1303</v>
      </c>
      <c r="K1851" s="2" t="s">
        <v>1304</v>
      </c>
      <c r="L1851" s="2" t="s">
        <v>28</v>
      </c>
      <c r="M1851" s="2" t="s">
        <v>5</v>
      </c>
      <c r="N1851" s="4">
        <v>24864.31</v>
      </c>
    </row>
    <row r="1853" spans="1:14" x14ac:dyDescent="0.25">
      <c r="A1853" s="13" t="s">
        <v>59</v>
      </c>
      <c r="B1853" s="21"/>
      <c r="C1853" s="22">
        <f>SUM(C1810:C1852)</f>
        <v>1491.3600000000001</v>
      </c>
      <c r="D1853" s="23">
        <f>SUM(D1810:D1852)</f>
        <v>24864.305050000003</v>
      </c>
      <c r="E1853" s="23">
        <f>SUM(E1810:E1852)</f>
        <v>13971.569649999996</v>
      </c>
      <c r="F1853" s="23">
        <f>D1853-E1853</f>
        <v>10892.735400000007</v>
      </c>
      <c r="G1853" s="24">
        <f>IF(((D1853)=0),0,(D1853-E1853)/ D1853)</f>
        <v>0.43808726518177937</v>
      </c>
      <c r="H1853" s="21"/>
      <c r="I1853" s="21"/>
      <c r="J1853" s="21"/>
      <c r="K1853" s="21"/>
      <c r="L1853" s="21"/>
      <c r="M1853" s="21"/>
      <c r="N1853" s="21"/>
    </row>
    <row r="1855" spans="1:14" s="17" customFormat="1" ht="18.75" x14ac:dyDescent="0.3"/>
    <row r="1856" spans="1:14" s="7" customFormat="1" x14ac:dyDescent="0.25">
      <c r="A1856" s="13" t="s">
        <v>1325</v>
      </c>
      <c r="B1856" s="18" t="s">
        <v>1326</v>
      </c>
      <c r="C1856" s="19"/>
      <c r="D1856" s="20" t="s">
        <v>5</v>
      </c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</row>
    <row r="1858" spans="1:14" x14ac:dyDescent="0.25">
      <c r="A1858" s="2" t="s">
        <v>260</v>
      </c>
      <c r="B1858" s="2" t="s">
        <v>261</v>
      </c>
      <c r="C1858" s="3">
        <v>60</v>
      </c>
      <c r="D1858" s="4">
        <v>1058.4000000000001</v>
      </c>
      <c r="E1858" s="4">
        <v>600</v>
      </c>
      <c r="F1858" s="4">
        <f t="shared" ref="F1858:F1879" si="125">D1858-E1858</f>
        <v>458.40000000000009</v>
      </c>
      <c r="G1858" s="5">
        <f t="shared" ref="G1858:G1879" si="126">IF(((D1858)=0),0,(D1858-E1858)/ D1858)</f>
        <v>0.43310657596371888</v>
      </c>
      <c r="H1858" s="2" t="s">
        <v>1327</v>
      </c>
      <c r="I1858" s="6" t="s">
        <v>25</v>
      </c>
      <c r="J1858" s="2" t="s">
        <v>1328</v>
      </c>
      <c r="K1858" s="2" t="s">
        <v>1329</v>
      </c>
      <c r="L1858" s="2" t="s">
        <v>28</v>
      </c>
      <c r="M1858" s="2" t="s">
        <v>5</v>
      </c>
      <c r="N1858" s="4">
        <v>8741.07</v>
      </c>
    </row>
    <row r="1859" spans="1:14" x14ac:dyDescent="0.25">
      <c r="A1859" s="2" t="s">
        <v>270</v>
      </c>
      <c r="B1859" s="2" t="s">
        <v>271</v>
      </c>
      <c r="C1859" s="3">
        <v>29.96</v>
      </c>
      <c r="D1859" s="4">
        <v>528.79399999999998</v>
      </c>
      <c r="E1859" s="4">
        <v>329.56</v>
      </c>
      <c r="F1859" s="4">
        <f t="shared" si="125"/>
        <v>199.23399999999998</v>
      </c>
      <c r="G1859" s="5">
        <f t="shared" si="126"/>
        <v>0.37677053824362605</v>
      </c>
      <c r="H1859" s="2" t="s">
        <v>1327</v>
      </c>
      <c r="I1859" s="6" t="s">
        <v>25</v>
      </c>
      <c r="J1859" s="2" t="s">
        <v>1328</v>
      </c>
      <c r="K1859" s="2" t="s">
        <v>1329</v>
      </c>
      <c r="L1859" s="2" t="s">
        <v>28</v>
      </c>
      <c r="M1859" s="2" t="s">
        <v>5</v>
      </c>
      <c r="N1859" s="4">
        <v>8741.07</v>
      </c>
    </row>
    <row r="1860" spans="1:14" x14ac:dyDescent="0.25">
      <c r="A1860" s="2" t="s">
        <v>272</v>
      </c>
      <c r="B1860" s="2" t="s">
        <v>273</v>
      </c>
      <c r="C1860" s="3">
        <v>15.15</v>
      </c>
      <c r="D1860" s="4">
        <v>237.55199999999999</v>
      </c>
      <c r="E1860" s="4">
        <v>184.83</v>
      </c>
      <c r="F1860" s="4">
        <f t="shared" si="125"/>
        <v>52.72199999999998</v>
      </c>
      <c r="G1860" s="5">
        <f t="shared" si="126"/>
        <v>0.22193877551020399</v>
      </c>
      <c r="H1860" s="2" t="s">
        <v>1327</v>
      </c>
      <c r="I1860" s="6" t="s">
        <v>25</v>
      </c>
      <c r="J1860" s="2" t="s">
        <v>1328</v>
      </c>
      <c r="K1860" s="2" t="s">
        <v>1329</v>
      </c>
      <c r="L1860" s="2" t="s">
        <v>28</v>
      </c>
      <c r="M1860" s="2" t="s">
        <v>5</v>
      </c>
      <c r="N1860" s="4">
        <v>8741.07</v>
      </c>
    </row>
    <row r="1861" spans="1:14" x14ac:dyDescent="0.25">
      <c r="A1861" s="2" t="s">
        <v>850</v>
      </c>
      <c r="B1861" s="2" t="s">
        <v>851</v>
      </c>
      <c r="C1861" s="3">
        <v>24</v>
      </c>
      <c r="D1861" s="4">
        <v>188.88</v>
      </c>
      <c r="E1861" s="4">
        <v>114</v>
      </c>
      <c r="F1861" s="4">
        <f t="shared" si="125"/>
        <v>74.88</v>
      </c>
      <c r="G1861" s="5">
        <f t="shared" si="126"/>
        <v>0.39644218551461241</v>
      </c>
      <c r="H1861" s="2" t="s">
        <v>1327</v>
      </c>
      <c r="I1861" s="6" t="s">
        <v>25</v>
      </c>
      <c r="J1861" s="2" t="s">
        <v>1328</v>
      </c>
      <c r="K1861" s="2" t="s">
        <v>1329</v>
      </c>
      <c r="L1861" s="2" t="s">
        <v>28</v>
      </c>
      <c r="M1861" s="2" t="s">
        <v>5</v>
      </c>
      <c r="N1861" s="4">
        <v>8741.07</v>
      </c>
    </row>
    <row r="1862" spans="1:14" x14ac:dyDescent="0.25">
      <c r="A1862" s="2" t="s">
        <v>276</v>
      </c>
      <c r="B1862" s="2" t="s">
        <v>277</v>
      </c>
      <c r="C1862" s="3">
        <v>15.12</v>
      </c>
      <c r="D1862" s="4">
        <v>261.27359999999999</v>
      </c>
      <c r="E1862" s="4">
        <v>75.599999999999994</v>
      </c>
      <c r="F1862" s="4">
        <f t="shared" si="125"/>
        <v>185.67359999999999</v>
      </c>
      <c r="G1862" s="5">
        <f t="shared" si="126"/>
        <v>0.71064814814814814</v>
      </c>
      <c r="H1862" s="2" t="s">
        <v>1327</v>
      </c>
      <c r="I1862" s="6" t="s">
        <v>25</v>
      </c>
      <c r="J1862" s="2" t="s">
        <v>1328</v>
      </c>
      <c r="K1862" s="2" t="s">
        <v>1329</v>
      </c>
      <c r="L1862" s="2" t="s">
        <v>28</v>
      </c>
      <c r="M1862" s="2" t="s">
        <v>5</v>
      </c>
      <c r="N1862" s="4">
        <v>8741.07</v>
      </c>
    </row>
    <row r="1863" spans="1:14" x14ac:dyDescent="0.25">
      <c r="A1863" s="2" t="s">
        <v>278</v>
      </c>
      <c r="B1863" s="2" t="s">
        <v>279</v>
      </c>
      <c r="C1863" s="3">
        <v>31.02</v>
      </c>
      <c r="D1863" s="4">
        <v>208.7646</v>
      </c>
      <c r="E1863" s="4">
        <v>111.672</v>
      </c>
      <c r="F1863" s="4">
        <f t="shared" si="125"/>
        <v>97.092600000000004</v>
      </c>
      <c r="G1863" s="5">
        <f t="shared" si="126"/>
        <v>0.46508172362555722</v>
      </c>
      <c r="H1863" s="2" t="s">
        <v>1327</v>
      </c>
      <c r="I1863" s="6" t="s">
        <v>25</v>
      </c>
      <c r="J1863" s="2" t="s">
        <v>1328</v>
      </c>
      <c r="K1863" s="2" t="s">
        <v>1329</v>
      </c>
      <c r="L1863" s="2" t="s">
        <v>28</v>
      </c>
      <c r="M1863" s="2" t="s">
        <v>5</v>
      </c>
      <c r="N1863" s="4">
        <v>8741.07</v>
      </c>
    </row>
    <row r="1864" spans="1:14" x14ac:dyDescent="0.25">
      <c r="A1864" s="2" t="s">
        <v>280</v>
      </c>
      <c r="B1864" s="2" t="s">
        <v>281</v>
      </c>
      <c r="C1864" s="3">
        <v>58.29</v>
      </c>
      <c r="D1864" s="4">
        <v>947.21249999999998</v>
      </c>
      <c r="E1864" s="4">
        <v>402.20100000000002</v>
      </c>
      <c r="F1864" s="4">
        <f t="shared" si="125"/>
        <v>545.01149999999996</v>
      </c>
      <c r="G1864" s="5">
        <f t="shared" si="126"/>
        <v>0.57538461538461538</v>
      </c>
      <c r="H1864" s="2" t="s">
        <v>1327</v>
      </c>
      <c r="I1864" s="6" t="s">
        <v>25</v>
      </c>
      <c r="J1864" s="2" t="s">
        <v>1328</v>
      </c>
      <c r="K1864" s="2" t="s">
        <v>1329</v>
      </c>
      <c r="L1864" s="2" t="s">
        <v>28</v>
      </c>
      <c r="M1864" s="2" t="s">
        <v>5</v>
      </c>
      <c r="N1864" s="4">
        <v>8741.07</v>
      </c>
    </row>
    <row r="1865" spans="1:14" x14ac:dyDescent="0.25">
      <c r="A1865" s="2" t="s">
        <v>282</v>
      </c>
      <c r="B1865" s="2" t="s">
        <v>283</v>
      </c>
      <c r="C1865" s="3">
        <v>10</v>
      </c>
      <c r="D1865" s="4">
        <v>108.7</v>
      </c>
      <c r="E1865" s="4">
        <v>59.9</v>
      </c>
      <c r="F1865" s="4">
        <f t="shared" si="125"/>
        <v>48.800000000000004</v>
      </c>
      <c r="G1865" s="5">
        <f t="shared" si="126"/>
        <v>0.44894204231830731</v>
      </c>
      <c r="H1865" s="2" t="s">
        <v>1327</v>
      </c>
      <c r="I1865" s="6" t="s">
        <v>25</v>
      </c>
      <c r="J1865" s="2" t="s">
        <v>1328</v>
      </c>
      <c r="K1865" s="2" t="s">
        <v>1329</v>
      </c>
      <c r="L1865" s="2" t="s">
        <v>28</v>
      </c>
      <c r="M1865" s="2" t="s">
        <v>5</v>
      </c>
      <c r="N1865" s="4">
        <v>8741.07</v>
      </c>
    </row>
    <row r="1866" spans="1:14" x14ac:dyDescent="0.25">
      <c r="A1866" s="2" t="s">
        <v>1330</v>
      </c>
      <c r="B1866" s="2" t="s">
        <v>1331</v>
      </c>
      <c r="C1866" s="3">
        <v>15.01</v>
      </c>
      <c r="D1866" s="4">
        <v>173.9659</v>
      </c>
      <c r="E1866" s="4">
        <v>109.57299999999999</v>
      </c>
      <c r="F1866" s="4">
        <f t="shared" si="125"/>
        <v>64.392900000000012</v>
      </c>
      <c r="G1866" s="5">
        <f t="shared" si="126"/>
        <v>0.37014667817083696</v>
      </c>
      <c r="H1866" s="2" t="s">
        <v>1327</v>
      </c>
      <c r="I1866" s="6" t="s">
        <v>25</v>
      </c>
      <c r="J1866" s="2" t="s">
        <v>1328</v>
      </c>
      <c r="K1866" s="2" t="s">
        <v>1329</v>
      </c>
      <c r="L1866" s="2" t="s">
        <v>28</v>
      </c>
      <c r="M1866" s="2" t="s">
        <v>5</v>
      </c>
      <c r="N1866" s="4">
        <v>8741.07</v>
      </c>
    </row>
    <row r="1867" spans="1:14" x14ac:dyDescent="0.25">
      <c r="A1867" s="2" t="s">
        <v>1332</v>
      </c>
      <c r="B1867" s="2" t="s">
        <v>1333</v>
      </c>
      <c r="C1867" s="3">
        <v>36</v>
      </c>
      <c r="D1867" s="4">
        <v>555.12</v>
      </c>
      <c r="E1867" s="4">
        <v>262.8</v>
      </c>
      <c r="F1867" s="4">
        <f t="shared" si="125"/>
        <v>292.32</v>
      </c>
      <c r="G1867" s="5">
        <f t="shared" si="126"/>
        <v>0.52658884565499353</v>
      </c>
      <c r="H1867" s="2" t="s">
        <v>1327</v>
      </c>
      <c r="I1867" s="6" t="s">
        <v>25</v>
      </c>
      <c r="J1867" s="2" t="s">
        <v>1328</v>
      </c>
      <c r="K1867" s="2" t="s">
        <v>1329</v>
      </c>
      <c r="L1867" s="2" t="s">
        <v>28</v>
      </c>
      <c r="M1867" s="2" t="s">
        <v>5</v>
      </c>
      <c r="N1867" s="4">
        <v>8741.07</v>
      </c>
    </row>
    <row r="1868" spans="1:14" x14ac:dyDescent="0.25">
      <c r="A1868" s="2" t="s">
        <v>286</v>
      </c>
      <c r="B1868" s="2" t="s">
        <v>287</v>
      </c>
      <c r="C1868" s="3">
        <v>12.022</v>
      </c>
      <c r="D1868" s="4">
        <v>169.87085999999999</v>
      </c>
      <c r="E1868" s="4">
        <v>99.662379999999999</v>
      </c>
      <c r="F1868" s="4">
        <f t="shared" si="125"/>
        <v>70.208479999999994</v>
      </c>
      <c r="G1868" s="5">
        <f t="shared" si="126"/>
        <v>0.41330502476999292</v>
      </c>
      <c r="H1868" s="2" t="s">
        <v>1327</v>
      </c>
      <c r="I1868" s="6" t="s">
        <v>25</v>
      </c>
      <c r="J1868" s="2" t="s">
        <v>1328</v>
      </c>
      <c r="K1868" s="2" t="s">
        <v>1329</v>
      </c>
      <c r="L1868" s="2" t="s">
        <v>28</v>
      </c>
      <c r="M1868" s="2" t="s">
        <v>5</v>
      </c>
      <c r="N1868" s="4">
        <v>8741.07</v>
      </c>
    </row>
    <row r="1869" spans="1:14" x14ac:dyDescent="0.25">
      <c r="A1869" s="2" t="s">
        <v>884</v>
      </c>
      <c r="B1869" s="2" t="s">
        <v>885</v>
      </c>
      <c r="C1869" s="3">
        <v>5</v>
      </c>
      <c r="D1869" s="4">
        <v>71.2</v>
      </c>
      <c r="E1869" s="4">
        <v>39.35</v>
      </c>
      <c r="F1869" s="4">
        <f t="shared" si="125"/>
        <v>31.85</v>
      </c>
      <c r="G1869" s="5">
        <f t="shared" si="126"/>
        <v>0.4473314606741573</v>
      </c>
      <c r="H1869" s="2" t="s">
        <v>1327</v>
      </c>
      <c r="I1869" s="6" t="s">
        <v>25</v>
      </c>
      <c r="J1869" s="2" t="s">
        <v>1328</v>
      </c>
      <c r="K1869" s="2" t="s">
        <v>1329</v>
      </c>
      <c r="L1869" s="2" t="s">
        <v>28</v>
      </c>
      <c r="M1869" s="2" t="s">
        <v>5</v>
      </c>
      <c r="N1869" s="4">
        <v>8741.07</v>
      </c>
    </row>
    <row r="1870" spans="1:14" x14ac:dyDescent="0.25">
      <c r="A1870" s="2" t="s">
        <v>290</v>
      </c>
      <c r="B1870" s="2" t="s">
        <v>291</v>
      </c>
      <c r="C1870" s="3">
        <v>16</v>
      </c>
      <c r="D1870" s="4">
        <v>370.08</v>
      </c>
      <c r="E1870" s="4">
        <v>260</v>
      </c>
      <c r="F1870" s="4">
        <f t="shared" si="125"/>
        <v>110.07999999999998</v>
      </c>
      <c r="G1870" s="5">
        <f t="shared" si="126"/>
        <v>0.29744920017293552</v>
      </c>
      <c r="H1870" s="2" t="s">
        <v>1327</v>
      </c>
      <c r="I1870" s="6" t="s">
        <v>25</v>
      </c>
      <c r="J1870" s="2" t="s">
        <v>1328</v>
      </c>
      <c r="K1870" s="2" t="s">
        <v>1329</v>
      </c>
      <c r="L1870" s="2" t="s">
        <v>28</v>
      </c>
      <c r="M1870" s="2" t="s">
        <v>5</v>
      </c>
      <c r="N1870" s="4">
        <v>8741.07</v>
      </c>
    </row>
    <row r="1871" spans="1:14" x14ac:dyDescent="0.25">
      <c r="A1871" s="2" t="s">
        <v>292</v>
      </c>
      <c r="B1871" s="2" t="s">
        <v>293</v>
      </c>
      <c r="C1871" s="3">
        <v>26.35</v>
      </c>
      <c r="D1871" s="4">
        <v>537.27650000000006</v>
      </c>
      <c r="E1871" s="4">
        <v>434.77499999999998</v>
      </c>
      <c r="F1871" s="4">
        <f t="shared" si="125"/>
        <v>102.50150000000008</v>
      </c>
      <c r="G1871" s="5">
        <f t="shared" si="126"/>
        <v>0.19077979401667497</v>
      </c>
      <c r="H1871" s="2" t="s">
        <v>1327</v>
      </c>
      <c r="I1871" s="6" t="s">
        <v>25</v>
      </c>
      <c r="J1871" s="2" t="s">
        <v>1328</v>
      </c>
      <c r="K1871" s="2" t="s">
        <v>1329</v>
      </c>
      <c r="L1871" s="2" t="s">
        <v>28</v>
      </c>
      <c r="M1871" s="2" t="s">
        <v>5</v>
      </c>
      <c r="N1871" s="4">
        <v>8741.07</v>
      </c>
    </row>
    <row r="1872" spans="1:14" x14ac:dyDescent="0.25">
      <c r="A1872" s="2" t="s">
        <v>1317</v>
      </c>
      <c r="B1872" s="2" t="s">
        <v>1318</v>
      </c>
      <c r="C1872" s="3">
        <v>26.12</v>
      </c>
      <c r="D1872" s="4">
        <v>479.82440000000003</v>
      </c>
      <c r="E1872" s="4">
        <v>284.70800000000003</v>
      </c>
      <c r="F1872" s="4">
        <f t="shared" si="125"/>
        <v>195.1164</v>
      </c>
      <c r="G1872" s="5">
        <f t="shared" si="126"/>
        <v>0.40664126292868807</v>
      </c>
      <c r="H1872" s="2" t="s">
        <v>1327</v>
      </c>
      <c r="I1872" s="6" t="s">
        <v>25</v>
      </c>
      <c r="J1872" s="2" t="s">
        <v>1328</v>
      </c>
      <c r="K1872" s="2" t="s">
        <v>1329</v>
      </c>
      <c r="L1872" s="2" t="s">
        <v>28</v>
      </c>
      <c r="M1872" s="2" t="s">
        <v>5</v>
      </c>
      <c r="N1872" s="4">
        <v>8741.07</v>
      </c>
    </row>
    <row r="1873" spans="1:14" x14ac:dyDescent="0.25">
      <c r="A1873" s="2" t="s">
        <v>294</v>
      </c>
      <c r="B1873" s="2" t="s">
        <v>295</v>
      </c>
      <c r="C1873" s="3">
        <v>15.07</v>
      </c>
      <c r="D1873" s="4">
        <v>244.88749999999999</v>
      </c>
      <c r="E1873" s="4">
        <v>122.06699999999999</v>
      </c>
      <c r="F1873" s="4">
        <f t="shared" si="125"/>
        <v>122.8205</v>
      </c>
      <c r="G1873" s="5">
        <f t="shared" si="126"/>
        <v>0.50153846153846149</v>
      </c>
      <c r="H1873" s="2" t="s">
        <v>1327</v>
      </c>
      <c r="I1873" s="6" t="s">
        <v>25</v>
      </c>
      <c r="J1873" s="2" t="s">
        <v>1328</v>
      </c>
      <c r="K1873" s="2" t="s">
        <v>1329</v>
      </c>
      <c r="L1873" s="2" t="s">
        <v>28</v>
      </c>
      <c r="M1873" s="2" t="s">
        <v>5</v>
      </c>
      <c r="N1873" s="4">
        <v>8741.07</v>
      </c>
    </row>
    <row r="1874" spans="1:14" x14ac:dyDescent="0.25">
      <c r="A1874" s="2" t="s">
        <v>854</v>
      </c>
      <c r="B1874" s="2" t="s">
        <v>855</v>
      </c>
      <c r="C1874" s="3">
        <v>18.05</v>
      </c>
      <c r="D1874" s="4">
        <v>318.58249999999998</v>
      </c>
      <c r="E1874" s="4">
        <v>171.47499999999999</v>
      </c>
      <c r="F1874" s="4">
        <f t="shared" si="125"/>
        <v>147.10749999999999</v>
      </c>
      <c r="G1874" s="5">
        <f t="shared" si="126"/>
        <v>0.46175637393767704</v>
      </c>
      <c r="H1874" s="2" t="s">
        <v>1327</v>
      </c>
      <c r="I1874" s="6" t="s">
        <v>25</v>
      </c>
      <c r="J1874" s="2" t="s">
        <v>1328</v>
      </c>
      <c r="K1874" s="2" t="s">
        <v>1329</v>
      </c>
      <c r="L1874" s="2" t="s">
        <v>28</v>
      </c>
      <c r="M1874" s="2" t="s">
        <v>5</v>
      </c>
      <c r="N1874" s="4">
        <v>8741.07</v>
      </c>
    </row>
    <row r="1875" spans="1:14" x14ac:dyDescent="0.25">
      <c r="A1875" s="2" t="s">
        <v>298</v>
      </c>
      <c r="B1875" s="2" t="s">
        <v>299</v>
      </c>
      <c r="C1875" s="3">
        <v>32.54</v>
      </c>
      <c r="D1875" s="4">
        <v>397.3134</v>
      </c>
      <c r="E1875" s="4">
        <v>237.542</v>
      </c>
      <c r="F1875" s="4">
        <f t="shared" si="125"/>
        <v>159.7714</v>
      </c>
      <c r="G1875" s="5">
        <f t="shared" si="126"/>
        <v>0.40212940212940212</v>
      </c>
      <c r="H1875" s="2" t="s">
        <v>1327</v>
      </c>
      <c r="I1875" s="6" t="s">
        <v>25</v>
      </c>
      <c r="J1875" s="2" t="s">
        <v>1328</v>
      </c>
      <c r="K1875" s="2" t="s">
        <v>1329</v>
      </c>
      <c r="L1875" s="2" t="s">
        <v>28</v>
      </c>
      <c r="M1875" s="2" t="s">
        <v>5</v>
      </c>
      <c r="N1875" s="4">
        <v>8741.07</v>
      </c>
    </row>
    <row r="1876" spans="1:14" x14ac:dyDescent="0.25">
      <c r="A1876" s="2" t="s">
        <v>300</v>
      </c>
      <c r="B1876" s="2" t="s">
        <v>301</v>
      </c>
      <c r="C1876" s="3">
        <v>28.434999999999999</v>
      </c>
      <c r="D1876" s="4">
        <v>289.75265000000002</v>
      </c>
      <c r="E1876" s="4">
        <v>201.88849999999999</v>
      </c>
      <c r="F1876" s="4">
        <f t="shared" si="125"/>
        <v>87.864150000000024</v>
      </c>
      <c r="G1876" s="5">
        <f t="shared" si="126"/>
        <v>0.30323846908734059</v>
      </c>
      <c r="H1876" s="2" t="s">
        <v>1327</v>
      </c>
      <c r="I1876" s="6" t="s">
        <v>25</v>
      </c>
      <c r="J1876" s="2" t="s">
        <v>1328</v>
      </c>
      <c r="K1876" s="2" t="s">
        <v>1329</v>
      </c>
      <c r="L1876" s="2" t="s">
        <v>28</v>
      </c>
      <c r="M1876" s="2" t="s">
        <v>5</v>
      </c>
      <c r="N1876" s="4">
        <v>8741.07</v>
      </c>
    </row>
    <row r="1877" spans="1:14" x14ac:dyDescent="0.25">
      <c r="A1877" s="2" t="s">
        <v>858</v>
      </c>
      <c r="B1877" s="2" t="s">
        <v>859</v>
      </c>
      <c r="C1877" s="3">
        <v>8</v>
      </c>
      <c r="D1877" s="4">
        <v>221.52</v>
      </c>
      <c r="E1877" s="4">
        <v>122</v>
      </c>
      <c r="F1877" s="4">
        <f t="shared" si="125"/>
        <v>99.52000000000001</v>
      </c>
      <c r="G1877" s="5">
        <f t="shared" si="126"/>
        <v>0.44925966052726618</v>
      </c>
      <c r="H1877" s="2" t="s">
        <v>1327</v>
      </c>
      <c r="I1877" s="6" t="s">
        <v>25</v>
      </c>
      <c r="J1877" s="2" t="s">
        <v>1328</v>
      </c>
      <c r="K1877" s="2" t="s">
        <v>1329</v>
      </c>
      <c r="L1877" s="2" t="s">
        <v>28</v>
      </c>
      <c r="M1877" s="2" t="s">
        <v>5</v>
      </c>
      <c r="N1877" s="4">
        <v>8741.07</v>
      </c>
    </row>
    <row r="1878" spans="1:14" x14ac:dyDescent="0.25">
      <c r="A1878" s="2" t="s">
        <v>1323</v>
      </c>
      <c r="B1878" s="2" t="s">
        <v>1324</v>
      </c>
      <c r="C1878" s="3">
        <v>29.055</v>
      </c>
      <c r="D1878" s="4">
        <v>1037.55405</v>
      </c>
      <c r="E1878" s="4">
        <v>457.61624999999998</v>
      </c>
      <c r="F1878" s="4">
        <f t="shared" si="125"/>
        <v>579.93779999999992</v>
      </c>
      <c r="G1878" s="5">
        <f t="shared" si="126"/>
        <v>0.55894707364883778</v>
      </c>
      <c r="H1878" s="2" t="s">
        <v>1327</v>
      </c>
      <c r="I1878" s="6" t="s">
        <v>25</v>
      </c>
      <c r="J1878" s="2" t="s">
        <v>1328</v>
      </c>
      <c r="K1878" s="2" t="s">
        <v>1329</v>
      </c>
      <c r="L1878" s="2" t="s">
        <v>28</v>
      </c>
      <c r="M1878" s="2" t="s">
        <v>5</v>
      </c>
      <c r="N1878" s="4">
        <v>8741.07</v>
      </c>
    </row>
    <row r="1879" spans="1:14" x14ac:dyDescent="0.25">
      <c r="A1879" s="2" t="s">
        <v>306</v>
      </c>
      <c r="B1879" s="2" t="s">
        <v>307</v>
      </c>
      <c r="C1879" s="3">
        <v>28.864999999999998</v>
      </c>
      <c r="D1879" s="4">
        <v>334.54534999999998</v>
      </c>
      <c r="E1879" s="4">
        <v>274.21749999999997</v>
      </c>
      <c r="F1879" s="4">
        <f t="shared" si="125"/>
        <v>60.327850000000012</v>
      </c>
      <c r="G1879" s="5">
        <f t="shared" si="126"/>
        <v>0.18032786885245905</v>
      </c>
      <c r="H1879" s="2" t="s">
        <v>1327</v>
      </c>
      <c r="I1879" s="6" t="s">
        <v>25</v>
      </c>
      <c r="J1879" s="2" t="s">
        <v>1328</v>
      </c>
      <c r="K1879" s="2" t="s">
        <v>1329</v>
      </c>
      <c r="L1879" s="2" t="s">
        <v>28</v>
      </c>
      <c r="M1879" s="2" t="s">
        <v>5</v>
      </c>
      <c r="N1879" s="4">
        <v>8741.07</v>
      </c>
    </row>
    <row r="1881" spans="1:14" x14ac:dyDescent="0.25">
      <c r="A1881" s="13" t="s">
        <v>59</v>
      </c>
      <c r="B1881" s="21"/>
      <c r="C1881" s="22">
        <f>SUM(C1855:C1880)</f>
        <v>540.05700000000002</v>
      </c>
      <c r="D1881" s="23">
        <f>SUM(D1855:D1880)</f>
        <v>8741.0698100000009</v>
      </c>
      <c r="E1881" s="23">
        <f>SUM(E1855:E1880)</f>
        <v>4955.4376299999994</v>
      </c>
      <c r="F1881" s="23">
        <f>D1881-E1881</f>
        <v>3785.6321800000014</v>
      </c>
      <c r="G1881" s="24">
        <f>IF(((D1881)=0),0,(D1881-E1881)/ D1881)</f>
        <v>0.43308568199159608</v>
      </c>
      <c r="H1881" s="21"/>
      <c r="I1881" s="21"/>
      <c r="J1881" s="21"/>
      <c r="K1881" s="21"/>
      <c r="L1881" s="21"/>
      <c r="M1881" s="21"/>
      <c r="N1881" s="21"/>
    </row>
    <row r="1883" spans="1:14" s="17" customFormat="1" ht="18.75" x14ac:dyDescent="0.3"/>
    <row r="1884" spans="1:14" s="7" customFormat="1" x14ac:dyDescent="0.25">
      <c r="A1884" s="13" t="s">
        <v>1334</v>
      </c>
      <c r="B1884" s="18" t="s">
        <v>1335</v>
      </c>
      <c r="C1884" s="19"/>
      <c r="D1884" s="20" t="s">
        <v>5</v>
      </c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</row>
    <row r="1886" spans="1:14" x14ac:dyDescent="0.25">
      <c r="A1886" s="2" t="s">
        <v>634</v>
      </c>
      <c r="B1886" s="2" t="s">
        <v>635</v>
      </c>
      <c r="C1886" s="3">
        <v>3.044</v>
      </c>
      <c r="D1886" s="4">
        <v>49.982480000000002</v>
      </c>
      <c r="E1886" s="4">
        <v>38.049999999999997</v>
      </c>
      <c r="F1886" s="4">
        <f>D1886-E1886</f>
        <v>11.932480000000005</v>
      </c>
      <c r="G1886" s="5">
        <f>IF(((D1886)=0),0,(D1886-E1886)/ D1886)</f>
        <v>0.23873325213154697</v>
      </c>
      <c r="H1886" s="2" t="s">
        <v>1336</v>
      </c>
      <c r="I1886" s="6" t="s">
        <v>25</v>
      </c>
      <c r="J1886" s="2" t="s">
        <v>1337</v>
      </c>
      <c r="K1886" s="2" t="s">
        <v>5</v>
      </c>
      <c r="L1886" s="2" t="s">
        <v>28</v>
      </c>
      <c r="M1886" s="2" t="s">
        <v>5</v>
      </c>
      <c r="N1886" s="4">
        <v>0</v>
      </c>
    </row>
    <row r="1888" spans="1:14" x14ac:dyDescent="0.25">
      <c r="A1888" s="13" t="s">
        <v>59</v>
      </c>
      <c r="B1888" s="21"/>
      <c r="C1888" s="22">
        <f>SUM(C1883:C1887)</f>
        <v>3.044</v>
      </c>
      <c r="D1888" s="23">
        <f>SUM(D1883:D1887)</f>
        <v>49.982480000000002</v>
      </c>
      <c r="E1888" s="23">
        <f>SUM(E1883:E1887)</f>
        <v>38.049999999999997</v>
      </c>
      <c r="F1888" s="23">
        <f>D1888-E1888</f>
        <v>11.932480000000005</v>
      </c>
      <c r="G1888" s="24">
        <f>IF(((D1888)=0),0,(D1888-E1888)/ D1888)</f>
        <v>0.23873325213154697</v>
      </c>
      <c r="H1888" s="21"/>
      <c r="I1888" s="21"/>
      <c r="J1888" s="21"/>
      <c r="K1888" s="21"/>
      <c r="L1888" s="21"/>
      <c r="M1888" s="21"/>
      <c r="N1888" s="21"/>
    </row>
    <row r="1890" spans="1:14" s="17" customFormat="1" ht="18.75" x14ac:dyDescent="0.3"/>
    <row r="1891" spans="1:14" s="7" customFormat="1" x14ac:dyDescent="0.25">
      <c r="A1891" s="13" t="s">
        <v>1338</v>
      </c>
      <c r="B1891" s="18" t="s">
        <v>1339</v>
      </c>
      <c r="C1891" s="19"/>
      <c r="D1891" s="20" t="s">
        <v>5</v>
      </c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</row>
    <row r="1893" spans="1:14" x14ac:dyDescent="0.25">
      <c r="A1893" s="2" t="s">
        <v>1340</v>
      </c>
      <c r="B1893" s="2" t="s">
        <v>1341</v>
      </c>
      <c r="C1893" s="3">
        <v>4.1779999999999999</v>
      </c>
      <c r="D1893" s="4">
        <v>132.56793999999999</v>
      </c>
      <c r="E1893" s="4">
        <v>112.3882</v>
      </c>
      <c r="F1893" s="4">
        <f t="shared" ref="F1893:F1898" si="127">D1893-E1893</f>
        <v>20.179739999999995</v>
      </c>
      <c r="G1893" s="5">
        <f t="shared" ref="G1893:G1898" si="128">IF(((D1893)=0),0,(D1893-E1893)/ D1893)</f>
        <v>0.1522218720453829</v>
      </c>
      <c r="H1893" s="2" t="s">
        <v>1342</v>
      </c>
      <c r="I1893" s="6" t="s">
        <v>69</v>
      </c>
      <c r="J1893" s="2" t="s">
        <v>1343</v>
      </c>
      <c r="K1893" s="2" t="s">
        <v>5</v>
      </c>
      <c r="L1893" s="2" t="s">
        <v>28</v>
      </c>
      <c r="M1893" s="2" t="s">
        <v>5</v>
      </c>
      <c r="N1893" s="4">
        <v>846.69</v>
      </c>
    </row>
    <row r="1894" spans="1:14" x14ac:dyDescent="0.25">
      <c r="A1894" s="2" t="s">
        <v>1202</v>
      </c>
      <c r="B1894" s="2" t="s">
        <v>1203</v>
      </c>
      <c r="C1894" s="3">
        <v>1.82</v>
      </c>
      <c r="D1894" s="4">
        <v>20.6934</v>
      </c>
      <c r="E1894" s="4">
        <v>10.01</v>
      </c>
      <c r="F1894" s="4">
        <f t="shared" si="127"/>
        <v>10.683400000000001</v>
      </c>
      <c r="G1894" s="5">
        <f t="shared" si="128"/>
        <v>0.51627088830255063</v>
      </c>
      <c r="H1894" s="2" t="s">
        <v>1342</v>
      </c>
      <c r="I1894" s="6" t="s">
        <v>69</v>
      </c>
      <c r="J1894" s="2" t="s">
        <v>1343</v>
      </c>
      <c r="K1894" s="2" t="s">
        <v>5</v>
      </c>
      <c r="L1894" s="2" t="s">
        <v>28</v>
      </c>
      <c r="M1894" s="2" t="s">
        <v>5</v>
      </c>
      <c r="N1894" s="4">
        <v>846.69</v>
      </c>
    </row>
    <row r="1895" spans="1:14" x14ac:dyDescent="0.25">
      <c r="A1895" s="2" t="s">
        <v>837</v>
      </c>
      <c r="B1895" s="2" t="s">
        <v>838</v>
      </c>
      <c r="C1895" s="3">
        <v>9.7349999999999994</v>
      </c>
      <c r="D1895" s="4">
        <v>261.87150000000003</v>
      </c>
      <c r="E1895" s="4">
        <v>136.29</v>
      </c>
      <c r="F1895" s="4">
        <f t="shared" si="127"/>
        <v>125.58150000000003</v>
      </c>
      <c r="G1895" s="5">
        <f t="shared" si="128"/>
        <v>0.47955390334572501</v>
      </c>
      <c r="H1895" s="2" t="s">
        <v>1342</v>
      </c>
      <c r="I1895" s="6" t="s">
        <v>69</v>
      </c>
      <c r="J1895" s="2" t="s">
        <v>1343</v>
      </c>
      <c r="K1895" s="2" t="s">
        <v>5</v>
      </c>
      <c r="L1895" s="2" t="s">
        <v>28</v>
      </c>
      <c r="M1895" s="2" t="s">
        <v>5</v>
      </c>
      <c r="N1895" s="4">
        <v>846.69</v>
      </c>
    </row>
    <row r="1896" spans="1:14" x14ac:dyDescent="0.25">
      <c r="A1896" s="2" t="s">
        <v>972</v>
      </c>
      <c r="B1896" s="2" t="s">
        <v>973</v>
      </c>
      <c r="C1896" s="3">
        <v>4</v>
      </c>
      <c r="D1896" s="4">
        <v>129.52000000000001</v>
      </c>
      <c r="E1896" s="4">
        <v>87</v>
      </c>
      <c r="F1896" s="4">
        <f t="shared" si="127"/>
        <v>42.52000000000001</v>
      </c>
      <c r="G1896" s="5">
        <f t="shared" si="128"/>
        <v>0.32828906732550961</v>
      </c>
      <c r="H1896" s="2" t="s">
        <v>1342</v>
      </c>
      <c r="I1896" s="6" t="s">
        <v>69</v>
      </c>
      <c r="J1896" s="2" t="s">
        <v>1343</v>
      </c>
      <c r="K1896" s="2" t="s">
        <v>5</v>
      </c>
      <c r="L1896" s="2" t="s">
        <v>28</v>
      </c>
      <c r="M1896" s="2" t="s">
        <v>5</v>
      </c>
      <c r="N1896" s="4">
        <v>846.69</v>
      </c>
    </row>
    <row r="1897" spans="1:14" x14ac:dyDescent="0.25">
      <c r="A1897" s="2" t="s">
        <v>593</v>
      </c>
      <c r="B1897" s="2" t="s">
        <v>594</v>
      </c>
      <c r="C1897" s="3">
        <v>1.788</v>
      </c>
      <c r="D1897" s="4">
        <v>18.64884</v>
      </c>
      <c r="E1897" s="4">
        <v>10.3704</v>
      </c>
      <c r="F1897" s="4">
        <f t="shared" si="127"/>
        <v>8.2784399999999998</v>
      </c>
      <c r="G1897" s="5">
        <f t="shared" si="128"/>
        <v>0.44391179290508148</v>
      </c>
      <c r="H1897" s="2" t="s">
        <v>1342</v>
      </c>
      <c r="I1897" s="6" t="s">
        <v>69</v>
      </c>
      <c r="J1897" s="2" t="s">
        <v>1343</v>
      </c>
      <c r="K1897" s="2" t="s">
        <v>5</v>
      </c>
      <c r="L1897" s="2" t="s">
        <v>28</v>
      </c>
      <c r="M1897" s="2" t="s">
        <v>5</v>
      </c>
      <c r="N1897" s="4">
        <v>846.69</v>
      </c>
    </row>
    <row r="1898" spans="1:14" x14ac:dyDescent="0.25">
      <c r="A1898" s="2" t="s">
        <v>562</v>
      </c>
      <c r="B1898" s="2" t="s">
        <v>563</v>
      </c>
      <c r="C1898" s="3">
        <v>8.34</v>
      </c>
      <c r="D1898" s="4">
        <v>283.39319999999998</v>
      </c>
      <c r="E1898" s="4">
        <v>183.48</v>
      </c>
      <c r="F1898" s="4">
        <f t="shared" si="127"/>
        <v>99.913199999999989</v>
      </c>
      <c r="G1898" s="5">
        <f t="shared" si="128"/>
        <v>0.35256032960565037</v>
      </c>
      <c r="H1898" s="2" t="s">
        <v>1342</v>
      </c>
      <c r="I1898" s="6" t="s">
        <v>69</v>
      </c>
      <c r="J1898" s="2" t="s">
        <v>1343</v>
      </c>
      <c r="K1898" s="2" t="s">
        <v>5</v>
      </c>
      <c r="L1898" s="2" t="s">
        <v>28</v>
      </c>
      <c r="M1898" s="2" t="s">
        <v>5</v>
      </c>
      <c r="N1898" s="4">
        <v>846.69</v>
      </c>
    </row>
    <row r="1900" spans="1:14" x14ac:dyDescent="0.25">
      <c r="A1900" s="13" t="s">
        <v>59</v>
      </c>
      <c r="B1900" s="21"/>
      <c r="C1900" s="22">
        <f>SUM(C1890:C1899)</f>
        <v>29.861000000000001</v>
      </c>
      <c r="D1900" s="23">
        <f>SUM(D1890:D1899)</f>
        <v>846.6948799999999</v>
      </c>
      <c r="E1900" s="23">
        <f>SUM(E1890:E1899)</f>
        <v>539.53859999999997</v>
      </c>
      <c r="F1900" s="23">
        <f>D1900-E1900</f>
        <v>307.15627999999992</v>
      </c>
      <c r="G1900" s="24">
        <f>IF(((D1900)=0),0,(D1900-E1900)/ D1900)</f>
        <v>0.36277091931865701</v>
      </c>
      <c r="H1900" s="21"/>
      <c r="I1900" s="21"/>
      <c r="J1900" s="21"/>
      <c r="K1900" s="21"/>
      <c r="L1900" s="21"/>
      <c r="M1900" s="21"/>
      <c r="N1900" s="21"/>
    </row>
    <row r="1902" spans="1:14" s="17" customFormat="1" ht="18.75" x14ac:dyDescent="0.3"/>
    <row r="1903" spans="1:14" s="7" customFormat="1" x14ac:dyDescent="0.25">
      <c r="A1903" s="13" t="s">
        <v>1344</v>
      </c>
      <c r="B1903" s="18" t="s">
        <v>1345</v>
      </c>
      <c r="C1903" s="19"/>
      <c r="D1903" s="20" t="s">
        <v>5</v>
      </c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</row>
    <row r="1905" spans="1:14" x14ac:dyDescent="0.25">
      <c r="A1905" s="2" t="s">
        <v>660</v>
      </c>
      <c r="B1905" s="2" t="s">
        <v>661</v>
      </c>
      <c r="C1905" s="3">
        <v>20.364999999999998</v>
      </c>
      <c r="D1905" s="4">
        <v>311.99180000000001</v>
      </c>
      <c r="E1905" s="4">
        <v>140.51849999999999</v>
      </c>
      <c r="F1905" s="4">
        <f>D1905-E1905</f>
        <v>171.47330000000002</v>
      </c>
      <c r="G1905" s="5">
        <f>IF(((D1905)=0),0,(D1905-E1905)/ D1905)</f>
        <v>0.54960835509138384</v>
      </c>
      <c r="H1905" s="2" t="s">
        <v>1346</v>
      </c>
      <c r="I1905" s="6" t="s">
        <v>69</v>
      </c>
      <c r="J1905" s="2" t="s">
        <v>1347</v>
      </c>
      <c r="K1905" s="2" t="s">
        <v>5</v>
      </c>
      <c r="L1905" s="2" t="s">
        <v>28</v>
      </c>
      <c r="M1905" s="2" t="s">
        <v>5</v>
      </c>
      <c r="N1905" s="4">
        <v>311.99</v>
      </c>
    </row>
    <row r="1906" spans="1:14" x14ac:dyDescent="0.25">
      <c r="A1906" s="2" t="s">
        <v>660</v>
      </c>
      <c r="B1906" s="2" t="s">
        <v>661</v>
      </c>
      <c r="C1906" s="3">
        <v>10.41</v>
      </c>
      <c r="D1906" s="4">
        <v>159.4812</v>
      </c>
      <c r="E1906" s="4">
        <v>71.828999999999994</v>
      </c>
      <c r="F1906" s="4">
        <f>D1906-E1906</f>
        <v>87.652200000000008</v>
      </c>
      <c r="G1906" s="5">
        <f>IF(((D1906)=0),0,(D1906-E1906)/ D1906)</f>
        <v>0.54960835509138384</v>
      </c>
      <c r="H1906" s="2" t="s">
        <v>1348</v>
      </c>
      <c r="I1906" s="6" t="s">
        <v>25</v>
      </c>
      <c r="J1906" s="2" t="s">
        <v>1349</v>
      </c>
      <c r="K1906" s="2" t="s">
        <v>5</v>
      </c>
      <c r="L1906" s="2" t="s">
        <v>28</v>
      </c>
      <c r="M1906" s="2" t="s">
        <v>5</v>
      </c>
      <c r="N1906" s="4">
        <v>159.47999999999999</v>
      </c>
    </row>
    <row r="1908" spans="1:14" x14ac:dyDescent="0.25">
      <c r="A1908" s="13" t="s">
        <v>59</v>
      </c>
      <c r="B1908" s="21"/>
      <c r="C1908" s="22">
        <f>SUM(C1902:C1907)</f>
        <v>30.774999999999999</v>
      </c>
      <c r="D1908" s="23">
        <f>SUM(D1902:D1907)</f>
        <v>471.47300000000001</v>
      </c>
      <c r="E1908" s="23">
        <f>SUM(E1902:E1907)</f>
        <v>212.34749999999997</v>
      </c>
      <c r="F1908" s="23">
        <f>D1908-E1908</f>
        <v>259.12550000000005</v>
      </c>
      <c r="G1908" s="24">
        <f>IF(((D1908)=0),0,(D1908-E1908)/ D1908)</f>
        <v>0.54960835509138384</v>
      </c>
      <c r="H1908" s="21"/>
      <c r="I1908" s="21"/>
      <c r="J1908" s="21"/>
      <c r="K1908" s="21"/>
      <c r="L1908" s="21"/>
      <c r="M1908" s="21"/>
      <c r="N1908" s="21"/>
    </row>
    <row r="1910" spans="1:14" s="17" customFormat="1" ht="18.75" x14ac:dyDescent="0.3"/>
    <row r="1911" spans="1:14" s="7" customFormat="1" x14ac:dyDescent="0.25">
      <c r="A1911" s="13" t="s">
        <v>1350</v>
      </c>
      <c r="B1911" s="18" t="s">
        <v>1351</v>
      </c>
      <c r="C1911" s="19"/>
      <c r="D1911" s="20" t="s">
        <v>5</v>
      </c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</row>
    <row r="1913" spans="1:14" x14ac:dyDescent="0.25">
      <c r="A1913" s="2" t="s">
        <v>1352</v>
      </c>
      <c r="B1913" s="2" t="s">
        <v>1353</v>
      </c>
      <c r="C1913" s="3">
        <v>40.6</v>
      </c>
      <c r="D1913" s="4">
        <v>688.17</v>
      </c>
      <c r="E1913" s="4">
        <v>483.14</v>
      </c>
      <c r="F1913" s="4">
        <f>D1913-E1913</f>
        <v>205.02999999999997</v>
      </c>
      <c r="G1913" s="5">
        <f>IF(((D1913)=0),0,(D1913-E1913)/ D1913)</f>
        <v>0.29793510324483774</v>
      </c>
      <c r="H1913" s="2" t="s">
        <v>1354</v>
      </c>
      <c r="I1913" s="6" t="s">
        <v>32</v>
      </c>
      <c r="J1913" s="2" t="s">
        <v>1355</v>
      </c>
      <c r="K1913" s="2" t="s">
        <v>5</v>
      </c>
      <c r="L1913" s="2" t="s">
        <v>28</v>
      </c>
      <c r="M1913" s="2" t="s">
        <v>5</v>
      </c>
      <c r="N1913" s="4">
        <v>761.5</v>
      </c>
    </row>
    <row r="1914" spans="1:14" x14ac:dyDescent="0.25">
      <c r="A1914" s="2" t="s">
        <v>566</v>
      </c>
      <c r="B1914" s="2" t="s">
        <v>567</v>
      </c>
      <c r="C1914" s="3">
        <v>3.08</v>
      </c>
      <c r="D1914" s="4">
        <v>53.930799999999998</v>
      </c>
      <c r="E1914" s="4">
        <v>35.112000000000002</v>
      </c>
      <c r="F1914" s="4">
        <f>D1914-E1914</f>
        <v>18.818799999999996</v>
      </c>
      <c r="G1914" s="5">
        <f>IF(((D1914)=0),0,(D1914-E1914)/ D1914)</f>
        <v>0.34894346087949735</v>
      </c>
      <c r="H1914" s="2" t="s">
        <v>1354</v>
      </c>
      <c r="I1914" s="6" t="s">
        <v>32</v>
      </c>
      <c r="J1914" s="2" t="s">
        <v>1355</v>
      </c>
      <c r="K1914" s="2" t="s">
        <v>5</v>
      </c>
      <c r="L1914" s="2" t="s">
        <v>28</v>
      </c>
      <c r="M1914" s="2" t="s">
        <v>5</v>
      </c>
      <c r="N1914" s="4">
        <v>761.5</v>
      </c>
    </row>
    <row r="1915" spans="1:14" x14ac:dyDescent="0.25">
      <c r="A1915" s="2" t="s">
        <v>593</v>
      </c>
      <c r="B1915" s="2" t="s">
        <v>594</v>
      </c>
      <c r="C1915" s="3">
        <v>1.86</v>
      </c>
      <c r="D1915" s="4">
        <v>19.399799999999999</v>
      </c>
      <c r="E1915" s="4">
        <v>10.788</v>
      </c>
      <c r="F1915" s="4">
        <f>D1915-E1915</f>
        <v>8.6117999999999988</v>
      </c>
      <c r="G1915" s="5">
        <f>IF(((D1915)=0),0,(D1915-E1915)/ D1915)</f>
        <v>0.44391179290508148</v>
      </c>
      <c r="H1915" s="2" t="s">
        <v>1354</v>
      </c>
      <c r="I1915" s="6" t="s">
        <v>32</v>
      </c>
      <c r="J1915" s="2" t="s">
        <v>1355</v>
      </c>
      <c r="K1915" s="2" t="s">
        <v>5</v>
      </c>
      <c r="L1915" s="2" t="s">
        <v>28</v>
      </c>
      <c r="M1915" s="2" t="s">
        <v>5</v>
      </c>
      <c r="N1915" s="4">
        <v>761.5</v>
      </c>
    </row>
    <row r="1917" spans="1:14" x14ac:dyDescent="0.25">
      <c r="A1917" s="13" t="s">
        <v>59</v>
      </c>
      <c r="B1917" s="21"/>
      <c r="C1917" s="22">
        <f>SUM(C1910:C1916)</f>
        <v>45.54</v>
      </c>
      <c r="D1917" s="23">
        <f>SUM(D1910:D1916)</f>
        <v>761.50059999999996</v>
      </c>
      <c r="E1917" s="23">
        <f>SUM(E1910:E1916)</f>
        <v>529.04</v>
      </c>
      <c r="F1917" s="23">
        <f>D1917-E1917</f>
        <v>232.4606</v>
      </c>
      <c r="G1917" s="24">
        <f>IF(((D1917)=0),0,(D1917-E1917)/ D1917)</f>
        <v>0.30526646991479717</v>
      </c>
      <c r="H1917" s="21"/>
      <c r="I1917" s="21"/>
      <c r="J1917" s="21"/>
      <c r="K1917" s="21"/>
      <c r="L1917" s="21"/>
      <c r="M1917" s="21"/>
      <c r="N1917" s="21"/>
    </row>
    <row r="1919" spans="1:14" s="17" customFormat="1" ht="18.75" x14ac:dyDescent="0.3"/>
    <row r="1920" spans="1:14" s="7" customFormat="1" x14ac:dyDescent="0.25">
      <c r="A1920" s="13" t="s">
        <v>1356</v>
      </c>
      <c r="B1920" s="18" t="s">
        <v>1357</v>
      </c>
      <c r="C1920" s="19"/>
      <c r="D1920" s="20" t="s">
        <v>5</v>
      </c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</row>
    <row r="1922" spans="1:14" x14ac:dyDescent="0.25">
      <c r="A1922" s="2" t="s">
        <v>22</v>
      </c>
      <c r="B1922" s="2" t="s">
        <v>23</v>
      </c>
      <c r="C1922" s="3">
        <v>46.35</v>
      </c>
      <c r="D1922" s="4">
        <v>621.09</v>
      </c>
      <c r="E1922" s="4">
        <v>509.85</v>
      </c>
      <c r="F1922" s="4">
        <f t="shared" ref="F1922:F1928" si="129">D1922-E1922</f>
        <v>111.24000000000001</v>
      </c>
      <c r="G1922" s="5">
        <f t="shared" ref="G1922:G1928" si="130">IF(((D1922)=0),0,(D1922-E1922)/ D1922)</f>
        <v>0.17910447761194032</v>
      </c>
      <c r="H1922" s="2" t="s">
        <v>1358</v>
      </c>
      <c r="I1922" s="6" t="s">
        <v>25</v>
      </c>
      <c r="J1922" s="2" t="s">
        <v>1359</v>
      </c>
      <c r="K1922" s="2" t="s">
        <v>5</v>
      </c>
      <c r="L1922" s="2" t="s">
        <v>28</v>
      </c>
      <c r="M1922" s="2" t="s">
        <v>5</v>
      </c>
      <c r="N1922" s="4">
        <v>5123.83</v>
      </c>
    </row>
    <row r="1923" spans="1:14" x14ac:dyDescent="0.25">
      <c r="A1923" s="2" t="s">
        <v>1360</v>
      </c>
      <c r="B1923" s="2" t="s">
        <v>1361</v>
      </c>
      <c r="C1923" s="3">
        <v>39.299999999999997</v>
      </c>
      <c r="D1923" s="4">
        <v>2122.1999999999998</v>
      </c>
      <c r="E1923" s="4">
        <v>1454.1</v>
      </c>
      <c r="F1923" s="4">
        <f t="shared" si="129"/>
        <v>668.09999999999991</v>
      </c>
      <c r="G1923" s="5">
        <f t="shared" si="130"/>
        <v>0.31481481481481483</v>
      </c>
      <c r="H1923" s="2" t="s">
        <v>1358</v>
      </c>
      <c r="I1923" s="6" t="s">
        <v>25</v>
      </c>
      <c r="J1923" s="2" t="s">
        <v>1359</v>
      </c>
      <c r="K1923" s="2" t="s">
        <v>5</v>
      </c>
      <c r="L1923" s="2" t="s">
        <v>28</v>
      </c>
      <c r="M1923" s="2" t="s">
        <v>5</v>
      </c>
      <c r="N1923" s="4">
        <v>5123.83</v>
      </c>
    </row>
    <row r="1924" spans="1:14" x14ac:dyDescent="0.25">
      <c r="A1924" s="2" t="s">
        <v>158</v>
      </c>
      <c r="B1924" s="2" t="s">
        <v>159</v>
      </c>
      <c r="C1924" s="3">
        <v>8</v>
      </c>
      <c r="D1924" s="4">
        <v>87.92</v>
      </c>
      <c r="E1924" s="4">
        <v>62.96</v>
      </c>
      <c r="F1924" s="4">
        <f t="shared" si="129"/>
        <v>24.96</v>
      </c>
      <c r="G1924" s="5">
        <f t="shared" si="130"/>
        <v>0.28389444949954507</v>
      </c>
      <c r="H1924" s="2" t="s">
        <v>1358</v>
      </c>
      <c r="I1924" s="6" t="s">
        <v>25</v>
      </c>
      <c r="J1924" s="2" t="s">
        <v>1359</v>
      </c>
      <c r="K1924" s="2" t="s">
        <v>5</v>
      </c>
      <c r="L1924" s="2" t="s">
        <v>28</v>
      </c>
      <c r="M1924" s="2" t="s">
        <v>5</v>
      </c>
      <c r="N1924" s="4">
        <v>5123.83</v>
      </c>
    </row>
    <row r="1925" spans="1:14" x14ac:dyDescent="0.25">
      <c r="A1925" s="2" t="s">
        <v>51</v>
      </c>
      <c r="B1925" s="2" t="s">
        <v>52</v>
      </c>
      <c r="C1925" s="3">
        <v>88.18</v>
      </c>
      <c r="D1925" s="4">
        <v>1593.4126000000001</v>
      </c>
      <c r="E1925" s="4">
        <v>1454.97</v>
      </c>
      <c r="F1925" s="4">
        <f t="shared" si="129"/>
        <v>138.44260000000008</v>
      </c>
      <c r="G1925" s="5">
        <f t="shared" si="130"/>
        <v>8.6884338682899881E-2</v>
      </c>
      <c r="H1925" s="2" t="s">
        <v>1358</v>
      </c>
      <c r="I1925" s="6" t="s">
        <v>25</v>
      </c>
      <c r="J1925" s="2" t="s">
        <v>1359</v>
      </c>
      <c r="K1925" s="2" t="s">
        <v>5</v>
      </c>
      <c r="L1925" s="2" t="s">
        <v>28</v>
      </c>
      <c r="M1925" s="2" t="s">
        <v>5</v>
      </c>
      <c r="N1925" s="4">
        <v>5123.83</v>
      </c>
    </row>
    <row r="1926" spans="1:14" x14ac:dyDescent="0.25">
      <c r="A1926" s="2" t="s">
        <v>1362</v>
      </c>
      <c r="B1926" s="2" t="s">
        <v>1363</v>
      </c>
      <c r="C1926" s="3">
        <v>8.57</v>
      </c>
      <c r="D1926" s="4">
        <v>221.3631</v>
      </c>
      <c r="E1926" s="4">
        <v>122.551</v>
      </c>
      <c r="F1926" s="4">
        <f t="shared" si="129"/>
        <v>98.812100000000001</v>
      </c>
      <c r="G1926" s="5">
        <f t="shared" si="130"/>
        <v>0.44638017808749514</v>
      </c>
      <c r="H1926" s="2" t="s">
        <v>1358</v>
      </c>
      <c r="I1926" s="6" t="s">
        <v>25</v>
      </c>
      <c r="J1926" s="2" t="s">
        <v>1359</v>
      </c>
      <c r="K1926" s="2" t="s">
        <v>5</v>
      </c>
      <c r="L1926" s="2" t="s">
        <v>28</v>
      </c>
      <c r="M1926" s="2" t="s">
        <v>5</v>
      </c>
      <c r="N1926" s="4">
        <v>5123.83</v>
      </c>
    </row>
    <row r="1927" spans="1:14" x14ac:dyDescent="0.25">
      <c r="A1927" s="2" t="s">
        <v>589</v>
      </c>
      <c r="B1927" s="2" t="s">
        <v>590</v>
      </c>
      <c r="C1927" s="3">
        <v>15.680999999999999</v>
      </c>
      <c r="D1927" s="4">
        <v>323.96946000000003</v>
      </c>
      <c r="E1927" s="4">
        <v>215.61375000000001</v>
      </c>
      <c r="F1927" s="4">
        <f t="shared" si="129"/>
        <v>108.35571000000002</v>
      </c>
      <c r="G1927" s="5">
        <f t="shared" si="130"/>
        <v>0.33446272991287512</v>
      </c>
      <c r="H1927" s="2" t="s">
        <v>1358</v>
      </c>
      <c r="I1927" s="6" t="s">
        <v>25</v>
      </c>
      <c r="J1927" s="2" t="s">
        <v>1359</v>
      </c>
      <c r="K1927" s="2" t="s">
        <v>5</v>
      </c>
      <c r="L1927" s="2" t="s">
        <v>28</v>
      </c>
      <c r="M1927" s="2" t="s">
        <v>5</v>
      </c>
      <c r="N1927" s="4">
        <v>5123.83</v>
      </c>
    </row>
    <row r="1928" spans="1:14" x14ac:dyDescent="0.25">
      <c r="A1928" s="2" t="s">
        <v>634</v>
      </c>
      <c r="B1928" s="2" t="s">
        <v>635</v>
      </c>
      <c r="C1928" s="3">
        <v>9.94</v>
      </c>
      <c r="D1928" s="4">
        <v>153.87119999999999</v>
      </c>
      <c r="E1928" s="4">
        <v>124.25</v>
      </c>
      <c r="F1928" s="4">
        <f t="shared" si="129"/>
        <v>29.621199999999988</v>
      </c>
      <c r="G1928" s="5">
        <f t="shared" si="130"/>
        <v>0.19250645994832036</v>
      </c>
      <c r="H1928" s="2" t="s">
        <v>1358</v>
      </c>
      <c r="I1928" s="6" t="s">
        <v>25</v>
      </c>
      <c r="J1928" s="2" t="s">
        <v>1359</v>
      </c>
      <c r="K1928" s="2" t="s">
        <v>5</v>
      </c>
      <c r="L1928" s="2" t="s">
        <v>28</v>
      </c>
      <c r="M1928" s="2" t="s">
        <v>5</v>
      </c>
      <c r="N1928" s="4">
        <v>5123.83</v>
      </c>
    </row>
    <row r="1930" spans="1:14" x14ac:dyDescent="0.25">
      <c r="A1930" s="13" t="s">
        <v>59</v>
      </c>
      <c r="B1930" s="21"/>
      <c r="C1930" s="22">
        <f>SUM(C1919:C1929)</f>
        <v>216.02100000000002</v>
      </c>
      <c r="D1930" s="23">
        <f>SUM(D1919:D1929)</f>
        <v>5123.82636</v>
      </c>
      <c r="E1930" s="23">
        <f>SUM(E1919:E1929)</f>
        <v>3944.29475</v>
      </c>
      <c r="F1930" s="23">
        <f>D1930-E1930</f>
        <v>1179.53161</v>
      </c>
      <c r="G1930" s="24">
        <f>IF(((D1930)=0),0,(D1930-E1930)/ D1930)</f>
        <v>0.23020522693903311</v>
      </c>
      <c r="H1930" s="21"/>
      <c r="I1930" s="21"/>
      <c r="J1930" s="21"/>
      <c r="K1930" s="21"/>
      <c r="L1930" s="21"/>
      <c r="M1930" s="21"/>
      <c r="N1930" s="21"/>
    </row>
    <row r="1932" spans="1:14" s="17" customFormat="1" ht="18.75" x14ac:dyDescent="0.3"/>
    <row r="1933" spans="1:14" s="7" customFormat="1" x14ac:dyDescent="0.25">
      <c r="A1933" s="13" t="s">
        <v>1364</v>
      </c>
      <c r="B1933" s="18" t="s">
        <v>1365</v>
      </c>
      <c r="C1933" s="19"/>
      <c r="D1933" s="20" t="s">
        <v>5</v>
      </c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</row>
    <row r="1935" spans="1:14" x14ac:dyDescent="0.25">
      <c r="A1935" s="2" t="s">
        <v>1366</v>
      </c>
      <c r="B1935" s="2" t="s">
        <v>1367</v>
      </c>
      <c r="C1935" s="3">
        <v>15</v>
      </c>
      <c r="D1935" s="4">
        <v>1425</v>
      </c>
      <c r="E1935" s="4">
        <v>103.5</v>
      </c>
      <c r="F1935" s="4">
        <f>D1935-E1935</f>
        <v>1321.5</v>
      </c>
      <c r="G1935" s="5">
        <f>IF(((D1935)=0),0,(D1935-E1935)/ D1935)</f>
        <v>0.92736842105263162</v>
      </c>
      <c r="H1935" s="2" t="s">
        <v>1368</v>
      </c>
      <c r="I1935" s="6" t="s">
        <v>32</v>
      </c>
      <c r="J1935" s="2" t="s">
        <v>1369</v>
      </c>
      <c r="K1935" s="2" t="s">
        <v>1370</v>
      </c>
      <c r="L1935" s="2" t="s">
        <v>28</v>
      </c>
      <c r="M1935" s="2" t="s">
        <v>5</v>
      </c>
      <c r="N1935" s="4">
        <v>1425</v>
      </c>
    </row>
    <row r="1937" spans="1:14" x14ac:dyDescent="0.25">
      <c r="A1937" s="13" t="s">
        <v>59</v>
      </c>
      <c r="B1937" s="21"/>
      <c r="C1937" s="22">
        <f>SUM(C1932:C1936)</f>
        <v>15</v>
      </c>
      <c r="D1937" s="23">
        <f>SUM(D1932:D1936)</f>
        <v>1425</v>
      </c>
      <c r="E1937" s="23">
        <f>SUM(E1932:E1936)</f>
        <v>103.5</v>
      </c>
      <c r="F1937" s="23">
        <f>D1937-E1937</f>
        <v>1321.5</v>
      </c>
      <c r="G1937" s="24">
        <f>IF(((D1937)=0),0,(D1937-E1937)/ D1937)</f>
        <v>0.92736842105263162</v>
      </c>
      <c r="H1937" s="21"/>
      <c r="I1937" s="21"/>
      <c r="J1937" s="21"/>
      <c r="K1937" s="21"/>
      <c r="L1937" s="21"/>
      <c r="M1937" s="21"/>
      <c r="N1937" s="21"/>
    </row>
    <row r="1939" spans="1:14" s="17" customFormat="1" ht="18.75" x14ac:dyDescent="0.3"/>
    <row r="1940" spans="1:14" s="7" customFormat="1" x14ac:dyDescent="0.25">
      <c r="A1940" s="13" t="s">
        <v>1371</v>
      </c>
      <c r="B1940" s="18" t="s">
        <v>1372</v>
      </c>
      <c r="C1940" s="19"/>
      <c r="D1940" s="20" t="s">
        <v>5</v>
      </c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</row>
    <row r="1942" spans="1:14" x14ac:dyDescent="0.25">
      <c r="A1942" s="2" t="s">
        <v>1373</v>
      </c>
      <c r="B1942" s="2" t="s">
        <v>1374</v>
      </c>
      <c r="C1942" s="3">
        <v>6.2050000000000001</v>
      </c>
      <c r="D1942" s="4">
        <v>86.559749999999994</v>
      </c>
      <c r="E1942" s="4">
        <v>62.05</v>
      </c>
      <c r="F1942" s="4">
        <f t="shared" ref="F1942:F1964" si="131">D1942-E1942</f>
        <v>24.509749999999997</v>
      </c>
      <c r="G1942" s="5">
        <f t="shared" ref="G1942:G1964" si="132">IF(((D1942)=0),0,(D1942-E1942)/ D1942)</f>
        <v>0.28315412186379929</v>
      </c>
      <c r="H1942" s="2" t="s">
        <v>1375</v>
      </c>
      <c r="I1942" s="6" t="s">
        <v>32</v>
      </c>
      <c r="J1942" s="2" t="s">
        <v>1376</v>
      </c>
      <c r="K1942" s="2" t="s">
        <v>1377</v>
      </c>
      <c r="L1942" s="2" t="s">
        <v>28</v>
      </c>
      <c r="M1942" s="2" t="s">
        <v>5</v>
      </c>
      <c r="N1942" s="4">
        <v>1070.5899999999999</v>
      </c>
    </row>
    <row r="1943" spans="1:14" x14ac:dyDescent="0.25">
      <c r="A1943" s="2" t="s">
        <v>1373</v>
      </c>
      <c r="B1943" s="2" t="s">
        <v>1374</v>
      </c>
      <c r="C1943" s="3">
        <v>6.01</v>
      </c>
      <c r="D1943" s="4">
        <v>83.839500000000001</v>
      </c>
      <c r="E1943" s="4">
        <v>73.322000000000003</v>
      </c>
      <c r="F1943" s="4">
        <f t="shared" si="131"/>
        <v>10.517499999999998</v>
      </c>
      <c r="G1943" s="5">
        <f t="shared" si="132"/>
        <v>0.12544802867383512</v>
      </c>
      <c r="H1943" s="2" t="s">
        <v>1378</v>
      </c>
      <c r="I1943" s="6" t="s">
        <v>39</v>
      </c>
      <c r="J1943" s="2" t="s">
        <v>1379</v>
      </c>
      <c r="K1943" s="2" t="s">
        <v>1380</v>
      </c>
      <c r="L1943" s="2" t="s">
        <v>28</v>
      </c>
      <c r="M1943" s="2" t="s">
        <v>5</v>
      </c>
      <c r="N1943" s="4">
        <v>1045.6500000000001</v>
      </c>
    </row>
    <row r="1944" spans="1:14" x14ac:dyDescent="0.25">
      <c r="A1944" s="2" t="s">
        <v>1373</v>
      </c>
      <c r="B1944" s="2" t="s">
        <v>1374</v>
      </c>
      <c r="C1944" s="3">
        <v>10.205</v>
      </c>
      <c r="D1944" s="4">
        <v>142.35974999999999</v>
      </c>
      <c r="E1944" s="4">
        <v>124.501</v>
      </c>
      <c r="F1944" s="4">
        <f t="shared" si="131"/>
        <v>17.858749999999986</v>
      </c>
      <c r="G1944" s="5">
        <f t="shared" si="132"/>
        <v>0.12544802867383503</v>
      </c>
      <c r="H1944" s="2" t="s">
        <v>1381</v>
      </c>
      <c r="I1944" s="6" t="s">
        <v>69</v>
      </c>
      <c r="J1944" s="2" t="s">
        <v>1382</v>
      </c>
      <c r="K1944" s="2" t="s">
        <v>1383</v>
      </c>
      <c r="L1944" s="2" t="s">
        <v>28</v>
      </c>
      <c r="M1944" s="2" t="s">
        <v>5</v>
      </c>
      <c r="N1944" s="4">
        <v>1055.6600000000001</v>
      </c>
    </row>
    <row r="1945" spans="1:14" x14ac:dyDescent="0.25">
      <c r="A1945" s="2" t="s">
        <v>1366</v>
      </c>
      <c r="B1945" s="2" t="s">
        <v>1367</v>
      </c>
      <c r="C1945" s="3">
        <v>3</v>
      </c>
      <c r="D1945" s="4">
        <v>285</v>
      </c>
      <c r="E1945" s="4">
        <v>20.7</v>
      </c>
      <c r="F1945" s="4">
        <f t="shared" si="131"/>
        <v>264.3</v>
      </c>
      <c r="G1945" s="5">
        <f t="shared" si="132"/>
        <v>0.92736842105263162</v>
      </c>
      <c r="H1945" s="2" t="s">
        <v>1378</v>
      </c>
      <c r="I1945" s="6" t="s">
        <v>39</v>
      </c>
      <c r="J1945" s="2" t="s">
        <v>1379</v>
      </c>
      <c r="K1945" s="2" t="s">
        <v>1380</v>
      </c>
      <c r="L1945" s="2" t="s">
        <v>28</v>
      </c>
      <c r="M1945" s="2" t="s">
        <v>5</v>
      </c>
      <c r="N1945" s="4">
        <v>1045.6500000000001</v>
      </c>
    </row>
    <row r="1946" spans="1:14" x14ac:dyDescent="0.25">
      <c r="A1946" s="2" t="s">
        <v>1366</v>
      </c>
      <c r="B1946" s="2" t="s">
        <v>1367</v>
      </c>
      <c r="C1946" s="3">
        <v>3</v>
      </c>
      <c r="D1946" s="4">
        <v>285</v>
      </c>
      <c r="E1946" s="4">
        <v>20.7</v>
      </c>
      <c r="F1946" s="4">
        <f t="shared" si="131"/>
        <v>264.3</v>
      </c>
      <c r="G1946" s="5">
        <f t="shared" si="132"/>
        <v>0.92736842105263162</v>
      </c>
      <c r="H1946" s="2" t="s">
        <v>1381</v>
      </c>
      <c r="I1946" s="6" t="s">
        <v>69</v>
      </c>
      <c r="J1946" s="2" t="s">
        <v>1382</v>
      </c>
      <c r="K1946" s="2" t="s">
        <v>1383</v>
      </c>
      <c r="L1946" s="2" t="s">
        <v>28</v>
      </c>
      <c r="M1946" s="2" t="s">
        <v>5</v>
      </c>
      <c r="N1946" s="4">
        <v>1055.6600000000001</v>
      </c>
    </row>
    <row r="1947" spans="1:14" x14ac:dyDescent="0.25">
      <c r="A1947" s="2" t="s">
        <v>1384</v>
      </c>
      <c r="B1947" s="2" t="s">
        <v>1385</v>
      </c>
      <c r="C1947" s="3">
        <v>3.82</v>
      </c>
      <c r="D1947" s="4">
        <v>48.055599999999998</v>
      </c>
      <c r="E1947" s="4">
        <v>28.65</v>
      </c>
      <c r="F1947" s="4">
        <f t="shared" si="131"/>
        <v>19.4056</v>
      </c>
      <c r="G1947" s="5">
        <f t="shared" si="132"/>
        <v>0.40381558028616854</v>
      </c>
      <c r="H1947" s="2" t="s">
        <v>1375</v>
      </c>
      <c r="I1947" s="6" t="s">
        <v>32</v>
      </c>
      <c r="J1947" s="2" t="s">
        <v>1376</v>
      </c>
      <c r="K1947" s="2" t="s">
        <v>1377</v>
      </c>
      <c r="L1947" s="2" t="s">
        <v>28</v>
      </c>
      <c r="M1947" s="2" t="s">
        <v>5</v>
      </c>
      <c r="N1947" s="4">
        <v>1070.5899999999999</v>
      </c>
    </row>
    <row r="1948" spans="1:14" x14ac:dyDescent="0.25">
      <c r="A1948" s="2" t="s">
        <v>1386</v>
      </c>
      <c r="B1948" s="2" t="s">
        <v>1387</v>
      </c>
      <c r="C1948" s="3">
        <v>13.62</v>
      </c>
      <c r="D1948" s="4">
        <v>258.09899999999999</v>
      </c>
      <c r="E1948" s="4">
        <v>207.70500000000001</v>
      </c>
      <c r="F1948" s="4">
        <f t="shared" si="131"/>
        <v>50.393999999999977</v>
      </c>
      <c r="G1948" s="5">
        <f t="shared" si="132"/>
        <v>0.19525065963060678</v>
      </c>
      <c r="H1948" s="2" t="s">
        <v>1381</v>
      </c>
      <c r="I1948" s="6" t="s">
        <v>69</v>
      </c>
      <c r="J1948" s="2" t="s">
        <v>1382</v>
      </c>
      <c r="K1948" s="2" t="s">
        <v>1383</v>
      </c>
      <c r="L1948" s="2" t="s">
        <v>28</v>
      </c>
      <c r="M1948" s="2" t="s">
        <v>5</v>
      </c>
      <c r="N1948" s="4">
        <v>1055.6600000000001</v>
      </c>
    </row>
    <row r="1949" spans="1:14" x14ac:dyDescent="0.25">
      <c r="A1949" s="2" t="s">
        <v>1388</v>
      </c>
      <c r="B1949" s="2" t="s">
        <v>1389</v>
      </c>
      <c r="C1949" s="3">
        <v>7.165</v>
      </c>
      <c r="D1949" s="4">
        <v>142.58349999999999</v>
      </c>
      <c r="E1949" s="4">
        <v>108.1915</v>
      </c>
      <c r="F1949" s="4">
        <f t="shared" si="131"/>
        <v>34.391999999999982</v>
      </c>
      <c r="G1949" s="5">
        <f t="shared" si="132"/>
        <v>0.24120603015075368</v>
      </c>
      <c r="H1949" s="2" t="s">
        <v>1390</v>
      </c>
      <c r="I1949" s="6" t="s">
        <v>25</v>
      </c>
      <c r="J1949" s="2" t="s">
        <v>1391</v>
      </c>
      <c r="K1949" s="2" t="s">
        <v>1392</v>
      </c>
      <c r="L1949" s="2" t="s">
        <v>28</v>
      </c>
      <c r="M1949" s="2" t="s">
        <v>5</v>
      </c>
      <c r="N1949" s="4">
        <v>142.58000000000001</v>
      </c>
    </row>
    <row r="1950" spans="1:14" x14ac:dyDescent="0.25">
      <c r="A1950" s="2" t="s">
        <v>1388</v>
      </c>
      <c r="B1950" s="2" t="s">
        <v>1389</v>
      </c>
      <c r="C1950" s="3">
        <v>3.1240000000000001</v>
      </c>
      <c r="D1950" s="4">
        <v>62.1676</v>
      </c>
      <c r="E1950" s="4">
        <v>47.172400000000003</v>
      </c>
      <c r="F1950" s="4">
        <f t="shared" si="131"/>
        <v>14.995199999999997</v>
      </c>
      <c r="G1950" s="5">
        <f t="shared" si="132"/>
        <v>0.24120603015075373</v>
      </c>
      <c r="H1950" s="2" t="s">
        <v>1378</v>
      </c>
      <c r="I1950" s="6" t="s">
        <v>39</v>
      </c>
      <c r="J1950" s="2" t="s">
        <v>1379</v>
      </c>
      <c r="K1950" s="2" t="s">
        <v>1380</v>
      </c>
      <c r="L1950" s="2" t="s">
        <v>28</v>
      </c>
      <c r="M1950" s="2" t="s">
        <v>5</v>
      </c>
      <c r="N1950" s="4">
        <v>1045.6500000000001</v>
      </c>
    </row>
    <row r="1951" spans="1:14" x14ac:dyDescent="0.25">
      <c r="A1951" s="2" t="s">
        <v>1393</v>
      </c>
      <c r="B1951" s="2" t="s">
        <v>1394</v>
      </c>
      <c r="C1951" s="3">
        <v>6.6</v>
      </c>
      <c r="D1951" s="4">
        <v>64.680000000000007</v>
      </c>
      <c r="E1951" s="4">
        <v>48.18</v>
      </c>
      <c r="F1951" s="4">
        <f t="shared" si="131"/>
        <v>16.500000000000007</v>
      </c>
      <c r="G1951" s="5">
        <f t="shared" si="132"/>
        <v>0.25510204081632659</v>
      </c>
      <c r="H1951" s="2" t="s">
        <v>1378</v>
      </c>
      <c r="I1951" s="6" t="s">
        <v>39</v>
      </c>
      <c r="J1951" s="2" t="s">
        <v>1379</v>
      </c>
      <c r="K1951" s="2" t="s">
        <v>1380</v>
      </c>
      <c r="L1951" s="2" t="s">
        <v>28</v>
      </c>
      <c r="M1951" s="2" t="s">
        <v>5</v>
      </c>
      <c r="N1951" s="4">
        <v>1045.6500000000001</v>
      </c>
    </row>
    <row r="1952" spans="1:14" x14ac:dyDescent="0.25">
      <c r="A1952" s="2" t="s">
        <v>1393</v>
      </c>
      <c r="B1952" s="2" t="s">
        <v>1394</v>
      </c>
      <c r="C1952" s="3">
        <v>7.77</v>
      </c>
      <c r="D1952" s="4">
        <v>76.146000000000001</v>
      </c>
      <c r="E1952" s="4">
        <v>56.720999999999997</v>
      </c>
      <c r="F1952" s="4">
        <f t="shared" si="131"/>
        <v>19.425000000000004</v>
      </c>
      <c r="G1952" s="5">
        <f t="shared" si="132"/>
        <v>0.25510204081632659</v>
      </c>
      <c r="H1952" s="2" t="s">
        <v>1375</v>
      </c>
      <c r="I1952" s="6" t="s">
        <v>32</v>
      </c>
      <c r="J1952" s="2" t="s">
        <v>1376</v>
      </c>
      <c r="K1952" s="2" t="s">
        <v>1377</v>
      </c>
      <c r="L1952" s="2" t="s">
        <v>28</v>
      </c>
      <c r="M1952" s="2" t="s">
        <v>5</v>
      </c>
      <c r="N1952" s="4">
        <v>1070.5899999999999</v>
      </c>
    </row>
    <row r="1953" spans="1:14" x14ac:dyDescent="0.25">
      <c r="A1953" s="2" t="s">
        <v>1395</v>
      </c>
      <c r="B1953" s="2" t="s">
        <v>1396</v>
      </c>
      <c r="C1953" s="3">
        <v>5.7</v>
      </c>
      <c r="D1953" s="4">
        <v>59.564999999999998</v>
      </c>
      <c r="E1953" s="4">
        <v>40.47</v>
      </c>
      <c r="F1953" s="4">
        <f t="shared" si="131"/>
        <v>19.094999999999999</v>
      </c>
      <c r="G1953" s="5">
        <f t="shared" si="132"/>
        <v>0.32057416267942584</v>
      </c>
      <c r="H1953" s="2" t="s">
        <v>1378</v>
      </c>
      <c r="I1953" s="6" t="s">
        <v>39</v>
      </c>
      <c r="J1953" s="2" t="s">
        <v>1379</v>
      </c>
      <c r="K1953" s="2" t="s">
        <v>1380</v>
      </c>
      <c r="L1953" s="2" t="s">
        <v>28</v>
      </c>
      <c r="M1953" s="2" t="s">
        <v>5</v>
      </c>
      <c r="N1953" s="4">
        <v>1045.6500000000001</v>
      </c>
    </row>
    <row r="1954" spans="1:14" x14ac:dyDescent="0.25">
      <c r="A1954" s="2" t="s">
        <v>1395</v>
      </c>
      <c r="B1954" s="2" t="s">
        <v>1396</v>
      </c>
      <c r="C1954" s="3">
        <v>5.04</v>
      </c>
      <c r="D1954" s="4">
        <v>52.667999999999999</v>
      </c>
      <c r="E1954" s="4">
        <v>35.783999999999999</v>
      </c>
      <c r="F1954" s="4">
        <f t="shared" si="131"/>
        <v>16.884</v>
      </c>
      <c r="G1954" s="5">
        <f t="shared" si="132"/>
        <v>0.32057416267942584</v>
      </c>
      <c r="H1954" s="2" t="s">
        <v>1375</v>
      </c>
      <c r="I1954" s="6" t="s">
        <v>32</v>
      </c>
      <c r="J1954" s="2" t="s">
        <v>1376</v>
      </c>
      <c r="K1954" s="2" t="s">
        <v>1377</v>
      </c>
      <c r="L1954" s="2" t="s">
        <v>28</v>
      </c>
      <c r="M1954" s="2" t="s">
        <v>5</v>
      </c>
      <c r="N1954" s="4">
        <v>1070.5899999999999</v>
      </c>
    </row>
    <row r="1955" spans="1:14" x14ac:dyDescent="0.25">
      <c r="A1955" s="2" t="s">
        <v>1397</v>
      </c>
      <c r="B1955" s="2" t="s">
        <v>1398</v>
      </c>
      <c r="C1955" s="3">
        <v>8.07</v>
      </c>
      <c r="D1955" s="4">
        <v>205.05869999999999</v>
      </c>
      <c r="E1955" s="4">
        <v>115.401</v>
      </c>
      <c r="F1955" s="4">
        <f t="shared" si="131"/>
        <v>89.657699999999991</v>
      </c>
      <c r="G1955" s="5">
        <f t="shared" si="132"/>
        <v>0.43722943722943719</v>
      </c>
      <c r="H1955" s="2" t="s">
        <v>1375</v>
      </c>
      <c r="I1955" s="6" t="s">
        <v>32</v>
      </c>
      <c r="J1955" s="2" t="s">
        <v>1376</v>
      </c>
      <c r="K1955" s="2" t="s">
        <v>1377</v>
      </c>
      <c r="L1955" s="2" t="s">
        <v>28</v>
      </c>
      <c r="M1955" s="2" t="s">
        <v>5</v>
      </c>
      <c r="N1955" s="4">
        <v>1070.5899999999999</v>
      </c>
    </row>
    <row r="1956" spans="1:14" x14ac:dyDescent="0.25">
      <c r="A1956" s="2" t="s">
        <v>1397</v>
      </c>
      <c r="B1956" s="2" t="s">
        <v>1398</v>
      </c>
      <c r="C1956" s="3">
        <v>10.25</v>
      </c>
      <c r="D1956" s="4">
        <v>260.45249999999999</v>
      </c>
      <c r="E1956" s="4">
        <v>146.57499999999999</v>
      </c>
      <c r="F1956" s="4">
        <f t="shared" si="131"/>
        <v>113.8775</v>
      </c>
      <c r="G1956" s="5">
        <f t="shared" si="132"/>
        <v>0.43722943722943725</v>
      </c>
      <c r="H1956" s="2" t="s">
        <v>1381</v>
      </c>
      <c r="I1956" s="6" t="s">
        <v>69</v>
      </c>
      <c r="J1956" s="2" t="s">
        <v>1382</v>
      </c>
      <c r="K1956" s="2" t="s">
        <v>1383</v>
      </c>
      <c r="L1956" s="2" t="s">
        <v>28</v>
      </c>
      <c r="M1956" s="2" t="s">
        <v>5</v>
      </c>
      <c r="N1956" s="4">
        <v>1055.6600000000001</v>
      </c>
    </row>
    <row r="1957" spans="1:14" x14ac:dyDescent="0.25">
      <c r="A1957" s="2" t="s">
        <v>1397</v>
      </c>
      <c r="B1957" s="2" t="s">
        <v>1398</v>
      </c>
      <c r="C1957" s="3">
        <v>10.11</v>
      </c>
      <c r="D1957" s="4">
        <v>256.89510000000001</v>
      </c>
      <c r="E1957" s="4">
        <v>144.57300000000001</v>
      </c>
      <c r="F1957" s="4">
        <f t="shared" si="131"/>
        <v>112.32210000000001</v>
      </c>
      <c r="G1957" s="5">
        <f t="shared" si="132"/>
        <v>0.43722943722943725</v>
      </c>
      <c r="H1957" s="2" t="s">
        <v>1378</v>
      </c>
      <c r="I1957" s="6" t="s">
        <v>39</v>
      </c>
      <c r="J1957" s="2" t="s">
        <v>1379</v>
      </c>
      <c r="K1957" s="2" t="s">
        <v>1380</v>
      </c>
      <c r="L1957" s="2" t="s">
        <v>28</v>
      </c>
      <c r="M1957" s="2" t="s">
        <v>5</v>
      </c>
      <c r="N1957" s="4">
        <v>1045.6500000000001</v>
      </c>
    </row>
    <row r="1958" spans="1:14" x14ac:dyDescent="0.25">
      <c r="A1958" s="2" t="s">
        <v>1399</v>
      </c>
      <c r="B1958" s="2" t="s">
        <v>1400</v>
      </c>
      <c r="C1958" s="3">
        <v>5.77</v>
      </c>
      <c r="D1958" s="4">
        <v>112.515</v>
      </c>
      <c r="E1958" s="4">
        <v>82.510999999999996</v>
      </c>
      <c r="F1958" s="4">
        <f t="shared" si="131"/>
        <v>30.004000000000005</v>
      </c>
      <c r="G1958" s="5">
        <f t="shared" si="132"/>
        <v>0.26666666666666672</v>
      </c>
      <c r="H1958" s="2" t="s">
        <v>1375</v>
      </c>
      <c r="I1958" s="6" t="s">
        <v>32</v>
      </c>
      <c r="J1958" s="2" t="s">
        <v>1376</v>
      </c>
      <c r="K1958" s="2" t="s">
        <v>1377</v>
      </c>
      <c r="L1958" s="2" t="s">
        <v>28</v>
      </c>
      <c r="M1958" s="2" t="s">
        <v>5</v>
      </c>
      <c r="N1958" s="4">
        <v>1070.5899999999999</v>
      </c>
    </row>
    <row r="1959" spans="1:14" x14ac:dyDescent="0.25">
      <c r="A1959" s="2" t="s">
        <v>1399</v>
      </c>
      <c r="B1959" s="2" t="s">
        <v>1400</v>
      </c>
      <c r="C1959" s="3">
        <v>2.98</v>
      </c>
      <c r="D1959" s="4">
        <v>58.11</v>
      </c>
      <c r="E1959" s="4">
        <v>42.613999999999997</v>
      </c>
      <c r="F1959" s="4">
        <f t="shared" si="131"/>
        <v>15.496000000000002</v>
      </c>
      <c r="G1959" s="5">
        <f t="shared" si="132"/>
        <v>0.26666666666666672</v>
      </c>
      <c r="H1959" s="2" t="s">
        <v>1378</v>
      </c>
      <c r="I1959" s="6" t="s">
        <v>39</v>
      </c>
      <c r="J1959" s="2" t="s">
        <v>1379</v>
      </c>
      <c r="K1959" s="2" t="s">
        <v>1380</v>
      </c>
      <c r="L1959" s="2" t="s">
        <v>28</v>
      </c>
      <c r="M1959" s="2" t="s">
        <v>5</v>
      </c>
      <c r="N1959" s="4">
        <v>1045.6500000000001</v>
      </c>
    </row>
    <row r="1960" spans="1:14" x14ac:dyDescent="0.25">
      <c r="A1960" s="2" t="s">
        <v>1399</v>
      </c>
      <c r="B1960" s="2" t="s">
        <v>1400</v>
      </c>
      <c r="C1960" s="3">
        <v>5.6280000000000001</v>
      </c>
      <c r="D1960" s="4">
        <v>109.746</v>
      </c>
      <c r="E1960" s="4">
        <v>80.480400000000003</v>
      </c>
      <c r="F1960" s="4">
        <f t="shared" si="131"/>
        <v>29.265599999999992</v>
      </c>
      <c r="G1960" s="5">
        <f t="shared" si="132"/>
        <v>0.26666666666666661</v>
      </c>
      <c r="H1960" s="2" t="s">
        <v>1381</v>
      </c>
      <c r="I1960" s="6" t="s">
        <v>69</v>
      </c>
      <c r="J1960" s="2" t="s">
        <v>1382</v>
      </c>
      <c r="K1960" s="2" t="s">
        <v>1383</v>
      </c>
      <c r="L1960" s="2" t="s">
        <v>28</v>
      </c>
      <c r="M1960" s="2" t="s">
        <v>5</v>
      </c>
      <c r="N1960" s="4">
        <v>1055.6600000000001</v>
      </c>
    </row>
    <row r="1961" spans="1:14" x14ac:dyDescent="0.25">
      <c r="A1961" s="2" t="s">
        <v>1401</v>
      </c>
      <c r="B1961" s="2" t="s">
        <v>1402</v>
      </c>
      <c r="C1961" s="3">
        <v>8.3849999999999998</v>
      </c>
      <c r="D1961" s="4">
        <v>360.13574999999997</v>
      </c>
      <c r="E1961" s="4">
        <v>251.55</v>
      </c>
      <c r="F1961" s="4">
        <f t="shared" si="131"/>
        <v>108.58574999999996</v>
      </c>
      <c r="G1961" s="5">
        <f t="shared" si="132"/>
        <v>0.30151338766006974</v>
      </c>
      <c r="H1961" s="2" t="s">
        <v>1375</v>
      </c>
      <c r="I1961" s="6" t="s">
        <v>32</v>
      </c>
      <c r="J1961" s="2" t="s">
        <v>1376</v>
      </c>
      <c r="K1961" s="2" t="s">
        <v>1377</v>
      </c>
      <c r="L1961" s="2" t="s">
        <v>28</v>
      </c>
      <c r="M1961" s="2" t="s">
        <v>5</v>
      </c>
      <c r="N1961" s="4">
        <v>1070.5899999999999</v>
      </c>
    </row>
    <row r="1962" spans="1:14" x14ac:dyDescent="0.25">
      <c r="A1962" s="2" t="s">
        <v>1403</v>
      </c>
      <c r="B1962" s="2" t="s">
        <v>1404</v>
      </c>
      <c r="C1962" s="3">
        <v>8.1850000000000005</v>
      </c>
      <c r="D1962" s="4">
        <v>209.61785</v>
      </c>
      <c r="E1962" s="4">
        <v>114.59</v>
      </c>
      <c r="F1962" s="4">
        <f t="shared" si="131"/>
        <v>95.027850000000001</v>
      </c>
      <c r="G1962" s="5">
        <f t="shared" si="132"/>
        <v>0.45333853963295589</v>
      </c>
      <c r="H1962" s="2" t="s">
        <v>1405</v>
      </c>
      <c r="I1962" s="6" t="s">
        <v>32</v>
      </c>
      <c r="J1962" s="2" t="s">
        <v>1406</v>
      </c>
      <c r="K1962" s="2" t="s">
        <v>1407</v>
      </c>
      <c r="L1962" s="2" t="s">
        <v>28</v>
      </c>
      <c r="M1962" s="2" t="s">
        <v>5</v>
      </c>
      <c r="N1962" s="4">
        <v>209.62</v>
      </c>
    </row>
    <row r="1963" spans="1:14" x14ac:dyDescent="0.25">
      <c r="A1963" s="2" t="s">
        <v>1408</v>
      </c>
      <c r="B1963" s="2" t="s">
        <v>1409</v>
      </c>
      <c r="C1963" s="3">
        <v>3.72</v>
      </c>
      <c r="D1963" s="4">
        <v>129.45599999999999</v>
      </c>
      <c r="E1963" s="4">
        <v>81.84</v>
      </c>
      <c r="F1963" s="4">
        <f t="shared" si="131"/>
        <v>47.615999999999985</v>
      </c>
      <c r="G1963" s="5">
        <f t="shared" si="132"/>
        <v>0.36781609195402293</v>
      </c>
      <c r="H1963" s="2" t="s">
        <v>1375</v>
      </c>
      <c r="I1963" s="6" t="s">
        <v>32</v>
      </c>
      <c r="J1963" s="2" t="s">
        <v>1376</v>
      </c>
      <c r="K1963" s="2" t="s">
        <v>1377</v>
      </c>
      <c r="L1963" s="2" t="s">
        <v>28</v>
      </c>
      <c r="M1963" s="2" t="s">
        <v>5</v>
      </c>
      <c r="N1963" s="4">
        <v>1070.5899999999999</v>
      </c>
    </row>
    <row r="1964" spans="1:14" x14ac:dyDescent="0.25">
      <c r="A1964" s="2" t="s">
        <v>1408</v>
      </c>
      <c r="B1964" s="2" t="s">
        <v>1409</v>
      </c>
      <c r="C1964" s="3">
        <v>5.04</v>
      </c>
      <c r="D1964" s="4">
        <v>175.392</v>
      </c>
      <c r="E1964" s="4">
        <v>110.88</v>
      </c>
      <c r="F1964" s="4">
        <f t="shared" si="131"/>
        <v>64.512</v>
      </c>
      <c r="G1964" s="5">
        <f t="shared" si="132"/>
        <v>0.36781609195402298</v>
      </c>
      <c r="H1964" s="2" t="s">
        <v>1378</v>
      </c>
      <c r="I1964" s="6" t="s">
        <v>39</v>
      </c>
      <c r="J1964" s="2" t="s">
        <v>1379</v>
      </c>
      <c r="K1964" s="2" t="s">
        <v>1380</v>
      </c>
      <c r="L1964" s="2" t="s">
        <v>28</v>
      </c>
      <c r="M1964" s="2" t="s">
        <v>5</v>
      </c>
      <c r="N1964" s="4">
        <v>1045.6500000000001</v>
      </c>
    </row>
    <row r="1966" spans="1:14" x14ac:dyDescent="0.25">
      <c r="A1966" s="13" t="s">
        <v>59</v>
      </c>
      <c r="B1966" s="21"/>
      <c r="C1966" s="22">
        <f>SUM(C1939:C1965)</f>
        <v>149.39699999999999</v>
      </c>
      <c r="D1966" s="23">
        <f>SUM(D1939:D1965)</f>
        <v>3524.1026000000002</v>
      </c>
      <c r="E1966" s="23">
        <f>SUM(E1939:E1965)</f>
        <v>2045.1612999999998</v>
      </c>
      <c r="F1966" s="23">
        <f>D1966-E1966</f>
        <v>1478.9413000000004</v>
      </c>
      <c r="G1966" s="24">
        <f>IF(((D1966)=0),0,(D1966-E1966)/ D1966)</f>
        <v>0.41966465448537177</v>
      </c>
      <c r="H1966" s="21"/>
      <c r="I1966" s="21"/>
      <c r="J1966" s="21"/>
      <c r="K1966" s="21"/>
      <c r="L1966" s="21"/>
      <c r="M1966" s="21"/>
      <c r="N1966" s="21"/>
    </row>
    <row r="1968" spans="1:14" s="17" customFormat="1" ht="18.75" x14ac:dyDescent="0.3"/>
    <row r="1969" spans="1:14" s="7" customFormat="1" x14ac:dyDescent="0.25">
      <c r="A1969" s="13" t="s">
        <v>1410</v>
      </c>
      <c r="B1969" s="18" t="s">
        <v>1411</v>
      </c>
      <c r="C1969" s="19"/>
      <c r="D1969" s="20" t="s">
        <v>5</v>
      </c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</row>
    <row r="1971" spans="1:14" x14ac:dyDescent="0.25">
      <c r="A1971" s="2" t="s">
        <v>1412</v>
      </c>
      <c r="B1971" s="2" t="s">
        <v>1413</v>
      </c>
      <c r="C1971" s="3">
        <v>4</v>
      </c>
      <c r="D1971" s="4">
        <v>39.56</v>
      </c>
      <c r="E1971" s="4">
        <v>28.8</v>
      </c>
      <c r="F1971" s="4">
        <f t="shared" ref="F1971:F2002" si="133">D1971-E1971</f>
        <v>10.760000000000002</v>
      </c>
      <c r="G1971" s="5">
        <f t="shared" ref="G1971:G2002" si="134">IF(((D1971)=0),0,(D1971-E1971)/ D1971)</f>
        <v>0.2719919110212336</v>
      </c>
      <c r="H1971" s="2" t="s">
        <v>1414</v>
      </c>
      <c r="I1971" s="6" t="s">
        <v>39</v>
      </c>
      <c r="J1971" s="2" t="s">
        <v>1415</v>
      </c>
      <c r="K1971" s="2" t="s">
        <v>1416</v>
      </c>
      <c r="L1971" s="2" t="s">
        <v>28</v>
      </c>
      <c r="M1971" s="2" t="s">
        <v>5</v>
      </c>
      <c r="N1971" s="4">
        <v>1320.23</v>
      </c>
    </row>
    <row r="1972" spans="1:14" x14ac:dyDescent="0.25">
      <c r="A1972" s="2" t="s">
        <v>1417</v>
      </c>
      <c r="B1972" s="2" t="s">
        <v>1418</v>
      </c>
      <c r="C1972" s="3">
        <v>5</v>
      </c>
      <c r="D1972" s="4">
        <v>57</v>
      </c>
      <c r="E1972" s="4">
        <v>54.9</v>
      </c>
      <c r="F1972" s="4">
        <f t="shared" si="133"/>
        <v>2.1000000000000014</v>
      </c>
      <c r="G1972" s="5">
        <f t="shared" si="134"/>
        <v>3.6842105263157919E-2</v>
      </c>
      <c r="H1972" s="2" t="s">
        <v>1414</v>
      </c>
      <c r="I1972" s="6" t="s">
        <v>39</v>
      </c>
      <c r="J1972" s="2" t="s">
        <v>1415</v>
      </c>
      <c r="K1972" s="2" t="s">
        <v>1416</v>
      </c>
      <c r="L1972" s="2" t="s">
        <v>28</v>
      </c>
      <c r="M1972" s="2" t="s">
        <v>5</v>
      </c>
      <c r="N1972" s="4">
        <v>1320.23</v>
      </c>
    </row>
    <row r="1973" spans="1:14" x14ac:dyDescent="0.25">
      <c r="A1973" s="2" t="s">
        <v>1417</v>
      </c>
      <c r="B1973" s="2" t="s">
        <v>1418</v>
      </c>
      <c r="C1973" s="3">
        <v>5</v>
      </c>
      <c r="D1973" s="4">
        <v>57</v>
      </c>
      <c r="E1973" s="4">
        <v>54.9</v>
      </c>
      <c r="F1973" s="4">
        <f t="shared" si="133"/>
        <v>2.1000000000000014</v>
      </c>
      <c r="G1973" s="5">
        <f t="shared" si="134"/>
        <v>3.6842105263157919E-2</v>
      </c>
      <c r="H1973" s="2" t="s">
        <v>1419</v>
      </c>
      <c r="I1973" s="6" t="s">
        <v>69</v>
      </c>
      <c r="J1973" s="2" t="s">
        <v>1420</v>
      </c>
      <c r="K1973" s="2" t="s">
        <v>1421</v>
      </c>
      <c r="L1973" s="2" t="s">
        <v>28</v>
      </c>
      <c r="M1973" s="2" t="s">
        <v>5</v>
      </c>
      <c r="N1973" s="4">
        <v>1614.45</v>
      </c>
    </row>
    <row r="1974" spans="1:14" x14ac:dyDescent="0.25">
      <c r="A1974" s="2" t="s">
        <v>1417</v>
      </c>
      <c r="B1974" s="2" t="s">
        <v>1418</v>
      </c>
      <c r="C1974" s="3">
        <v>7.5</v>
      </c>
      <c r="D1974" s="4">
        <v>85.5</v>
      </c>
      <c r="E1974" s="4">
        <v>82.35</v>
      </c>
      <c r="F1974" s="4">
        <f t="shared" si="133"/>
        <v>3.1500000000000057</v>
      </c>
      <c r="G1974" s="5">
        <f t="shared" si="134"/>
        <v>3.6842105263157961E-2</v>
      </c>
      <c r="H1974" s="2" t="s">
        <v>1422</v>
      </c>
      <c r="I1974" s="6" t="s">
        <v>32</v>
      </c>
      <c r="J1974" s="2" t="s">
        <v>1423</v>
      </c>
      <c r="K1974" s="2" t="s">
        <v>1424</v>
      </c>
      <c r="L1974" s="2" t="s">
        <v>28</v>
      </c>
      <c r="M1974" s="2" t="s">
        <v>5</v>
      </c>
      <c r="N1974" s="4">
        <v>409.98</v>
      </c>
    </row>
    <row r="1975" spans="1:14" x14ac:dyDescent="0.25">
      <c r="A1975" s="2" t="s">
        <v>1373</v>
      </c>
      <c r="B1975" s="2" t="s">
        <v>1374</v>
      </c>
      <c r="C1975" s="3">
        <v>6.1</v>
      </c>
      <c r="D1975" s="4">
        <v>85.094999999999999</v>
      </c>
      <c r="E1975" s="4">
        <v>74.42</v>
      </c>
      <c r="F1975" s="4">
        <f t="shared" si="133"/>
        <v>10.674999999999997</v>
      </c>
      <c r="G1975" s="5">
        <f t="shared" si="134"/>
        <v>0.12544802867383509</v>
      </c>
      <c r="H1975" s="2" t="s">
        <v>1419</v>
      </c>
      <c r="I1975" s="6" t="s">
        <v>69</v>
      </c>
      <c r="J1975" s="2" t="s">
        <v>1420</v>
      </c>
      <c r="K1975" s="2" t="s">
        <v>1421</v>
      </c>
      <c r="L1975" s="2" t="s">
        <v>28</v>
      </c>
      <c r="M1975" s="2" t="s">
        <v>5</v>
      </c>
      <c r="N1975" s="4">
        <v>1614.45</v>
      </c>
    </row>
    <row r="1976" spans="1:14" x14ac:dyDescent="0.25">
      <c r="A1976" s="2" t="s">
        <v>1425</v>
      </c>
      <c r="B1976" s="2" t="s">
        <v>1426</v>
      </c>
      <c r="C1976" s="3">
        <v>3.0339999999999998</v>
      </c>
      <c r="D1976" s="4">
        <v>51.426299999999998</v>
      </c>
      <c r="E1976" s="4">
        <v>37.924999999999997</v>
      </c>
      <c r="F1976" s="4">
        <f t="shared" si="133"/>
        <v>13.501300000000001</v>
      </c>
      <c r="G1976" s="5">
        <f t="shared" si="134"/>
        <v>0.26253687315634222</v>
      </c>
      <c r="H1976" s="2" t="s">
        <v>1419</v>
      </c>
      <c r="I1976" s="6" t="s">
        <v>69</v>
      </c>
      <c r="J1976" s="2" t="s">
        <v>1420</v>
      </c>
      <c r="K1976" s="2" t="s">
        <v>1421</v>
      </c>
      <c r="L1976" s="2" t="s">
        <v>28</v>
      </c>
      <c r="M1976" s="2" t="s">
        <v>5</v>
      </c>
      <c r="N1976" s="4">
        <v>1614.45</v>
      </c>
    </row>
    <row r="1977" spans="1:14" x14ac:dyDescent="0.25">
      <c r="A1977" s="2" t="s">
        <v>1425</v>
      </c>
      <c r="B1977" s="2" t="s">
        <v>1426</v>
      </c>
      <c r="C1977" s="3">
        <v>3.024</v>
      </c>
      <c r="D1977" s="4">
        <v>51.256799999999998</v>
      </c>
      <c r="E1977" s="4">
        <v>37.799999999999997</v>
      </c>
      <c r="F1977" s="4">
        <f t="shared" si="133"/>
        <v>13.456800000000001</v>
      </c>
      <c r="G1977" s="5">
        <f t="shared" si="134"/>
        <v>0.26253687315634222</v>
      </c>
      <c r="H1977" s="2" t="s">
        <v>1427</v>
      </c>
      <c r="I1977" s="6" t="s">
        <v>25</v>
      </c>
      <c r="J1977" s="2" t="s">
        <v>1428</v>
      </c>
      <c r="K1977" s="2" t="s">
        <v>1429</v>
      </c>
      <c r="L1977" s="2" t="s">
        <v>28</v>
      </c>
      <c r="M1977" s="2" t="s">
        <v>5</v>
      </c>
      <c r="N1977" s="4">
        <v>1344.86</v>
      </c>
    </row>
    <row r="1978" spans="1:14" x14ac:dyDescent="0.25">
      <c r="A1978" s="2" t="s">
        <v>1366</v>
      </c>
      <c r="B1978" s="2" t="s">
        <v>1367</v>
      </c>
      <c r="C1978" s="3">
        <v>3</v>
      </c>
      <c r="D1978" s="4">
        <v>285</v>
      </c>
      <c r="E1978" s="4">
        <v>20.7</v>
      </c>
      <c r="F1978" s="4">
        <f t="shared" si="133"/>
        <v>264.3</v>
      </c>
      <c r="G1978" s="5">
        <f t="shared" si="134"/>
        <v>0.92736842105263162</v>
      </c>
      <c r="H1978" s="2" t="s">
        <v>1414</v>
      </c>
      <c r="I1978" s="6" t="s">
        <v>39</v>
      </c>
      <c r="J1978" s="2" t="s">
        <v>1415</v>
      </c>
      <c r="K1978" s="2" t="s">
        <v>1416</v>
      </c>
      <c r="L1978" s="2" t="s">
        <v>28</v>
      </c>
      <c r="M1978" s="2" t="s">
        <v>5</v>
      </c>
      <c r="N1978" s="4">
        <v>1320.23</v>
      </c>
    </row>
    <row r="1979" spans="1:14" x14ac:dyDescent="0.25">
      <c r="A1979" s="2" t="s">
        <v>1430</v>
      </c>
      <c r="B1979" s="2" t="s">
        <v>1431</v>
      </c>
      <c r="C1979" s="3">
        <v>8.64</v>
      </c>
      <c r="D1979" s="4">
        <v>130.2912</v>
      </c>
      <c r="E1979" s="4">
        <v>59.616</v>
      </c>
      <c r="F1979" s="4">
        <f t="shared" si="133"/>
        <v>70.675200000000004</v>
      </c>
      <c r="G1979" s="5">
        <f t="shared" si="134"/>
        <v>0.54244031830238726</v>
      </c>
      <c r="H1979" s="2" t="s">
        <v>1419</v>
      </c>
      <c r="I1979" s="6" t="s">
        <v>69</v>
      </c>
      <c r="J1979" s="2" t="s">
        <v>1420</v>
      </c>
      <c r="K1979" s="2" t="s">
        <v>1421</v>
      </c>
      <c r="L1979" s="2" t="s">
        <v>28</v>
      </c>
      <c r="M1979" s="2" t="s">
        <v>5</v>
      </c>
      <c r="N1979" s="4">
        <v>1614.45</v>
      </c>
    </row>
    <row r="1980" spans="1:14" x14ac:dyDescent="0.25">
      <c r="A1980" s="2" t="s">
        <v>1432</v>
      </c>
      <c r="B1980" s="2" t="s">
        <v>1433</v>
      </c>
      <c r="C1980" s="3">
        <v>2.93</v>
      </c>
      <c r="D1980" s="4">
        <v>140.49350000000001</v>
      </c>
      <c r="E1980" s="4">
        <v>108.41</v>
      </c>
      <c r="F1980" s="4">
        <f t="shared" si="133"/>
        <v>32.083500000000015</v>
      </c>
      <c r="G1980" s="5">
        <f t="shared" si="134"/>
        <v>0.22836287799791458</v>
      </c>
      <c r="H1980" s="2" t="s">
        <v>1414</v>
      </c>
      <c r="I1980" s="6" t="s">
        <v>39</v>
      </c>
      <c r="J1980" s="2" t="s">
        <v>1415</v>
      </c>
      <c r="K1980" s="2" t="s">
        <v>1416</v>
      </c>
      <c r="L1980" s="2" t="s">
        <v>28</v>
      </c>
      <c r="M1980" s="2" t="s">
        <v>5</v>
      </c>
      <c r="N1980" s="4">
        <v>1320.23</v>
      </c>
    </row>
    <row r="1981" spans="1:14" x14ac:dyDescent="0.25">
      <c r="A1981" s="2" t="s">
        <v>1432</v>
      </c>
      <c r="B1981" s="2" t="s">
        <v>1433</v>
      </c>
      <c r="C1981" s="3">
        <v>2.952</v>
      </c>
      <c r="D1981" s="4">
        <v>141.54839999999999</v>
      </c>
      <c r="E1981" s="4">
        <v>109.224</v>
      </c>
      <c r="F1981" s="4">
        <f t="shared" si="133"/>
        <v>32.324399999999983</v>
      </c>
      <c r="G1981" s="5">
        <f t="shared" si="134"/>
        <v>0.22836287799791438</v>
      </c>
      <c r="H1981" s="2" t="s">
        <v>1419</v>
      </c>
      <c r="I1981" s="6" t="s">
        <v>69</v>
      </c>
      <c r="J1981" s="2" t="s">
        <v>1420</v>
      </c>
      <c r="K1981" s="2" t="s">
        <v>1421</v>
      </c>
      <c r="L1981" s="2" t="s">
        <v>28</v>
      </c>
      <c r="M1981" s="2" t="s">
        <v>5</v>
      </c>
      <c r="N1981" s="4">
        <v>1614.45</v>
      </c>
    </row>
    <row r="1982" spans="1:14" x14ac:dyDescent="0.25">
      <c r="A1982" s="2" t="s">
        <v>1434</v>
      </c>
      <c r="B1982" s="2" t="s">
        <v>1435</v>
      </c>
      <c r="C1982" s="3">
        <v>4</v>
      </c>
      <c r="D1982" s="4">
        <v>55.64</v>
      </c>
      <c r="E1982" s="4">
        <v>40</v>
      </c>
      <c r="F1982" s="4">
        <f t="shared" si="133"/>
        <v>15.64</v>
      </c>
      <c r="G1982" s="5">
        <f t="shared" si="134"/>
        <v>0.28109273903666426</v>
      </c>
      <c r="H1982" s="2" t="s">
        <v>1414</v>
      </c>
      <c r="I1982" s="6" t="s">
        <v>39</v>
      </c>
      <c r="J1982" s="2" t="s">
        <v>1415</v>
      </c>
      <c r="K1982" s="2" t="s">
        <v>1416</v>
      </c>
      <c r="L1982" s="2" t="s">
        <v>28</v>
      </c>
      <c r="M1982" s="2" t="s">
        <v>5</v>
      </c>
      <c r="N1982" s="4">
        <v>1320.23</v>
      </c>
    </row>
    <row r="1983" spans="1:14" x14ac:dyDescent="0.25">
      <c r="A1983" s="2" t="s">
        <v>1436</v>
      </c>
      <c r="B1983" s="2" t="s">
        <v>1437</v>
      </c>
      <c r="C1983" s="3">
        <v>5.1100000000000003</v>
      </c>
      <c r="D1983" s="4">
        <v>68.933899999999994</v>
      </c>
      <c r="E1983" s="4">
        <v>48.545000000000002</v>
      </c>
      <c r="F1983" s="4">
        <f t="shared" si="133"/>
        <v>20.388899999999992</v>
      </c>
      <c r="G1983" s="5">
        <f t="shared" si="134"/>
        <v>0.29577464788732388</v>
      </c>
      <c r="H1983" s="2" t="s">
        <v>1419</v>
      </c>
      <c r="I1983" s="6" t="s">
        <v>69</v>
      </c>
      <c r="J1983" s="2" t="s">
        <v>1420</v>
      </c>
      <c r="K1983" s="2" t="s">
        <v>1421</v>
      </c>
      <c r="L1983" s="2" t="s">
        <v>28</v>
      </c>
      <c r="M1983" s="2" t="s">
        <v>5</v>
      </c>
      <c r="N1983" s="4">
        <v>1614.45</v>
      </c>
    </row>
    <row r="1984" spans="1:14" x14ac:dyDescent="0.25">
      <c r="A1984" s="2" t="s">
        <v>1393</v>
      </c>
      <c r="B1984" s="2" t="s">
        <v>1394</v>
      </c>
      <c r="C1984" s="3">
        <v>17.61</v>
      </c>
      <c r="D1984" s="4">
        <v>172.578</v>
      </c>
      <c r="E1984" s="4">
        <v>128.553</v>
      </c>
      <c r="F1984" s="4">
        <f t="shared" si="133"/>
        <v>44.025000000000006</v>
      </c>
      <c r="G1984" s="5">
        <f t="shared" si="134"/>
        <v>0.25510204081632654</v>
      </c>
      <c r="H1984" s="2" t="s">
        <v>1422</v>
      </c>
      <c r="I1984" s="6" t="s">
        <v>32</v>
      </c>
      <c r="J1984" s="2" t="s">
        <v>1423</v>
      </c>
      <c r="K1984" s="2" t="s">
        <v>1424</v>
      </c>
      <c r="L1984" s="2" t="s">
        <v>28</v>
      </c>
      <c r="M1984" s="2" t="s">
        <v>5</v>
      </c>
      <c r="N1984" s="4">
        <v>409.98</v>
      </c>
    </row>
    <row r="1985" spans="1:14" x14ac:dyDescent="0.25">
      <c r="A1985" s="2" t="s">
        <v>1438</v>
      </c>
      <c r="B1985" s="2" t="s">
        <v>1439</v>
      </c>
      <c r="C1985" s="3">
        <v>11.67</v>
      </c>
      <c r="D1985" s="4">
        <v>122.535</v>
      </c>
      <c r="E1985" s="4">
        <v>94.527000000000001</v>
      </c>
      <c r="F1985" s="4">
        <f t="shared" si="133"/>
        <v>28.007999999999996</v>
      </c>
      <c r="G1985" s="5">
        <f t="shared" si="134"/>
        <v>0.22857142857142854</v>
      </c>
      <c r="H1985" s="2" t="s">
        <v>1422</v>
      </c>
      <c r="I1985" s="6" t="s">
        <v>32</v>
      </c>
      <c r="J1985" s="2" t="s">
        <v>1423</v>
      </c>
      <c r="K1985" s="2" t="s">
        <v>1424</v>
      </c>
      <c r="L1985" s="2" t="s">
        <v>28</v>
      </c>
      <c r="M1985" s="2" t="s">
        <v>5</v>
      </c>
      <c r="N1985" s="4">
        <v>409.98</v>
      </c>
    </row>
    <row r="1986" spans="1:14" x14ac:dyDescent="0.25">
      <c r="A1986" s="2" t="s">
        <v>1397</v>
      </c>
      <c r="B1986" s="2" t="s">
        <v>1398</v>
      </c>
      <c r="C1986" s="3">
        <v>5.0999999999999996</v>
      </c>
      <c r="D1986" s="4">
        <v>129.59100000000001</v>
      </c>
      <c r="E1986" s="4">
        <v>72.930000000000007</v>
      </c>
      <c r="F1986" s="4">
        <f t="shared" si="133"/>
        <v>56.661000000000001</v>
      </c>
      <c r="G1986" s="5">
        <f t="shared" si="134"/>
        <v>0.43722943722943719</v>
      </c>
      <c r="H1986" s="2" t="s">
        <v>1414</v>
      </c>
      <c r="I1986" s="6" t="s">
        <v>39</v>
      </c>
      <c r="J1986" s="2" t="s">
        <v>1415</v>
      </c>
      <c r="K1986" s="2" t="s">
        <v>1416</v>
      </c>
      <c r="L1986" s="2" t="s">
        <v>28</v>
      </c>
      <c r="M1986" s="2" t="s">
        <v>5</v>
      </c>
      <c r="N1986" s="4">
        <v>1320.23</v>
      </c>
    </row>
    <row r="1987" spans="1:14" x14ac:dyDescent="0.25">
      <c r="A1987" s="2" t="s">
        <v>1397</v>
      </c>
      <c r="B1987" s="2" t="s">
        <v>1398</v>
      </c>
      <c r="C1987" s="3">
        <v>10.46</v>
      </c>
      <c r="D1987" s="4">
        <v>265.78859999999997</v>
      </c>
      <c r="E1987" s="4">
        <v>149.578</v>
      </c>
      <c r="F1987" s="4">
        <f t="shared" si="133"/>
        <v>116.21059999999997</v>
      </c>
      <c r="G1987" s="5">
        <f t="shared" si="134"/>
        <v>0.43722943722943719</v>
      </c>
      <c r="H1987" s="2" t="s">
        <v>1419</v>
      </c>
      <c r="I1987" s="6" t="s">
        <v>69</v>
      </c>
      <c r="J1987" s="2" t="s">
        <v>1420</v>
      </c>
      <c r="K1987" s="2" t="s">
        <v>1421</v>
      </c>
      <c r="L1987" s="2" t="s">
        <v>28</v>
      </c>
      <c r="M1987" s="2" t="s">
        <v>5</v>
      </c>
      <c r="N1987" s="4">
        <v>1614.45</v>
      </c>
    </row>
    <row r="1988" spans="1:14" x14ac:dyDescent="0.25">
      <c r="A1988" s="2" t="s">
        <v>1397</v>
      </c>
      <c r="B1988" s="2" t="s">
        <v>1398</v>
      </c>
      <c r="C1988" s="3">
        <v>10.44</v>
      </c>
      <c r="D1988" s="4">
        <v>265.28039999999999</v>
      </c>
      <c r="E1988" s="4">
        <v>149.292</v>
      </c>
      <c r="F1988" s="4">
        <f t="shared" si="133"/>
        <v>115.98839999999998</v>
      </c>
      <c r="G1988" s="5">
        <f t="shared" si="134"/>
        <v>0.43722943722943719</v>
      </c>
      <c r="H1988" s="2" t="s">
        <v>1427</v>
      </c>
      <c r="I1988" s="6" t="s">
        <v>25</v>
      </c>
      <c r="J1988" s="2" t="s">
        <v>1428</v>
      </c>
      <c r="K1988" s="2" t="s">
        <v>1429</v>
      </c>
      <c r="L1988" s="2" t="s">
        <v>28</v>
      </c>
      <c r="M1988" s="2" t="s">
        <v>5</v>
      </c>
      <c r="N1988" s="4">
        <v>1344.86</v>
      </c>
    </row>
    <row r="1989" spans="1:14" x14ac:dyDescent="0.25">
      <c r="A1989" s="2" t="s">
        <v>1399</v>
      </c>
      <c r="B1989" s="2" t="s">
        <v>1400</v>
      </c>
      <c r="C1989" s="3">
        <v>2.93</v>
      </c>
      <c r="D1989" s="4">
        <v>57.134999999999998</v>
      </c>
      <c r="E1989" s="4">
        <v>41.899000000000001</v>
      </c>
      <c r="F1989" s="4">
        <f t="shared" si="133"/>
        <v>15.235999999999997</v>
      </c>
      <c r="G1989" s="5">
        <f t="shared" si="134"/>
        <v>0.26666666666666661</v>
      </c>
      <c r="H1989" s="2" t="s">
        <v>1414</v>
      </c>
      <c r="I1989" s="6" t="s">
        <v>39</v>
      </c>
      <c r="J1989" s="2" t="s">
        <v>1415</v>
      </c>
      <c r="K1989" s="2" t="s">
        <v>1416</v>
      </c>
      <c r="L1989" s="2" t="s">
        <v>28</v>
      </c>
      <c r="M1989" s="2" t="s">
        <v>5</v>
      </c>
      <c r="N1989" s="4">
        <v>1320.23</v>
      </c>
    </row>
    <row r="1990" spans="1:14" x14ac:dyDescent="0.25">
      <c r="A1990" s="2" t="s">
        <v>1399</v>
      </c>
      <c r="B1990" s="2" t="s">
        <v>1400</v>
      </c>
      <c r="C1990" s="3">
        <v>8.6300000000000008</v>
      </c>
      <c r="D1990" s="4">
        <v>168.285</v>
      </c>
      <c r="E1990" s="4">
        <v>123.40900000000001</v>
      </c>
      <c r="F1990" s="4">
        <f t="shared" si="133"/>
        <v>44.875999999999991</v>
      </c>
      <c r="G1990" s="5">
        <f t="shared" si="134"/>
        <v>0.26666666666666661</v>
      </c>
      <c r="H1990" s="2" t="s">
        <v>1419</v>
      </c>
      <c r="I1990" s="6" t="s">
        <v>69</v>
      </c>
      <c r="J1990" s="2" t="s">
        <v>1420</v>
      </c>
      <c r="K1990" s="2" t="s">
        <v>1421</v>
      </c>
      <c r="L1990" s="2" t="s">
        <v>28</v>
      </c>
      <c r="M1990" s="2" t="s">
        <v>5</v>
      </c>
      <c r="N1990" s="4">
        <v>1614.45</v>
      </c>
    </row>
    <row r="1991" spans="1:14" x14ac:dyDescent="0.25">
      <c r="A1991" s="2" t="s">
        <v>1399</v>
      </c>
      <c r="B1991" s="2" t="s">
        <v>1400</v>
      </c>
      <c r="C1991" s="3">
        <v>4.3739999999999997</v>
      </c>
      <c r="D1991" s="4">
        <v>85.293000000000006</v>
      </c>
      <c r="E1991" s="4">
        <v>62.548200000000001</v>
      </c>
      <c r="F1991" s="4">
        <f t="shared" si="133"/>
        <v>22.744800000000005</v>
      </c>
      <c r="G1991" s="5">
        <f t="shared" si="134"/>
        <v>0.26666666666666672</v>
      </c>
      <c r="H1991" s="2" t="s">
        <v>1427</v>
      </c>
      <c r="I1991" s="6" t="s">
        <v>25</v>
      </c>
      <c r="J1991" s="2" t="s">
        <v>1428</v>
      </c>
      <c r="K1991" s="2" t="s">
        <v>1429</v>
      </c>
      <c r="L1991" s="2" t="s">
        <v>28</v>
      </c>
      <c r="M1991" s="2" t="s">
        <v>5</v>
      </c>
      <c r="N1991" s="4">
        <v>1344.86</v>
      </c>
    </row>
    <row r="1992" spans="1:14" x14ac:dyDescent="0.25">
      <c r="A1992" s="2" t="s">
        <v>1440</v>
      </c>
      <c r="B1992" s="2" t="s">
        <v>1441</v>
      </c>
      <c r="C1992" s="3">
        <v>6.0949999999999998</v>
      </c>
      <c r="D1992" s="4">
        <v>257.14805000000001</v>
      </c>
      <c r="E1992" s="4">
        <v>188.94499999999999</v>
      </c>
      <c r="F1992" s="4">
        <f t="shared" si="133"/>
        <v>68.203050000000019</v>
      </c>
      <c r="G1992" s="5">
        <f t="shared" si="134"/>
        <v>0.26522872718653717</v>
      </c>
      <c r="H1992" s="2" t="s">
        <v>1427</v>
      </c>
      <c r="I1992" s="6" t="s">
        <v>25</v>
      </c>
      <c r="J1992" s="2" t="s">
        <v>1428</v>
      </c>
      <c r="K1992" s="2" t="s">
        <v>1429</v>
      </c>
      <c r="L1992" s="2" t="s">
        <v>28</v>
      </c>
      <c r="M1992" s="2" t="s">
        <v>5</v>
      </c>
      <c r="N1992" s="4">
        <v>1344.86</v>
      </c>
    </row>
    <row r="1993" spans="1:14" x14ac:dyDescent="0.25">
      <c r="A1993" s="2" t="s">
        <v>1440</v>
      </c>
      <c r="B1993" s="2" t="s">
        <v>1441</v>
      </c>
      <c r="C1993" s="3">
        <v>6.17</v>
      </c>
      <c r="D1993" s="4">
        <v>260.31229999999999</v>
      </c>
      <c r="E1993" s="4">
        <v>191.27</v>
      </c>
      <c r="F1993" s="4">
        <f t="shared" si="133"/>
        <v>69.042299999999983</v>
      </c>
      <c r="G1993" s="5">
        <f t="shared" si="134"/>
        <v>0.26522872718653706</v>
      </c>
      <c r="H1993" s="2" t="s">
        <v>1419</v>
      </c>
      <c r="I1993" s="6" t="s">
        <v>69</v>
      </c>
      <c r="J1993" s="2" t="s">
        <v>1420</v>
      </c>
      <c r="K1993" s="2" t="s">
        <v>1421</v>
      </c>
      <c r="L1993" s="2" t="s">
        <v>28</v>
      </c>
      <c r="M1993" s="2" t="s">
        <v>5</v>
      </c>
      <c r="N1993" s="4">
        <v>1614.45</v>
      </c>
    </row>
    <row r="1994" spans="1:14" x14ac:dyDescent="0.25">
      <c r="A1994" s="2" t="s">
        <v>1440</v>
      </c>
      <c r="B1994" s="2" t="s">
        <v>1441</v>
      </c>
      <c r="C1994" s="3">
        <v>3.74</v>
      </c>
      <c r="D1994" s="4">
        <v>157.79060000000001</v>
      </c>
      <c r="E1994" s="4">
        <v>115.94</v>
      </c>
      <c r="F1994" s="4">
        <f t="shared" si="133"/>
        <v>41.850600000000014</v>
      </c>
      <c r="G1994" s="5">
        <f t="shared" si="134"/>
        <v>0.26522872718653717</v>
      </c>
      <c r="H1994" s="2" t="s">
        <v>1414</v>
      </c>
      <c r="I1994" s="6" t="s">
        <v>39</v>
      </c>
      <c r="J1994" s="2" t="s">
        <v>1415</v>
      </c>
      <c r="K1994" s="2" t="s">
        <v>1416</v>
      </c>
      <c r="L1994" s="2" t="s">
        <v>28</v>
      </c>
      <c r="M1994" s="2" t="s">
        <v>5</v>
      </c>
      <c r="N1994" s="4">
        <v>1320.23</v>
      </c>
    </row>
    <row r="1995" spans="1:14" x14ac:dyDescent="0.25">
      <c r="A1995" s="2" t="s">
        <v>1442</v>
      </c>
      <c r="B1995" s="2" t="s">
        <v>1443</v>
      </c>
      <c r="C1995" s="3">
        <v>4.0999999999999996</v>
      </c>
      <c r="D1995" s="4">
        <v>105.001</v>
      </c>
      <c r="E1995" s="4">
        <v>57.4</v>
      </c>
      <c r="F1995" s="4">
        <f t="shared" si="133"/>
        <v>47.601000000000006</v>
      </c>
      <c r="G1995" s="5">
        <f t="shared" si="134"/>
        <v>0.45333853963295589</v>
      </c>
      <c r="H1995" s="2" t="s">
        <v>1414</v>
      </c>
      <c r="I1995" s="6" t="s">
        <v>39</v>
      </c>
      <c r="J1995" s="2" t="s">
        <v>1415</v>
      </c>
      <c r="K1995" s="2" t="s">
        <v>1416</v>
      </c>
      <c r="L1995" s="2" t="s">
        <v>28</v>
      </c>
      <c r="M1995" s="2" t="s">
        <v>5</v>
      </c>
      <c r="N1995" s="4">
        <v>1320.23</v>
      </c>
    </row>
    <row r="1996" spans="1:14" x14ac:dyDescent="0.25">
      <c r="A1996" s="2" t="s">
        <v>1442</v>
      </c>
      <c r="B1996" s="2" t="s">
        <v>1443</v>
      </c>
      <c r="C1996" s="3">
        <v>10.15</v>
      </c>
      <c r="D1996" s="4">
        <v>259.94150000000002</v>
      </c>
      <c r="E1996" s="4">
        <v>142.1</v>
      </c>
      <c r="F1996" s="4">
        <f t="shared" si="133"/>
        <v>117.84150000000002</v>
      </c>
      <c r="G1996" s="5">
        <f t="shared" si="134"/>
        <v>0.45333853963295595</v>
      </c>
      <c r="H1996" s="2" t="s">
        <v>1419</v>
      </c>
      <c r="I1996" s="6" t="s">
        <v>69</v>
      </c>
      <c r="J1996" s="2" t="s">
        <v>1420</v>
      </c>
      <c r="K1996" s="2" t="s">
        <v>1421</v>
      </c>
      <c r="L1996" s="2" t="s">
        <v>28</v>
      </c>
      <c r="M1996" s="2" t="s">
        <v>5</v>
      </c>
      <c r="N1996" s="4">
        <v>1614.45</v>
      </c>
    </row>
    <row r="1997" spans="1:14" x14ac:dyDescent="0.25">
      <c r="A1997" s="2" t="s">
        <v>1442</v>
      </c>
      <c r="B1997" s="2" t="s">
        <v>1443</v>
      </c>
      <c r="C1997" s="3">
        <v>10.414</v>
      </c>
      <c r="D1997" s="4">
        <v>266.70254</v>
      </c>
      <c r="E1997" s="4">
        <v>145.79599999999999</v>
      </c>
      <c r="F1997" s="4">
        <f t="shared" si="133"/>
        <v>120.90654000000001</v>
      </c>
      <c r="G1997" s="5">
        <f t="shared" si="134"/>
        <v>0.45333853963295589</v>
      </c>
      <c r="H1997" s="2" t="s">
        <v>1427</v>
      </c>
      <c r="I1997" s="6" t="s">
        <v>25</v>
      </c>
      <c r="J1997" s="2" t="s">
        <v>1428</v>
      </c>
      <c r="K1997" s="2" t="s">
        <v>1429</v>
      </c>
      <c r="L1997" s="2" t="s">
        <v>28</v>
      </c>
      <c r="M1997" s="2" t="s">
        <v>5</v>
      </c>
      <c r="N1997" s="4">
        <v>1344.86</v>
      </c>
    </row>
    <row r="1998" spans="1:14" x14ac:dyDescent="0.25">
      <c r="A1998" s="2" t="s">
        <v>1444</v>
      </c>
      <c r="B1998" s="2" t="s">
        <v>1445</v>
      </c>
      <c r="C1998" s="3">
        <v>2.105</v>
      </c>
      <c r="D1998" s="4">
        <v>29.364750000000001</v>
      </c>
      <c r="E1998" s="4">
        <v>26.3125</v>
      </c>
      <c r="F1998" s="4">
        <f t="shared" si="133"/>
        <v>3.0522500000000008</v>
      </c>
      <c r="G1998" s="5">
        <f t="shared" si="134"/>
        <v>0.10394265232974913</v>
      </c>
      <c r="H1998" s="2" t="s">
        <v>1422</v>
      </c>
      <c r="I1998" s="6" t="s">
        <v>32</v>
      </c>
      <c r="J1998" s="2" t="s">
        <v>1423</v>
      </c>
      <c r="K1998" s="2" t="s">
        <v>1424</v>
      </c>
      <c r="L1998" s="2" t="s">
        <v>28</v>
      </c>
      <c r="M1998" s="2" t="s">
        <v>5</v>
      </c>
      <c r="N1998" s="4">
        <v>409.98</v>
      </c>
    </row>
    <row r="1999" spans="1:14" x14ac:dyDescent="0.25">
      <c r="A1999" s="2" t="s">
        <v>1444</v>
      </c>
      <c r="B1999" s="2" t="s">
        <v>1445</v>
      </c>
      <c r="C1999" s="3">
        <v>21.004999999999999</v>
      </c>
      <c r="D1999" s="4">
        <v>293.01974999999999</v>
      </c>
      <c r="E1999" s="4">
        <v>262.5625</v>
      </c>
      <c r="F1999" s="4">
        <f t="shared" si="133"/>
        <v>30.457249999999988</v>
      </c>
      <c r="G1999" s="5">
        <f t="shared" si="134"/>
        <v>0.10394265232974907</v>
      </c>
      <c r="H1999" s="2" t="s">
        <v>1414</v>
      </c>
      <c r="I1999" s="6" t="s">
        <v>39</v>
      </c>
      <c r="J1999" s="2" t="s">
        <v>1415</v>
      </c>
      <c r="K1999" s="2" t="s">
        <v>1416</v>
      </c>
      <c r="L1999" s="2" t="s">
        <v>28</v>
      </c>
      <c r="M1999" s="2" t="s">
        <v>5</v>
      </c>
      <c r="N1999" s="4">
        <v>1320.23</v>
      </c>
    </row>
    <row r="2000" spans="1:14" x14ac:dyDescent="0.25">
      <c r="A2000" s="2" t="s">
        <v>1444</v>
      </c>
      <c r="B2000" s="2" t="s">
        <v>1445</v>
      </c>
      <c r="C2000" s="3">
        <v>9.02</v>
      </c>
      <c r="D2000" s="4">
        <v>125.82899999999999</v>
      </c>
      <c r="E2000" s="4">
        <v>112.75</v>
      </c>
      <c r="F2000" s="4">
        <f t="shared" si="133"/>
        <v>13.078999999999994</v>
      </c>
      <c r="G2000" s="5">
        <f t="shared" si="134"/>
        <v>0.10394265232974906</v>
      </c>
      <c r="H2000" s="2" t="s">
        <v>1419</v>
      </c>
      <c r="I2000" s="6" t="s">
        <v>69</v>
      </c>
      <c r="J2000" s="2" t="s">
        <v>1420</v>
      </c>
      <c r="K2000" s="2" t="s">
        <v>1421</v>
      </c>
      <c r="L2000" s="2" t="s">
        <v>28</v>
      </c>
      <c r="M2000" s="2" t="s">
        <v>5</v>
      </c>
      <c r="N2000" s="4">
        <v>1614.45</v>
      </c>
    </row>
    <row r="2001" spans="1:14" x14ac:dyDescent="0.25">
      <c r="A2001" s="2" t="s">
        <v>1444</v>
      </c>
      <c r="B2001" s="2" t="s">
        <v>1445</v>
      </c>
      <c r="C2001" s="3">
        <v>30.048999999999999</v>
      </c>
      <c r="D2001" s="4">
        <v>419.18355000000003</v>
      </c>
      <c r="E2001" s="4">
        <v>375.61250000000001</v>
      </c>
      <c r="F2001" s="4">
        <f t="shared" si="133"/>
        <v>43.571050000000014</v>
      </c>
      <c r="G2001" s="5">
        <f t="shared" si="134"/>
        <v>0.10394265232974913</v>
      </c>
      <c r="H2001" s="2" t="s">
        <v>1427</v>
      </c>
      <c r="I2001" s="6" t="s">
        <v>25</v>
      </c>
      <c r="J2001" s="2" t="s">
        <v>1428</v>
      </c>
      <c r="K2001" s="2" t="s">
        <v>1429</v>
      </c>
      <c r="L2001" s="2" t="s">
        <v>28</v>
      </c>
      <c r="M2001" s="2" t="s">
        <v>5</v>
      </c>
      <c r="N2001" s="4">
        <v>1344.86</v>
      </c>
    </row>
    <row r="2002" spans="1:14" x14ac:dyDescent="0.25">
      <c r="A2002" s="2" t="s">
        <v>1444</v>
      </c>
      <c r="B2002" s="2" t="s">
        <v>1445</v>
      </c>
      <c r="C2002" s="3">
        <v>18.945</v>
      </c>
      <c r="D2002" s="4">
        <v>264.28275000000002</v>
      </c>
      <c r="E2002" s="4">
        <v>236.8125</v>
      </c>
      <c r="F2002" s="4">
        <f t="shared" si="133"/>
        <v>27.470250000000021</v>
      </c>
      <c r="G2002" s="5">
        <f t="shared" si="134"/>
        <v>0.10394265232974918</v>
      </c>
      <c r="H2002" s="2" t="s">
        <v>1446</v>
      </c>
      <c r="I2002" s="6" t="s">
        <v>32</v>
      </c>
      <c r="J2002" s="2" t="s">
        <v>1447</v>
      </c>
      <c r="K2002" s="2" t="s">
        <v>1424</v>
      </c>
      <c r="L2002" s="2" t="s">
        <v>28</v>
      </c>
      <c r="M2002" s="2" t="s">
        <v>5</v>
      </c>
      <c r="N2002" s="4">
        <v>264.27999999999997</v>
      </c>
    </row>
    <row r="2004" spans="1:14" x14ac:dyDescent="0.25">
      <c r="A2004" s="13" t="s">
        <v>59</v>
      </c>
      <c r="B2004" s="21"/>
      <c r="C2004" s="22">
        <f>SUM(C1968:C2003)</f>
        <v>253.29699999999997</v>
      </c>
      <c r="D2004" s="23">
        <f>SUM(D1968:D2003)</f>
        <v>4953.8068900000007</v>
      </c>
      <c r="E2004" s="23">
        <f>SUM(E1968:E2003)</f>
        <v>3435.8272000000002</v>
      </c>
      <c r="F2004" s="23">
        <f>D2004-E2004</f>
        <v>1517.9796900000006</v>
      </c>
      <c r="G2004" s="24">
        <f>IF(((D2004)=0),0,(D2004-E2004)/ D2004)</f>
        <v>0.30642690030252678</v>
      </c>
      <c r="H2004" s="21"/>
      <c r="I2004" s="21"/>
      <c r="J2004" s="21"/>
      <c r="K2004" s="21"/>
      <c r="L2004" s="21"/>
      <c r="M2004" s="21"/>
      <c r="N2004" s="21"/>
    </row>
    <row r="2006" spans="1:14" s="17" customFormat="1" ht="18.75" x14ac:dyDescent="0.3"/>
    <row r="2007" spans="1:14" s="7" customFormat="1" x14ac:dyDescent="0.25">
      <c r="A2007" s="13" t="s">
        <v>1448</v>
      </c>
      <c r="B2007" s="18" t="s">
        <v>1449</v>
      </c>
      <c r="C2007" s="19"/>
      <c r="D2007" s="20" t="s">
        <v>5</v>
      </c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</row>
    <row r="2009" spans="1:14" x14ac:dyDescent="0.25">
      <c r="A2009" s="2" t="s">
        <v>1412</v>
      </c>
      <c r="B2009" s="2" t="s">
        <v>1413</v>
      </c>
      <c r="C2009" s="3">
        <v>2</v>
      </c>
      <c r="D2009" s="4">
        <v>19.78</v>
      </c>
      <c r="E2009" s="4">
        <v>14.4</v>
      </c>
      <c r="F2009" s="4">
        <f t="shared" ref="F2009:F2024" si="135">D2009-E2009</f>
        <v>5.3800000000000008</v>
      </c>
      <c r="G2009" s="5">
        <f t="shared" ref="G2009:G2024" si="136">IF(((D2009)=0),0,(D2009-E2009)/ D2009)</f>
        <v>0.2719919110212336</v>
      </c>
      <c r="H2009" s="2" t="s">
        <v>1450</v>
      </c>
      <c r="I2009" s="6" t="s">
        <v>32</v>
      </c>
      <c r="J2009" s="2" t="s">
        <v>1451</v>
      </c>
      <c r="K2009" s="2" t="s">
        <v>1452</v>
      </c>
      <c r="L2009" s="2" t="s">
        <v>28</v>
      </c>
      <c r="M2009" s="2" t="s">
        <v>5</v>
      </c>
      <c r="N2009" s="4">
        <v>3832.43</v>
      </c>
    </row>
    <row r="2010" spans="1:14" x14ac:dyDescent="0.25">
      <c r="A2010" s="2" t="s">
        <v>1417</v>
      </c>
      <c r="B2010" s="2" t="s">
        <v>1418</v>
      </c>
      <c r="C2010" s="3">
        <v>10</v>
      </c>
      <c r="D2010" s="4">
        <v>114</v>
      </c>
      <c r="E2010" s="4">
        <v>109.8</v>
      </c>
      <c r="F2010" s="4">
        <f t="shared" si="135"/>
        <v>4.2000000000000028</v>
      </c>
      <c r="G2010" s="5">
        <f t="shared" si="136"/>
        <v>3.6842105263157919E-2</v>
      </c>
      <c r="H2010" s="2" t="s">
        <v>1450</v>
      </c>
      <c r="I2010" s="6" t="s">
        <v>32</v>
      </c>
      <c r="J2010" s="2" t="s">
        <v>1451</v>
      </c>
      <c r="K2010" s="2" t="s">
        <v>1452</v>
      </c>
      <c r="L2010" s="2" t="s">
        <v>28</v>
      </c>
      <c r="M2010" s="2" t="s">
        <v>5</v>
      </c>
      <c r="N2010" s="4">
        <v>3832.43</v>
      </c>
    </row>
    <row r="2011" spans="1:14" x14ac:dyDescent="0.25">
      <c r="A2011" s="2" t="s">
        <v>1373</v>
      </c>
      <c r="B2011" s="2" t="s">
        <v>1374</v>
      </c>
      <c r="C2011" s="3">
        <v>10</v>
      </c>
      <c r="D2011" s="4">
        <v>139.5</v>
      </c>
      <c r="E2011" s="4">
        <v>100</v>
      </c>
      <c r="F2011" s="4">
        <f t="shared" si="135"/>
        <v>39.5</v>
      </c>
      <c r="G2011" s="5">
        <f t="shared" si="136"/>
        <v>0.28315412186379929</v>
      </c>
      <c r="H2011" s="2" t="s">
        <v>1450</v>
      </c>
      <c r="I2011" s="6" t="s">
        <v>32</v>
      </c>
      <c r="J2011" s="2" t="s">
        <v>1451</v>
      </c>
      <c r="K2011" s="2" t="s">
        <v>1452</v>
      </c>
      <c r="L2011" s="2" t="s">
        <v>28</v>
      </c>
      <c r="M2011" s="2" t="s">
        <v>5</v>
      </c>
      <c r="N2011" s="4">
        <v>3832.43</v>
      </c>
    </row>
    <row r="2012" spans="1:14" x14ac:dyDescent="0.25">
      <c r="A2012" s="2" t="s">
        <v>1366</v>
      </c>
      <c r="B2012" s="2" t="s">
        <v>1367</v>
      </c>
      <c r="C2012" s="3">
        <v>5</v>
      </c>
      <c r="D2012" s="4">
        <v>475</v>
      </c>
      <c r="E2012" s="4">
        <v>34.5</v>
      </c>
      <c r="F2012" s="4">
        <f t="shared" si="135"/>
        <v>440.5</v>
      </c>
      <c r="G2012" s="5">
        <f t="shared" si="136"/>
        <v>0.92736842105263162</v>
      </c>
      <c r="H2012" s="2" t="s">
        <v>1450</v>
      </c>
      <c r="I2012" s="6" t="s">
        <v>32</v>
      </c>
      <c r="J2012" s="2" t="s">
        <v>1451</v>
      </c>
      <c r="K2012" s="2" t="s">
        <v>1452</v>
      </c>
      <c r="L2012" s="2" t="s">
        <v>28</v>
      </c>
      <c r="M2012" s="2" t="s">
        <v>5</v>
      </c>
      <c r="N2012" s="4">
        <v>3832.43</v>
      </c>
    </row>
    <row r="2013" spans="1:14" x14ac:dyDescent="0.25">
      <c r="A2013" s="2" t="s">
        <v>1453</v>
      </c>
      <c r="B2013" s="2" t="s">
        <v>1454</v>
      </c>
      <c r="C2013" s="3">
        <v>2.58</v>
      </c>
      <c r="D2013" s="4">
        <v>45.15</v>
      </c>
      <c r="E2013" s="4">
        <v>36.016800000000003</v>
      </c>
      <c r="F2013" s="4">
        <f t="shared" si="135"/>
        <v>9.1331999999999951</v>
      </c>
      <c r="G2013" s="5">
        <f t="shared" si="136"/>
        <v>0.20228571428571418</v>
      </c>
      <c r="H2013" s="2" t="s">
        <v>1450</v>
      </c>
      <c r="I2013" s="6" t="s">
        <v>32</v>
      </c>
      <c r="J2013" s="2" t="s">
        <v>1451</v>
      </c>
      <c r="K2013" s="2" t="s">
        <v>1452</v>
      </c>
      <c r="L2013" s="2" t="s">
        <v>28</v>
      </c>
      <c r="M2013" s="2" t="s">
        <v>5</v>
      </c>
      <c r="N2013" s="4">
        <v>3832.43</v>
      </c>
    </row>
    <row r="2014" spans="1:14" x14ac:dyDescent="0.25">
      <c r="A2014" s="2" t="s">
        <v>1455</v>
      </c>
      <c r="B2014" s="2" t="s">
        <v>1456</v>
      </c>
      <c r="C2014" s="3">
        <v>8</v>
      </c>
      <c r="D2014" s="4">
        <v>77.040000000000006</v>
      </c>
      <c r="E2014" s="4">
        <v>55.92</v>
      </c>
      <c r="F2014" s="4">
        <f t="shared" si="135"/>
        <v>21.120000000000005</v>
      </c>
      <c r="G2014" s="5">
        <f t="shared" si="136"/>
        <v>0.27414330218068539</v>
      </c>
      <c r="H2014" s="2" t="s">
        <v>1450</v>
      </c>
      <c r="I2014" s="6" t="s">
        <v>32</v>
      </c>
      <c r="J2014" s="2" t="s">
        <v>1451</v>
      </c>
      <c r="K2014" s="2" t="s">
        <v>1452</v>
      </c>
      <c r="L2014" s="2" t="s">
        <v>28</v>
      </c>
      <c r="M2014" s="2" t="s">
        <v>5</v>
      </c>
      <c r="N2014" s="4">
        <v>3832.43</v>
      </c>
    </row>
    <row r="2015" spans="1:14" x14ac:dyDescent="0.25">
      <c r="A2015" s="2" t="s">
        <v>1434</v>
      </c>
      <c r="B2015" s="2" t="s">
        <v>1435</v>
      </c>
      <c r="C2015" s="3">
        <v>2</v>
      </c>
      <c r="D2015" s="4">
        <v>27.82</v>
      </c>
      <c r="E2015" s="4">
        <v>20</v>
      </c>
      <c r="F2015" s="4">
        <f t="shared" si="135"/>
        <v>7.82</v>
      </c>
      <c r="G2015" s="5">
        <f t="shared" si="136"/>
        <v>0.28109273903666426</v>
      </c>
      <c r="H2015" s="2" t="s">
        <v>1450</v>
      </c>
      <c r="I2015" s="6" t="s">
        <v>32</v>
      </c>
      <c r="J2015" s="2" t="s">
        <v>1451</v>
      </c>
      <c r="K2015" s="2" t="s">
        <v>1452</v>
      </c>
      <c r="L2015" s="2" t="s">
        <v>28</v>
      </c>
      <c r="M2015" s="2" t="s">
        <v>5</v>
      </c>
      <c r="N2015" s="4">
        <v>3832.43</v>
      </c>
    </row>
    <row r="2016" spans="1:14" x14ac:dyDescent="0.25">
      <c r="A2016" s="2" t="s">
        <v>1393</v>
      </c>
      <c r="B2016" s="2" t="s">
        <v>1394</v>
      </c>
      <c r="C2016" s="3">
        <v>30.12</v>
      </c>
      <c r="D2016" s="4">
        <v>295.17599999999999</v>
      </c>
      <c r="E2016" s="4">
        <v>219.876</v>
      </c>
      <c r="F2016" s="4">
        <f t="shared" si="135"/>
        <v>75.299999999999983</v>
      </c>
      <c r="G2016" s="5">
        <f t="shared" si="136"/>
        <v>0.25510204081632648</v>
      </c>
      <c r="H2016" s="2" t="s">
        <v>1450</v>
      </c>
      <c r="I2016" s="6" t="s">
        <v>32</v>
      </c>
      <c r="J2016" s="2" t="s">
        <v>1451</v>
      </c>
      <c r="K2016" s="2" t="s">
        <v>1452</v>
      </c>
      <c r="L2016" s="2" t="s">
        <v>28</v>
      </c>
      <c r="M2016" s="2" t="s">
        <v>5</v>
      </c>
      <c r="N2016" s="4">
        <v>3832.43</v>
      </c>
    </row>
    <row r="2017" spans="1:14" x14ac:dyDescent="0.25">
      <c r="A2017" s="2" t="s">
        <v>1397</v>
      </c>
      <c r="B2017" s="2" t="s">
        <v>1398</v>
      </c>
      <c r="C2017" s="3">
        <v>10.36</v>
      </c>
      <c r="D2017" s="4">
        <v>263.24759999999998</v>
      </c>
      <c r="E2017" s="4">
        <v>148.148</v>
      </c>
      <c r="F2017" s="4">
        <f t="shared" si="135"/>
        <v>115.09959999999998</v>
      </c>
      <c r="G2017" s="5">
        <f t="shared" si="136"/>
        <v>0.43722943722943719</v>
      </c>
      <c r="H2017" s="2" t="s">
        <v>1450</v>
      </c>
      <c r="I2017" s="6" t="s">
        <v>32</v>
      </c>
      <c r="J2017" s="2" t="s">
        <v>1451</v>
      </c>
      <c r="K2017" s="2" t="s">
        <v>1452</v>
      </c>
      <c r="L2017" s="2" t="s">
        <v>28</v>
      </c>
      <c r="M2017" s="2" t="s">
        <v>5</v>
      </c>
      <c r="N2017" s="4">
        <v>3832.43</v>
      </c>
    </row>
    <row r="2018" spans="1:14" x14ac:dyDescent="0.25">
      <c r="A2018" s="2" t="s">
        <v>1457</v>
      </c>
      <c r="B2018" s="2" t="s">
        <v>1458</v>
      </c>
      <c r="C2018" s="3">
        <v>28.8</v>
      </c>
      <c r="D2018" s="4">
        <v>1027.008</v>
      </c>
      <c r="E2018" s="4">
        <v>892.8</v>
      </c>
      <c r="F2018" s="4">
        <f t="shared" si="135"/>
        <v>134.20800000000008</v>
      </c>
      <c r="G2018" s="5">
        <f t="shared" si="136"/>
        <v>0.13067863151991033</v>
      </c>
      <c r="H2018" s="2" t="s">
        <v>1450</v>
      </c>
      <c r="I2018" s="6" t="s">
        <v>32</v>
      </c>
      <c r="J2018" s="2" t="s">
        <v>1451</v>
      </c>
      <c r="K2018" s="2" t="s">
        <v>1452</v>
      </c>
      <c r="L2018" s="2" t="s">
        <v>28</v>
      </c>
      <c r="M2018" s="2" t="s">
        <v>5</v>
      </c>
      <c r="N2018" s="4">
        <v>3832.43</v>
      </c>
    </row>
    <row r="2019" spans="1:14" x14ac:dyDescent="0.25">
      <c r="A2019" s="2" t="s">
        <v>1442</v>
      </c>
      <c r="B2019" s="2" t="s">
        <v>1443</v>
      </c>
      <c r="C2019" s="3">
        <v>10.195</v>
      </c>
      <c r="D2019" s="4">
        <v>261.09395000000001</v>
      </c>
      <c r="E2019" s="4">
        <v>142.72999999999999</v>
      </c>
      <c r="F2019" s="4">
        <f t="shared" si="135"/>
        <v>118.36395000000002</v>
      </c>
      <c r="G2019" s="5">
        <f t="shared" si="136"/>
        <v>0.45333853963295595</v>
      </c>
      <c r="H2019" s="2" t="s">
        <v>1450</v>
      </c>
      <c r="I2019" s="6" t="s">
        <v>32</v>
      </c>
      <c r="J2019" s="2" t="s">
        <v>1451</v>
      </c>
      <c r="K2019" s="2" t="s">
        <v>1452</v>
      </c>
      <c r="L2019" s="2" t="s">
        <v>28</v>
      </c>
      <c r="M2019" s="2" t="s">
        <v>5</v>
      </c>
      <c r="N2019" s="4">
        <v>3832.43</v>
      </c>
    </row>
    <row r="2020" spans="1:14" x14ac:dyDescent="0.25">
      <c r="A2020" s="2" t="s">
        <v>1459</v>
      </c>
      <c r="B2020" s="2" t="s">
        <v>1460</v>
      </c>
      <c r="C2020" s="3">
        <v>12.4</v>
      </c>
      <c r="D2020" s="4">
        <v>201.624</v>
      </c>
      <c r="E2020" s="4">
        <v>173.6</v>
      </c>
      <c r="F2020" s="4">
        <f t="shared" si="135"/>
        <v>28.024000000000001</v>
      </c>
      <c r="G2020" s="5">
        <f t="shared" si="136"/>
        <v>0.13899138991389914</v>
      </c>
      <c r="H2020" s="2" t="s">
        <v>1450</v>
      </c>
      <c r="I2020" s="6" t="s">
        <v>32</v>
      </c>
      <c r="J2020" s="2" t="s">
        <v>1451</v>
      </c>
      <c r="K2020" s="2" t="s">
        <v>1452</v>
      </c>
      <c r="L2020" s="2" t="s">
        <v>28</v>
      </c>
      <c r="M2020" s="2" t="s">
        <v>5</v>
      </c>
      <c r="N2020" s="4">
        <v>3832.43</v>
      </c>
    </row>
    <row r="2021" spans="1:14" x14ac:dyDescent="0.25">
      <c r="A2021" s="2" t="s">
        <v>1461</v>
      </c>
      <c r="B2021" s="2" t="s">
        <v>1462</v>
      </c>
      <c r="C2021" s="3">
        <v>2</v>
      </c>
      <c r="D2021" s="4">
        <v>41.18</v>
      </c>
      <c r="E2021" s="4">
        <v>32.96</v>
      </c>
      <c r="F2021" s="4">
        <f t="shared" si="135"/>
        <v>8.2199999999999989</v>
      </c>
      <c r="G2021" s="5">
        <f t="shared" si="136"/>
        <v>0.19961146187469642</v>
      </c>
      <c r="H2021" s="2" t="s">
        <v>1450</v>
      </c>
      <c r="I2021" s="6" t="s">
        <v>32</v>
      </c>
      <c r="J2021" s="2" t="s">
        <v>1451</v>
      </c>
      <c r="K2021" s="2" t="s">
        <v>1452</v>
      </c>
      <c r="L2021" s="2" t="s">
        <v>28</v>
      </c>
      <c r="M2021" s="2" t="s">
        <v>5</v>
      </c>
      <c r="N2021" s="4">
        <v>3832.43</v>
      </c>
    </row>
    <row r="2022" spans="1:14" x14ac:dyDescent="0.25">
      <c r="A2022" s="2" t="s">
        <v>1463</v>
      </c>
      <c r="B2022" s="2" t="s">
        <v>1464</v>
      </c>
      <c r="C2022" s="3">
        <v>4</v>
      </c>
      <c r="D2022" s="4">
        <v>82.36</v>
      </c>
      <c r="E2022" s="4">
        <v>64.56</v>
      </c>
      <c r="F2022" s="4">
        <f t="shared" si="135"/>
        <v>17.799999999999997</v>
      </c>
      <c r="G2022" s="5">
        <f t="shared" si="136"/>
        <v>0.21612433220009711</v>
      </c>
      <c r="H2022" s="2" t="s">
        <v>1450</v>
      </c>
      <c r="I2022" s="6" t="s">
        <v>32</v>
      </c>
      <c r="J2022" s="2" t="s">
        <v>1451</v>
      </c>
      <c r="K2022" s="2" t="s">
        <v>1452</v>
      </c>
      <c r="L2022" s="2" t="s">
        <v>28</v>
      </c>
      <c r="M2022" s="2" t="s">
        <v>5</v>
      </c>
      <c r="N2022" s="4">
        <v>3832.43</v>
      </c>
    </row>
    <row r="2023" spans="1:14" x14ac:dyDescent="0.25">
      <c r="A2023" s="2" t="s">
        <v>1444</v>
      </c>
      <c r="B2023" s="2" t="s">
        <v>1445</v>
      </c>
      <c r="C2023" s="3">
        <v>19.125</v>
      </c>
      <c r="D2023" s="4">
        <v>266.79374999999999</v>
      </c>
      <c r="E2023" s="4">
        <v>239.0625</v>
      </c>
      <c r="F2023" s="4">
        <f t="shared" si="135"/>
        <v>27.731249999999989</v>
      </c>
      <c r="G2023" s="5">
        <f t="shared" si="136"/>
        <v>0.10394265232974907</v>
      </c>
      <c r="H2023" s="2" t="s">
        <v>1450</v>
      </c>
      <c r="I2023" s="6" t="s">
        <v>32</v>
      </c>
      <c r="J2023" s="2" t="s">
        <v>1451</v>
      </c>
      <c r="K2023" s="2" t="s">
        <v>1452</v>
      </c>
      <c r="L2023" s="2" t="s">
        <v>28</v>
      </c>
      <c r="M2023" s="2" t="s">
        <v>5</v>
      </c>
      <c r="N2023" s="4">
        <v>3832.43</v>
      </c>
    </row>
    <row r="2024" spans="1:14" x14ac:dyDescent="0.25">
      <c r="A2024" s="2" t="s">
        <v>1465</v>
      </c>
      <c r="B2024" s="2" t="s">
        <v>1466</v>
      </c>
      <c r="C2024" s="3">
        <v>19.7</v>
      </c>
      <c r="D2024" s="4">
        <v>495.65199999999999</v>
      </c>
      <c r="E2024" s="4">
        <v>433.4</v>
      </c>
      <c r="F2024" s="4">
        <f t="shared" si="135"/>
        <v>62.25200000000001</v>
      </c>
      <c r="G2024" s="5">
        <f t="shared" si="136"/>
        <v>0.12559618441971385</v>
      </c>
      <c r="H2024" s="2" t="s">
        <v>1450</v>
      </c>
      <c r="I2024" s="6" t="s">
        <v>32</v>
      </c>
      <c r="J2024" s="2" t="s">
        <v>1451</v>
      </c>
      <c r="K2024" s="2" t="s">
        <v>1452</v>
      </c>
      <c r="L2024" s="2" t="s">
        <v>28</v>
      </c>
      <c r="M2024" s="2" t="s">
        <v>5</v>
      </c>
      <c r="N2024" s="4">
        <v>3832.43</v>
      </c>
    </row>
    <row r="2026" spans="1:14" x14ac:dyDescent="0.25">
      <c r="A2026" s="13" t="s">
        <v>59</v>
      </c>
      <c r="B2026" s="21"/>
      <c r="C2026" s="22">
        <f>SUM(C2006:C2025)</f>
        <v>176.28</v>
      </c>
      <c r="D2026" s="23">
        <f>SUM(D2006:D2025)</f>
        <v>3832.4252999999994</v>
      </c>
      <c r="E2026" s="23">
        <f>SUM(E2006:E2025)</f>
        <v>2717.7732999999998</v>
      </c>
      <c r="F2026" s="23">
        <f>D2026-E2026</f>
        <v>1114.6519999999996</v>
      </c>
      <c r="G2026" s="24">
        <f>IF(((D2026)=0),0,(D2026-E2026)/ D2026)</f>
        <v>0.29084767810086209</v>
      </c>
      <c r="H2026" s="21"/>
      <c r="I2026" s="21"/>
      <c r="J2026" s="21"/>
      <c r="K2026" s="21"/>
      <c r="L2026" s="21"/>
      <c r="M2026" s="21"/>
      <c r="N2026" s="21"/>
    </row>
    <row r="2028" spans="1:14" s="17" customFormat="1" ht="18.75" x14ac:dyDescent="0.3"/>
    <row r="2029" spans="1:14" s="7" customFormat="1" x14ac:dyDescent="0.25">
      <c r="A2029" s="13" t="s">
        <v>1467</v>
      </c>
      <c r="B2029" s="18" t="s">
        <v>1468</v>
      </c>
      <c r="C2029" s="19"/>
      <c r="D2029" s="20" t="s">
        <v>5</v>
      </c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</row>
    <row r="2031" spans="1:14" x14ac:dyDescent="0.25">
      <c r="A2031" s="2" t="s">
        <v>1412</v>
      </c>
      <c r="B2031" s="2" t="s">
        <v>1413</v>
      </c>
      <c r="C2031" s="3">
        <v>4</v>
      </c>
      <c r="D2031" s="4">
        <v>39.56</v>
      </c>
      <c r="E2031" s="4">
        <v>28.8</v>
      </c>
      <c r="F2031" s="4">
        <f t="shared" ref="F2031:F2040" si="137">D2031-E2031</f>
        <v>10.760000000000002</v>
      </c>
      <c r="G2031" s="5">
        <f t="shared" ref="G2031:G2040" si="138">IF(((D2031)=0),0,(D2031-E2031)/ D2031)</f>
        <v>0.2719919110212336</v>
      </c>
      <c r="H2031" s="2" t="s">
        <v>1469</v>
      </c>
      <c r="I2031" s="6" t="s">
        <v>32</v>
      </c>
      <c r="J2031" s="2" t="s">
        <v>1470</v>
      </c>
      <c r="K2031" s="2" t="s">
        <v>1471</v>
      </c>
      <c r="L2031" s="2" t="s">
        <v>28</v>
      </c>
      <c r="M2031" s="2" t="s">
        <v>5</v>
      </c>
      <c r="N2031" s="4">
        <v>1345.41</v>
      </c>
    </row>
    <row r="2032" spans="1:14" x14ac:dyDescent="0.25">
      <c r="A2032" s="2" t="s">
        <v>1417</v>
      </c>
      <c r="B2032" s="2" t="s">
        <v>1418</v>
      </c>
      <c r="C2032" s="3">
        <v>5</v>
      </c>
      <c r="D2032" s="4">
        <v>57</v>
      </c>
      <c r="E2032" s="4">
        <v>54.9</v>
      </c>
      <c r="F2032" s="4">
        <f t="shared" si="137"/>
        <v>2.1000000000000014</v>
      </c>
      <c r="G2032" s="5">
        <f t="shared" si="138"/>
        <v>3.6842105263157919E-2</v>
      </c>
      <c r="H2032" s="2" t="s">
        <v>1469</v>
      </c>
      <c r="I2032" s="6" t="s">
        <v>32</v>
      </c>
      <c r="J2032" s="2" t="s">
        <v>1470</v>
      </c>
      <c r="K2032" s="2" t="s">
        <v>1471</v>
      </c>
      <c r="L2032" s="2" t="s">
        <v>28</v>
      </c>
      <c r="M2032" s="2" t="s">
        <v>5</v>
      </c>
      <c r="N2032" s="4">
        <v>1345.41</v>
      </c>
    </row>
    <row r="2033" spans="1:14" x14ac:dyDescent="0.25">
      <c r="A2033" s="2" t="s">
        <v>1455</v>
      </c>
      <c r="B2033" s="2" t="s">
        <v>1456</v>
      </c>
      <c r="C2033" s="3">
        <v>2</v>
      </c>
      <c r="D2033" s="4">
        <v>19.260000000000002</v>
      </c>
      <c r="E2033" s="4">
        <v>13.98</v>
      </c>
      <c r="F2033" s="4">
        <f t="shared" si="137"/>
        <v>5.2800000000000011</v>
      </c>
      <c r="G2033" s="5">
        <f t="shared" si="138"/>
        <v>0.27414330218068539</v>
      </c>
      <c r="H2033" s="2" t="s">
        <v>1469</v>
      </c>
      <c r="I2033" s="6" t="s">
        <v>32</v>
      </c>
      <c r="J2033" s="2" t="s">
        <v>1470</v>
      </c>
      <c r="K2033" s="2" t="s">
        <v>1471</v>
      </c>
      <c r="L2033" s="2" t="s">
        <v>28</v>
      </c>
      <c r="M2033" s="2" t="s">
        <v>5</v>
      </c>
      <c r="N2033" s="4">
        <v>1345.41</v>
      </c>
    </row>
    <row r="2034" spans="1:14" x14ac:dyDescent="0.25">
      <c r="A2034" s="2" t="s">
        <v>1472</v>
      </c>
      <c r="B2034" s="2" t="s">
        <v>1473</v>
      </c>
      <c r="C2034" s="3">
        <v>8.1999999999999993</v>
      </c>
      <c r="D2034" s="4">
        <v>147.19</v>
      </c>
      <c r="E2034" s="4">
        <v>135.30000000000001</v>
      </c>
      <c r="F2034" s="4">
        <f t="shared" si="137"/>
        <v>11.889999999999986</v>
      </c>
      <c r="G2034" s="5">
        <f t="shared" si="138"/>
        <v>8.0779944289693498E-2</v>
      </c>
      <c r="H2034" s="2" t="s">
        <v>1469</v>
      </c>
      <c r="I2034" s="6" t="s">
        <v>32</v>
      </c>
      <c r="J2034" s="2" t="s">
        <v>1470</v>
      </c>
      <c r="K2034" s="2" t="s">
        <v>1471</v>
      </c>
      <c r="L2034" s="2" t="s">
        <v>28</v>
      </c>
      <c r="M2034" s="2" t="s">
        <v>5</v>
      </c>
      <c r="N2034" s="4">
        <v>1345.41</v>
      </c>
    </row>
    <row r="2035" spans="1:14" x14ac:dyDescent="0.25">
      <c r="A2035" s="2" t="s">
        <v>1474</v>
      </c>
      <c r="B2035" s="2" t="s">
        <v>1475</v>
      </c>
      <c r="C2035" s="3">
        <v>14.97</v>
      </c>
      <c r="D2035" s="4">
        <v>284.43</v>
      </c>
      <c r="E2035" s="4">
        <v>193.113</v>
      </c>
      <c r="F2035" s="4">
        <f t="shared" si="137"/>
        <v>91.317000000000007</v>
      </c>
      <c r="G2035" s="5">
        <f t="shared" si="138"/>
        <v>0.32105263157894737</v>
      </c>
      <c r="H2035" s="2" t="s">
        <v>1469</v>
      </c>
      <c r="I2035" s="6" t="s">
        <v>32</v>
      </c>
      <c r="J2035" s="2" t="s">
        <v>1470</v>
      </c>
      <c r="K2035" s="2" t="s">
        <v>1471</v>
      </c>
      <c r="L2035" s="2" t="s">
        <v>28</v>
      </c>
      <c r="M2035" s="2" t="s">
        <v>5</v>
      </c>
      <c r="N2035" s="4">
        <v>1345.41</v>
      </c>
    </row>
    <row r="2036" spans="1:14" x14ac:dyDescent="0.25">
      <c r="A2036" s="2" t="s">
        <v>1399</v>
      </c>
      <c r="B2036" s="2" t="s">
        <v>1400</v>
      </c>
      <c r="C2036" s="3">
        <v>3</v>
      </c>
      <c r="D2036" s="4">
        <v>58.5</v>
      </c>
      <c r="E2036" s="4">
        <v>42.9</v>
      </c>
      <c r="F2036" s="4">
        <f t="shared" si="137"/>
        <v>15.600000000000001</v>
      </c>
      <c r="G2036" s="5">
        <f t="shared" si="138"/>
        <v>0.26666666666666672</v>
      </c>
      <c r="H2036" s="2" t="s">
        <v>1469</v>
      </c>
      <c r="I2036" s="6" t="s">
        <v>32</v>
      </c>
      <c r="J2036" s="2" t="s">
        <v>1470</v>
      </c>
      <c r="K2036" s="2" t="s">
        <v>1471</v>
      </c>
      <c r="L2036" s="2" t="s">
        <v>28</v>
      </c>
      <c r="M2036" s="2" t="s">
        <v>5</v>
      </c>
      <c r="N2036" s="4">
        <v>1345.41</v>
      </c>
    </row>
    <row r="2037" spans="1:14" x14ac:dyDescent="0.25">
      <c r="A2037" s="2" t="s">
        <v>1440</v>
      </c>
      <c r="B2037" s="2" t="s">
        <v>1441</v>
      </c>
      <c r="C2037" s="3">
        <v>6.09</v>
      </c>
      <c r="D2037" s="4">
        <v>256.93709999999999</v>
      </c>
      <c r="E2037" s="4">
        <v>188.79</v>
      </c>
      <c r="F2037" s="4">
        <f t="shared" si="137"/>
        <v>68.147099999999995</v>
      </c>
      <c r="G2037" s="5">
        <f t="shared" si="138"/>
        <v>0.26522872718653706</v>
      </c>
      <c r="H2037" s="2" t="s">
        <v>1469</v>
      </c>
      <c r="I2037" s="6" t="s">
        <v>32</v>
      </c>
      <c r="J2037" s="2" t="s">
        <v>1470</v>
      </c>
      <c r="K2037" s="2" t="s">
        <v>1471</v>
      </c>
      <c r="L2037" s="2" t="s">
        <v>28</v>
      </c>
      <c r="M2037" s="2" t="s">
        <v>5</v>
      </c>
      <c r="N2037" s="4">
        <v>1345.41</v>
      </c>
    </row>
    <row r="2038" spans="1:14" x14ac:dyDescent="0.25">
      <c r="A2038" s="2" t="s">
        <v>1442</v>
      </c>
      <c r="B2038" s="2" t="s">
        <v>1443</v>
      </c>
      <c r="C2038" s="3">
        <v>12.25</v>
      </c>
      <c r="D2038" s="4">
        <v>313.72250000000003</v>
      </c>
      <c r="E2038" s="4">
        <v>171.5</v>
      </c>
      <c r="F2038" s="4">
        <f t="shared" si="137"/>
        <v>142.22250000000003</v>
      </c>
      <c r="G2038" s="5">
        <f t="shared" si="138"/>
        <v>0.45333853963295589</v>
      </c>
      <c r="H2038" s="2" t="s">
        <v>1469</v>
      </c>
      <c r="I2038" s="6" t="s">
        <v>32</v>
      </c>
      <c r="J2038" s="2" t="s">
        <v>1470</v>
      </c>
      <c r="K2038" s="2" t="s">
        <v>1471</v>
      </c>
      <c r="L2038" s="2" t="s">
        <v>28</v>
      </c>
      <c r="M2038" s="2" t="s">
        <v>5</v>
      </c>
      <c r="N2038" s="4">
        <v>1345.41</v>
      </c>
    </row>
    <row r="2039" spans="1:14" x14ac:dyDescent="0.25">
      <c r="A2039" s="2" t="s">
        <v>1463</v>
      </c>
      <c r="B2039" s="2" t="s">
        <v>1464</v>
      </c>
      <c r="C2039" s="3">
        <v>1</v>
      </c>
      <c r="D2039" s="4">
        <v>20.59</v>
      </c>
      <c r="E2039" s="4">
        <v>16.14</v>
      </c>
      <c r="F2039" s="4">
        <f t="shared" si="137"/>
        <v>4.4499999999999993</v>
      </c>
      <c r="G2039" s="5">
        <f t="shared" si="138"/>
        <v>0.21612433220009711</v>
      </c>
      <c r="H2039" s="2" t="s">
        <v>1469</v>
      </c>
      <c r="I2039" s="6" t="s">
        <v>32</v>
      </c>
      <c r="J2039" s="2" t="s">
        <v>1470</v>
      </c>
      <c r="K2039" s="2" t="s">
        <v>1471</v>
      </c>
      <c r="L2039" s="2" t="s">
        <v>28</v>
      </c>
      <c r="M2039" s="2" t="s">
        <v>5</v>
      </c>
      <c r="N2039" s="4">
        <v>1345.41</v>
      </c>
    </row>
    <row r="2040" spans="1:14" x14ac:dyDescent="0.25">
      <c r="A2040" s="2" t="s">
        <v>1444</v>
      </c>
      <c r="B2040" s="2" t="s">
        <v>1445</v>
      </c>
      <c r="C2040" s="3">
        <v>10.625</v>
      </c>
      <c r="D2040" s="4">
        <v>148.21875</v>
      </c>
      <c r="E2040" s="4">
        <v>132.8125</v>
      </c>
      <c r="F2040" s="4">
        <f t="shared" si="137"/>
        <v>15.40625</v>
      </c>
      <c r="G2040" s="5">
        <f t="shared" si="138"/>
        <v>0.1039426523297491</v>
      </c>
      <c r="H2040" s="2" t="s">
        <v>1469</v>
      </c>
      <c r="I2040" s="6" t="s">
        <v>32</v>
      </c>
      <c r="J2040" s="2" t="s">
        <v>1470</v>
      </c>
      <c r="K2040" s="2" t="s">
        <v>1471</v>
      </c>
      <c r="L2040" s="2" t="s">
        <v>28</v>
      </c>
      <c r="M2040" s="2" t="s">
        <v>5</v>
      </c>
      <c r="N2040" s="4">
        <v>1345.41</v>
      </c>
    </row>
    <row r="2042" spans="1:14" x14ac:dyDescent="0.25">
      <c r="A2042" s="13" t="s">
        <v>59</v>
      </c>
      <c r="B2042" s="21"/>
      <c r="C2042" s="22">
        <f>SUM(C2028:C2041)</f>
        <v>67.135000000000005</v>
      </c>
      <c r="D2042" s="23">
        <f>SUM(D2028:D2041)</f>
        <v>1345.4083499999999</v>
      </c>
      <c r="E2042" s="23">
        <f>SUM(E2028:E2041)</f>
        <v>978.2355</v>
      </c>
      <c r="F2042" s="23">
        <f>D2042-E2042</f>
        <v>367.17284999999993</v>
      </c>
      <c r="G2042" s="24">
        <f>IF(((D2042)=0),0,(D2042-E2042)/ D2042)</f>
        <v>0.27290811001730436</v>
      </c>
      <c r="H2042" s="21"/>
      <c r="I2042" s="21"/>
      <c r="J2042" s="21"/>
      <c r="K2042" s="21"/>
      <c r="L2042" s="21"/>
      <c r="M2042" s="21"/>
      <c r="N2042" s="21"/>
    </row>
    <row r="2044" spans="1:14" s="17" customFormat="1" ht="18.75" x14ac:dyDescent="0.3"/>
    <row r="2045" spans="1:14" s="7" customFormat="1" x14ac:dyDescent="0.25">
      <c r="A2045" s="13" t="s">
        <v>1476</v>
      </c>
      <c r="B2045" s="18" t="s">
        <v>1477</v>
      </c>
      <c r="C2045" s="19"/>
      <c r="D2045" s="20" t="s">
        <v>5</v>
      </c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</row>
    <row r="2047" spans="1:14" x14ac:dyDescent="0.25">
      <c r="A2047" s="2" t="s">
        <v>1478</v>
      </c>
      <c r="B2047" s="2" t="s">
        <v>1479</v>
      </c>
      <c r="C2047" s="3">
        <v>5</v>
      </c>
      <c r="D2047" s="4">
        <v>68.8</v>
      </c>
      <c r="E2047" s="4">
        <v>54.9</v>
      </c>
      <c r="F2047" s="4">
        <f>D2047-E2047</f>
        <v>13.899999999999999</v>
      </c>
      <c r="G2047" s="5">
        <f>IF(((D2047)=0),0,(D2047-E2047)/ D2047)</f>
        <v>0.20203488372093023</v>
      </c>
      <c r="H2047" s="2" t="s">
        <v>1480</v>
      </c>
      <c r="I2047" s="6" t="s">
        <v>32</v>
      </c>
      <c r="J2047" s="2" t="s">
        <v>1481</v>
      </c>
      <c r="K2047" s="2" t="s">
        <v>5</v>
      </c>
      <c r="L2047" s="2" t="s">
        <v>28</v>
      </c>
      <c r="M2047" s="2" t="s">
        <v>5</v>
      </c>
      <c r="N2047" s="4">
        <v>301.54000000000002</v>
      </c>
    </row>
    <row r="2048" spans="1:14" x14ac:dyDescent="0.25">
      <c r="A2048" s="2" t="s">
        <v>1482</v>
      </c>
      <c r="B2048" s="2" t="s">
        <v>1483</v>
      </c>
      <c r="C2048" s="3">
        <v>3.782</v>
      </c>
      <c r="D2048" s="4">
        <v>39.521900000000002</v>
      </c>
      <c r="E2048" s="4">
        <v>26.095800000000001</v>
      </c>
      <c r="F2048" s="4">
        <f>D2048-E2048</f>
        <v>13.426100000000002</v>
      </c>
      <c r="G2048" s="5">
        <f>IF(((D2048)=0),0,(D2048-E2048)/ D2048)</f>
        <v>0.33971291866028708</v>
      </c>
      <c r="H2048" s="2" t="s">
        <v>1480</v>
      </c>
      <c r="I2048" s="6" t="s">
        <v>32</v>
      </c>
      <c r="J2048" s="2" t="s">
        <v>1481</v>
      </c>
      <c r="K2048" s="2" t="s">
        <v>5</v>
      </c>
      <c r="L2048" s="2" t="s">
        <v>28</v>
      </c>
      <c r="M2048" s="2" t="s">
        <v>5</v>
      </c>
      <c r="N2048" s="4">
        <v>301.54000000000002</v>
      </c>
    </row>
    <row r="2049" spans="1:14" x14ac:dyDescent="0.25">
      <c r="A2049" s="2" t="s">
        <v>1484</v>
      </c>
      <c r="B2049" s="2" t="s">
        <v>1485</v>
      </c>
      <c r="C2049" s="3">
        <v>3.68</v>
      </c>
      <c r="D2049" s="4">
        <v>46.625599999999999</v>
      </c>
      <c r="E2049" s="4">
        <v>26.864000000000001</v>
      </c>
      <c r="F2049" s="4">
        <f>D2049-E2049</f>
        <v>19.761599999999998</v>
      </c>
      <c r="G2049" s="5">
        <f>IF(((D2049)=0),0,(D2049-E2049)/ D2049)</f>
        <v>0.42383583267561165</v>
      </c>
      <c r="H2049" s="2" t="s">
        <v>1480</v>
      </c>
      <c r="I2049" s="6" t="s">
        <v>32</v>
      </c>
      <c r="J2049" s="2" t="s">
        <v>1481</v>
      </c>
      <c r="K2049" s="2" t="s">
        <v>5</v>
      </c>
      <c r="L2049" s="2" t="s">
        <v>28</v>
      </c>
      <c r="M2049" s="2" t="s">
        <v>5</v>
      </c>
      <c r="N2049" s="4">
        <v>301.54000000000002</v>
      </c>
    </row>
    <row r="2050" spans="1:14" x14ac:dyDescent="0.25">
      <c r="A2050" s="2" t="s">
        <v>1486</v>
      </c>
      <c r="B2050" s="2" t="s">
        <v>1487</v>
      </c>
      <c r="C2050" s="3">
        <v>6.0549999999999997</v>
      </c>
      <c r="D2050" s="4">
        <v>146.59155000000001</v>
      </c>
      <c r="E2050" s="4">
        <v>84.77</v>
      </c>
      <c r="F2050" s="4">
        <f>D2050-E2050</f>
        <v>61.821550000000016</v>
      </c>
      <c r="G2050" s="5">
        <f>IF(((D2050)=0),0,(D2050-E2050)/ D2050)</f>
        <v>0.42172655927302777</v>
      </c>
      <c r="H2050" s="2" t="s">
        <v>1480</v>
      </c>
      <c r="I2050" s="6" t="s">
        <v>32</v>
      </c>
      <c r="J2050" s="2" t="s">
        <v>1481</v>
      </c>
      <c r="K2050" s="2" t="s">
        <v>5</v>
      </c>
      <c r="L2050" s="2" t="s">
        <v>28</v>
      </c>
      <c r="M2050" s="2" t="s">
        <v>5</v>
      </c>
      <c r="N2050" s="4">
        <v>301.54000000000002</v>
      </c>
    </row>
    <row r="2052" spans="1:14" x14ac:dyDescent="0.25">
      <c r="A2052" s="13" t="s">
        <v>59</v>
      </c>
      <c r="B2052" s="21"/>
      <c r="C2052" s="22">
        <f>SUM(C2044:C2051)</f>
        <v>18.516999999999999</v>
      </c>
      <c r="D2052" s="23">
        <f>SUM(D2044:D2051)</f>
        <v>301.53904999999997</v>
      </c>
      <c r="E2052" s="23">
        <f>SUM(E2044:E2051)</f>
        <v>192.62979999999999</v>
      </c>
      <c r="F2052" s="23">
        <f>D2052-E2052</f>
        <v>108.90924999999999</v>
      </c>
      <c r="G2052" s="24">
        <f>IF(((D2052)=0),0,(D2052-E2052)/ D2052)</f>
        <v>0.36117793035429407</v>
      </c>
      <c r="H2052" s="21"/>
      <c r="I2052" s="21"/>
      <c r="J2052" s="21"/>
      <c r="K2052" s="21"/>
      <c r="L2052" s="21"/>
      <c r="M2052" s="21"/>
      <c r="N2052" s="21"/>
    </row>
    <row r="2054" spans="1:14" s="17" customFormat="1" ht="18.75" x14ac:dyDescent="0.3"/>
    <row r="2055" spans="1:14" s="7" customFormat="1" x14ac:dyDescent="0.25">
      <c r="A2055" s="13" t="s">
        <v>1488</v>
      </c>
      <c r="B2055" s="18" t="s">
        <v>1489</v>
      </c>
      <c r="C2055" s="19"/>
      <c r="D2055" s="20" t="s">
        <v>5</v>
      </c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</row>
    <row r="2057" spans="1:14" x14ac:dyDescent="0.25">
      <c r="A2057" s="2" t="s">
        <v>45</v>
      </c>
      <c r="B2057" s="2" t="s">
        <v>46</v>
      </c>
      <c r="C2057" s="3">
        <v>15.31</v>
      </c>
      <c r="D2057" s="4">
        <v>189.23159999999999</v>
      </c>
      <c r="E2057" s="4">
        <v>111.76300000000001</v>
      </c>
      <c r="F2057" s="4">
        <f>D2057-E2057</f>
        <v>77.468599999999981</v>
      </c>
      <c r="G2057" s="5">
        <f>IF(((D2057)=0),0,(D2057-E2057)/ D2057)</f>
        <v>0.40938511326860832</v>
      </c>
      <c r="H2057" s="2" t="s">
        <v>1490</v>
      </c>
      <c r="I2057" s="6" t="s">
        <v>32</v>
      </c>
      <c r="J2057" s="2" t="s">
        <v>1491</v>
      </c>
      <c r="K2057" s="2" t="s">
        <v>5</v>
      </c>
      <c r="L2057" s="2" t="s">
        <v>28</v>
      </c>
      <c r="M2057" s="2" t="s">
        <v>5</v>
      </c>
      <c r="N2057" s="4">
        <v>189.23</v>
      </c>
    </row>
    <row r="2058" spans="1:14" x14ac:dyDescent="0.25">
      <c r="A2058" s="2" t="s">
        <v>45</v>
      </c>
      <c r="B2058" s="2" t="s">
        <v>46</v>
      </c>
      <c r="C2058" s="3">
        <v>15.55</v>
      </c>
      <c r="D2058" s="4">
        <v>192.19800000000001</v>
      </c>
      <c r="E2058" s="4">
        <v>113.515</v>
      </c>
      <c r="F2058" s="4">
        <f>D2058-E2058</f>
        <v>78.683000000000007</v>
      </c>
      <c r="G2058" s="5">
        <f>IF(((D2058)=0),0,(D2058-E2058)/ D2058)</f>
        <v>0.40938511326860844</v>
      </c>
      <c r="H2058" s="2" t="s">
        <v>1492</v>
      </c>
      <c r="I2058" s="6" t="s">
        <v>69</v>
      </c>
      <c r="J2058" s="2" t="s">
        <v>1493</v>
      </c>
      <c r="K2058" s="2" t="s">
        <v>5</v>
      </c>
      <c r="L2058" s="2" t="s">
        <v>28</v>
      </c>
      <c r="M2058" s="2" t="s">
        <v>5</v>
      </c>
      <c r="N2058" s="4">
        <v>192.2</v>
      </c>
    </row>
    <row r="2060" spans="1:14" x14ac:dyDescent="0.25">
      <c r="A2060" s="13" t="s">
        <v>59</v>
      </c>
      <c r="B2060" s="21"/>
      <c r="C2060" s="22">
        <f>SUM(C2054:C2059)</f>
        <v>30.86</v>
      </c>
      <c r="D2060" s="23">
        <f>SUM(D2054:D2059)</f>
        <v>381.42959999999999</v>
      </c>
      <c r="E2060" s="23">
        <f>SUM(E2054:E2059)</f>
        <v>225.27800000000002</v>
      </c>
      <c r="F2060" s="23">
        <f>D2060-E2060</f>
        <v>156.15159999999997</v>
      </c>
      <c r="G2060" s="24">
        <f>IF(((D2060)=0),0,(D2060-E2060)/ D2060)</f>
        <v>0.40938511326860832</v>
      </c>
      <c r="H2060" s="21"/>
      <c r="I2060" s="21"/>
      <c r="J2060" s="21"/>
      <c r="K2060" s="21"/>
      <c r="L2060" s="21"/>
      <c r="M2060" s="21"/>
      <c r="N2060" s="21"/>
    </row>
    <row r="2062" spans="1:14" s="17" customFormat="1" ht="18.75" x14ac:dyDescent="0.3"/>
    <row r="2063" spans="1:14" s="7" customFormat="1" x14ac:dyDescent="0.25">
      <c r="A2063" s="13" t="s">
        <v>1494</v>
      </c>
      <c r="B2063" s="18" t="s">
        <v>1495</v>
      </c>
      <c r="C2063" s="19"/>
      <c r="D2063" s="20" t="s">
        <v>5</v>
      </c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</row>
    <row r="2065" spans="1:14" x14ac:dyDescent="0.25">
      <c r="A2065" s="2" t="s">
        <v>731</v>
      </c>
      <c r="B2065" s="2" t="s">
        <v>732</v>
      </c>
      <c r="C2065" s="3">
        <v>8.15</v>
      </c>
      <c r="D2065" s="4">
        <v>391.2</v>
      </c>
      <c r="E2065" s="4">
        <v>228.2</v>
      </c>
      <c r="F2065" s="4">
        <f t="shared" ref="F2065:F2073" si="139">D2065-E2065</f>
        <v>163</v>
      </c>
      <c r="G2065" s="5">
        <f t="shared" ref="G2065:G2073" si="140">IF(((D2065)=0),0,(D2065-E2065)/ D2065)</f>
        <v>0.41666666666666669</v>
      </c>
      <c r="H2065" s="2" t="s">
        <v>1496</v>
      </c>
      <c r="I2065" s="6" t="s">
        <v>69</v>
      </c>
      <c r="J2065" s="2" t="s">
        <v>1497</v>
      </c>
      <c r="K2065" s="2" t="s">
        <v>1498</v>
      </c>
      <c r="L2065" s="2" t="s">
        <v>28</v>
      </c>
      <c r="M2065" s="2" t="s">
        <v>5</v>
      </c>
      <c r="N2065" s="4">
        <v>1539.5</v>
      </c>
    </row>
    <row r="2066" spans="1:14" x14ac:dyDescent="0.25">
      <c r="A2066" s="2" t="s">
        <v>731</v>
      </c>
      <c r="B2066" s="2" t="s">
        <v>732</v>
      </c>
      <c r="C2066" s="3">
        <v>12.265000000000001</v>
      </c>
      <c r="D2066" s="4">
        <v>588.72</v>
      </c>
      <c r="E2066" s="4">
        <v>343.42</v>
      </c>
      <c r="F2066" s="4">
        <f t="shared" si="139"/>
        <v>245.3</v>
      </c>
      <c r="G2066" s="5">
        <f t="shared" si="140"/>
        <v>0.41666666666666669</v>
      </c>
      <c r="H2066" s="2" t="s">
        <v>1499</v>
      </c>
      <c r="I2066" s="6" t="s">
        <v>25</v>
      </c>
      <c r="J2066" s="2" t="s">
        <v>1500</v>
      </c>
      <c r="K2066" s="2" t="s">
        <v>1501</v>
      </c>
      <c r="L2066" s="2" t="s">
        <v>28</v>
      </c>
      <c r="M2066" s="2" t="s">
        <v>5</v>
      </c>
      <c r="N2066" s="4">
        <v>1713.23</v>
      </c>
    </row>
    <row r="2067" spans="1:14" x14ac:dyDescent="0.25">
      <c r="A2067" s="2" t="s">
        <v>1502</v>
      </c>
      <c r="B2067" s="2" t="s">
        <v>1503</v>
      </c>
      <c r="C2067" s="3">
        <v>9.56</v>
      </c>
      <c r="D2067" s="4">
        <v>108.1236</v>
      </c>
      <c r="E2067" s="4">
        <v>67.876000000000005</v>
      </c>
      <c r="F2067" s="4">
        <f t="shared" si="139"/>
        <v>40.247599999999991</v>
      </c>
      <c r="G2067" s="5">
        <f t="shared" si="140"/>
        <v>0.3722369584438549</v>
      </c>
      <c r="H2067" s="2" t="s">
        <v>1496</v>
      </c>
      <c r="I2067" s="6" t="s">
        <v>69</v>
      </c>
      <c r="J2067" s="2" t="s">
        <v>1497</v>
      </c>
      <c r="K2067" s="2" t="s">
        <v>1498</v>
      </c>
      <c r="L2067" s="2" t="s">
        <v>28</v>
      </c>
      <c r="M2067" s="2" t="s">
        <v>5</v>
      </c>
      <c r="N2067" s="4">
        <v>1539.5</v>
      </c>
    </row>
    <row r="2068" spans="1:14" x14ac:dyDescent="0.25">
      <c r="A2068" s="2" t="s">
        <v>316</v>
      </c>
      <c r="B2068" s="2" t="s">
        <v>317</v>
      </c>
      <c r="C2068" s="3">
        <v>8.8000000000000007</v>
      </c>
      <c r="D2068" s="4">
        <v>200.376</v>
      </c>
      <c r="E2068" s="4">
        <v>132.88</v>
      </c>
      <c r="F2068" s="4">
        <f t="shared" si="139"/>
        <v>67.496000000000009</v>
      </c>
      <c r="G2068" s="5">
        <f t="shared" si="140"/>
        <v>0.33684672815107602</v>
      </c>
      <c r="H2068" s="2" t="s">
        <v>1499</v>
      </c>
      <c r="I2068" s="6" t="s">
        <v>25</v>
      </c>
      <c r="J2068" s="2" t="s">
        <v>1500</v>
      </c>
      <c r="K2068" s="2" t="s">
        <v>1501</v>
      </c>
      <c r="L2068" s="2" t="s">
        <v>28</v>
      </c>
      <c r="M2068" s="2" t="s">
        <v>5</v>
      </c>
      <c r="N2068" s="4">
        <v>1713.23</v>
      </c>
    </row>
    <row r="2069" spans="1:14" x14ac:dyDescent="0.25">
      <c r="A2069" s="2" t="s">
        <v>318</v>
      </c>
      <c r="B2069" s="2" t="s">
        <v>319</v>
      </c>
      <c r="C2069" s="3">
        <v>12.595000000000001</v>
      </c>
      <c r="D2069" s="4">
        <v>590.83145000000002</v>
      </c>
      <c r="E2069" s="4">
        <v>377.85</v>
      </c>
      <c r="F2069" s="4">
        <f t="shared" si="139"/>
        <v>212.98145</v>
      </c>
      <c r="G2069" s="5">
        <f t="shared" si="140"/>
        <v>0.36047751012577273</v>
      </c>
      <c r="H2069" s="2" t="s">
        <v>1499</v>
      </c>
      <c r="I2069" s="6" t="s">
        <v>25</v>
      </c>
      <c r="J2069" s="2" t="s">
        <v>1500</v>
      </c>
      <c r="K2069" s="2" t="s">
        <v>1501</v>
      </c>
      <c r="L2069" s="2" t="s">
        <v>28</v>
      </c>
      <c r="M2069" s="2" t="s">
        <v>5</v>
      </c>
      <c r="N2069" s="4">
        <v>1713.23</v>
      </c>
    </row>
    <row r="2070" spans="1:14" x14ac:dyDescent="0.25">
      <c r="A2070" s="2" t="s">
        <v>318</v>
      </c>
      <c r="B2070" s="2" t="s">
        <v>319</v>
      </c>
      <c r="C2070" s="3">
        <v>8.34</v>
      </c>
      <c r="D2070" s="4">
        <v>391.2294</v>
      </c>
      <c r="E2070" s="4">
        <v>250.2</v>
      </c>
      <c r="F2070" s="4">
        <f t="shared" si="139"/>
        <v>141.02940000000001</v>
      </c>
      <c r="G2070" s="5">
        <f t="shared" si="140"/>
        <v>0.36047751012577278</v>
      </c>
      <c r="H2070" s="2" t="s">
        <v>1496</v>
      </c>
      <c r="I2070" s="6" t="s">
        <v>69</v>
      </c>
      <c r="J2070" s="2" t="s">
        <v>1497</v>
      </c>
      <c r="K2070" s="2" t="s">
        <v>1498</v>
      </c>
      <c r="L2070" s="2" t="s">
        <v>28</v>
      </c>
      <c r="M2070" s="2" t="s">
        <v>5</v>
      </c>
      <c r="N2070" s="4">
        <v>1539.5</v>
      </c>
    </row>
    <row r="2071" spans="1:14" x14ac:dyDescent="0.25">
      <c r="A2071" s="2" t="s">
        <v>626</v>
      </c>
      <c r="B2071" s="2" t="s">
        <v>627</v>
      </c>
      <c r="C2071" s="3">
        <v>8.56</v>
      </c>
      <c r="D2071" s="4">
        <v>228.98</v>
      </c>
      <c r="E2071" s="4">
        <v>119.84</v>
      </c>
      <c r="F2071" s="4">
        <f t="shared" si="139"/>
        <v>109.13999999999999</v>
      </c>
      <c r="G2071" s="5">
        <f t="shared" si="140"/>
        <v>0.47663551401869153</v>
      </c>
      <c r="H2071" s="2" t="s">
        <v>1496</v>
      </c>
      <c r="I2071" s="6" t="s">
        <v>69</v>
      </c>
      <c r="J2071" s="2" t="s">
        <v>1497</v>
      </c>
      <c r="K2071" s="2" t="s">
        <v>1498</v>
      </c>
      <c r="L2071" s="2" t="s">
        <v>28</v>
      </c>
      <c r="M2071" s="2" t="s">
        <v>5</v>
      </c>
      <c r="N2071" s="4">
        <v>1539.5</v>
      </c>
    </row>
    <row r="2072" spans="1:14" x14ac:dyDescent="0.25">
      <c r="A2072" s="2" t="s">
        <v>626</v>
      </c>
      <c r="B2072" s="2" t="s">
        <v>627</v>
      </c>
      <c r="C2072" s="3">
        <v>12.46</v>
      </c>
      <c r="D2072" s="4">
        <v>333.30500000000001</v>
      </c>
      <c r="E2072" s="4">
        <v>174.44</v>
      </c>
      <c r="F2072" s="4">
        <f t="shared" si="139"/>
        <v>158.86500000000001</v>
      </c>
      <c r="G2072" s="5">
        <f t="shared" si="140"/>
        <v>0.47663551401869159</v>
      </c>
      <c r="H2072" s="2" t="s">
        <v>1499</v>
      </c>
      <c r="I2072" s="6" t="s">
        <v>25</v>
      </c>
      <c r="J2072" s="2" t="s">
        <v>1500</v>
      </c>
      <c r="K2072" s="2" t="s">
        <v>1501</v>
      </c>
      <c r="L2072" s="2" t="s">
        <v>28</v>
      </c>
      <c r="M2072" s="2" t="s">
        <v>5</v>
      </c>
      <c r="N2072" s="4">
        <v>1713.23</v>
      </c>
    </row>
    <row r="2073" spans="1:14" x14ac:dyDescent="0.25">
      <c r="A2073" s="2" t="s">
        <v>562</v>
      </c>
      <c r="B2073" s="2" t="s">
        <v>563</v>
      </c>
      <c r="C2073" s="3">
        <v>12.425000000000001</v>
      </c>
      <c r="D2073" s="4">
        <v>419.96499999999997</v>
      </c>
      <c r="E2073" s="4">
        <v>273.35000000000002</v>
      </c>
      <c r="F2073" s="4">
        <f t="shared" si="139"/>
        <v>146.61499999999995</v>
      </c>
      <c r="G2073" s="5">
        <f t="shared" si="140"/>
        <v>0.34911242603550285</v>
      </c>
      <c r="H2073" s="2" t="s">
        <v>1496</v>
      </c>
      <c r="I2073" s="6" t="s">
        <v>69</v>
      </c>
      <c r="J2073" s="2" t="s">
        <v>1497</v>
      </c>
      <c r="K2073" s="2" t="s">
        <v>1498</v>
      </c>
      <c r="L2073" s="2" t="s">
        <v>28</v>
      </c>
      <c r="M2073" s="2" t="s">
        <v>5</v>
      </c>
      <c r="N2073" s="4">
        <v>1539.5</v>
      </c>
    </row>
    <row r="2075" spans="1:14" x14ac:dyDescent="0.25">
      <c r="A2075" s="13" t="s">
        <v>59</v>
      </c>
      <c r="B2075" s="21"/>
      <c r="C2075" s="22">
        <f>SUM(C2062:C2074)</f>
        <v>93.155000000000015</v>
      </c>
      <c r="D2075" s="23">
        <f>SUM(D2062:D2074)</f>
        <v>3252.73045</v>
      </c>
      <c r="E2075" s="23">
        <f>SUM(E2062:E2074)</f>
        <v>1968.056</v>
      </c>
      <c r="F2075" s="23">
        <f>D2075-E2075</f>
        <v>1284.67445</v>
      </c>
      <c r="G2075" s="24">
        <f>IF(((D2075)=0),0,(D2075-E2075)/ D2075)</f>
        <v>0.39495263125784064</v>
      </c>
      <c r="H2075" s="21"/>
      <c r="I2075" s="21"/>
      <c r="J2075" s="21"/>
      <c r="K2075" s="21"/>
      <c r="L2075" s="21"/>
      <c r="M2075" s="21"/>
      <c r="N2075" s="21"/>
    </row>
    <row r="2077" spans="1:14" s="17" customFormat="1" ht="18.75" x14ac:dyDescent="0.3"/>
    <row r="2078" spans="1:14" s="7" customFormat="1" x14ac:dyDescent="0.25">
      <c r="A2078" s="13" t="s">
        <v>1504</v>
      </c>
      <c r="B2078" s="18" t="s">
        <v>1505</v>
      </c>
      <c r="C2078" s="19"/>
      <c r="D2078" s="20" t="s">
        <v>5</v>
      </c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</row>
    <row r="2080" spans="1:14" x14ac:dyDescent="0.25">
      <c r="A2080" s="2" t="s">
        <v>1506</v>
      </c>
      <c r="B2080" s="2" t="s">
        <v>1507</v>
      </c>
      <c r="C2080" s="3">
        <v>7.54</v>
      </c>
      <c r="D2080" s="4">
        <v>136.24780000000001</v>
      </c>
      <c r="E2080" s="4">
        <v>124.41</v>
      </c>
      <c r="F2080" s="4">
        <f>D2080-E2080</f>
        <v>11.837800000000016</v>
      </c>
      <c r="G2080" s="5">
        <f>IF(((D2080)=0),0,(D2080-E2080)/ D2080)</f>
        <v>8.6884338682899936E-2</v>
      </c>
      <c r="H2080" s="2" t="s">
        <v>1508</v>
      </c>
      <c r="I2080" s="6" t="s">
        <v>69</v>
      </c>
      <c r="J2080" s="2" t="s">
        <v>1509</v>
      </c>
      <c r="K2080" s="2" t="s">
        <v>5</v>
      </c>
      <c r="L2080" s="2" t="s">
        <v>28</v>
      </c>
      <c r="M2080" s="2" t="s">
        <v>5</v>
      </c>
      <c r="N2080" s="4">
        <v>817.1</v>
      </c>
    </row>
    <row r="2081" spans="1:14" x14ac:dyDescent="0.25">
      <c r="A2081" s="2" t="s">
        <v>544</v>
      </c>
      <c r="B2081" s="2" t="s">
        <v>545</v>
      </c>
      <c r="C2081" s="3">
        <v>6.2</v>
      </c>
      <c r="D2081" s="4">
        <v>270.75400000000002</v>
      </c>
      <c r="E2081" s="4">
        <v>192.2</v>
      </c>
      <c r="F2081" s="4">
        <f>D2081-E2081</f>
        <v>78.55400000000003</v>
      </c>
      <c r="G2081" s="5">
        <f>IF(((D2081)=0),0,(D2081-E2081)/ D2081)</f>
        <v>0.29013052438745141</v>
      </c>
      <c r="H2081" s="2" t="s">
        <v>1508</v>
      </c>
      <c r="I2081" s="6" t="s">
        <v>69</v>
      </c>
      <c r="J2081" s="2" t="s">
        <v>1509</v>
      </c>
      <c r="K2081" s="2" t="s">
        <v>5</v>
      </c>
      <c r="L2081" s="2" t="s">
        <v>28</v>
      </c>
      <c r="M2081" s="2" t="s">
        <v>5</v>
      </c>
      <c r="N2081" s="4">
        <v>817.1</v>
      </c>
    </row>
    <row r="2082" spans="1:14" x14ac:dyDescent="0.25">
      <c r="A2082" s="2" t="s">
        <v>1486</v>
      </c>
      <c r="B2082" s="2" t="s">
        <v>1487</v>
      </c>
      <c r="C2082" s="3">
        <v>6.3</v>
      </c>
      <c r="D2082" s="4">
        <v>152.523</v>
      </c>
      <c r="E2082" s="4">
        <v>88.2</v>
      </c>
      <c r="F2082" s="4">
        <f>D2082-E2082</f>
        <v>64.322999999999993</v>
      </c>
      <c r="G2082" s="5">
        <f>IF(((D2082)=0),0,(D2082-E2082)/ D2082)</f>
        <v>0.42172655927302766</v>
      </c>
      <c r="H2082" s="2" t="s">
        <v>1508</v>
      </c>
      <c r="I2082" s="6" t="s">
        <v>69</v>
      </c>
      <c r="J2082" s="2" t="s">
        <v>1509</v>
      </c>
      <c r="K2082" s="2" t="s">
        <v>5</v>
      </c>
      <c r="L2082" s="2" t="s">
        <v>28</v>
      </c>
      <c r="M2082" s="2" t="s">
        <v>5</v>
      </c>
      <c r="N2082" s="4">
        <v>817.1</v>
      </c>
    </row>
    <row r="2083" spans="1:14" x14ac:dyDescent="0.25">
      <c r="A2083" s="2" t="s">
        <v>1510</v>
      </c>
      <c r="B2083" s="2" t="s">
        <v>1511</v>
      </c>
      <c r="C2083" s="3">
        <v>4.8639999999999999</v>
      </c>
      <c r="D2083" s="4">
        <v>165.71647999999999</v>
      </c>
      <c r="E2083" s="4">
        <v>107.008</v>
      </c>
      <c r="F2083" s="4">
        <f>D2083-E2083</f>
        <v>58.708479999999994</v>
      </c>
      <c r="G2083" s="5">
        <f>IF(((D2083)=0),0,(D2083-E2083)/ D2083)</f>
        <v>0.35427061931317871</v>
      </c>
      <c r="H2083" s="2" t="s">
        <v>1508</v>
      </c>
      <c r="I2083" s="6" t="s">
        <v>69</v>
      </c>
      <c r="J2083" s="2" t="s">
        <v>1509</v>
      </c>
      <c r="K2083" s="2" t="s">
        <v>5</v>
      </c>
      <c r="L2083" s="2" t="s">
        <v>28</v>
      </c>
      <c r="M2083" s="2" t="s">
        <v>5</v>
      </c>
      <c r="N2083" s="4">
        <v>817.1</v>
      </c>
    </row>
    <row r="2084" spans="1:14" x14ac:dyDescent="0.25">
      <c r="A2084" s="2" t="s">
        <v>550</v>
      </c>
      <c r="B2084" s="2" t="s">
        <v>551</v>
      </c>
      <c r="C2084" s="3">
        <v>2.92</v>
      </c>
      <c r="D2084" s="4">
        <v>91.863200000000006</v>
      </c>
      <c r="E2084" s="4">
        <v>68.62</v>
      </c>
      <c r="F2084" s="4">
        <f>D2084-E2084</f>
        <v>23.243200000000002</v>
      </c>
      <c r="G2084" s="5">
        <f>IF(((D2084)=0),0,(D2084-E2084)/ D2084)</f>
        <v>0.25301970756516212</v>
      </c>
      <c r="H2084" s="2" t="s">
        <v>1508</v>
      </c>
      <c r="I2084" s="6" t="s">
        <v>69</v>
      </c>
      <c r="J2084" s="2" t="s">
        <v>1509</v>
      </c>
      <c r="K2084" s="2" t="s">
        <v>5</v>
      </c>
      <c r="L2084" s="2" t="s">
        <v>28</v>
      </c>
      <c r="M2084" s="2" t="s">
        <v>5</v>
      </c>
      <c r="N2084" s="4">
        <v>817.1</v>
      </c>
    </row>
    <row r="2086" spans="1:14" x14ac:dyDescent="0.25">
      <c r="A2086" s="13" t="s">
        <v>59</v>
      </c>
      <c r="B2086" s="21"/>
      <c r="C2086" s="22">
        <f>SUM(C2077:C2085)</f>
        <v>27.823999999999998</v>
      </c>
      <c r="D2086" s="23">
        <f>SUM(D2077:D2085)</f>
        <v>817.10447999999997</v>
      </c>
      <c r="E2086" s="23">
        <f>SUM(E2077:E2085)</f>
        <v>580.43799999999999</v>
      </c>
      <c r="F2086" s="23">
        <f>D2086-E2086</f>
        <v>236.66647999999998</v>
      </c>
      <c r="G2086" s="24">
        <f>IF(((D2086)=0),0,(D2086-E2086)/ D2086)</f>
        <v>0.28964041416098951</v>
      </c>
      <c r="H2086" s="21"/>
      <c r="I2086" s="21"/>
      <c r="J2086" s="21"/>
      <c r="K2086" s="21"/>
      <c r="L2086" s="21"/>
      <c r="M2086" s="21"/>
      <c r="N2086" s="21"/>
    </row>
    <row r="2088" spans="1:14" s="17" customFormat="1" ht="18.75" x14ac:dyDescent="0.3"/>
    <row r="2089" spans="1:14" s="7" customFormat="1" x14ac:dyDescent="0.25">
      <c r="A2089" s="13" t="s">
        <v>1512</v>
      </c>
      <c r="B2089" s="18" t="s">
        <v>1513</v>
      </c>
      <c r="C2089" s="19"/>
      <c r="D2089" s="20" t="s">
        <v>5</v>
      </c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</row>
    <row r="2091" spans="1:14" x14ac:dyDescent="0.25">
      <c r="A2091" s="2" t="s">
        <v>29</v>
      </c>
      <c r="B2091" s="2" t="s">
        <v>30</v>
      </c>
      <c r="C2091" s="3">
        <v>453.94</v>
      </c>
      <c r="D2091" s="4">
        <v>5424.5829999999996</v>
      </c>
      <c r="E2091" s="4">
        <v>4539.3999999999996</v>
      </c>
      <c r="F2091" s="4">
        <f>D2091-E2091</f>
        <v>885.18299999999999</v>
      </c>
      <c r="G2091" s="5">
        <f>IF(((D2091)=0),0,(D2091-E2091)/ D2091)</f>
        <v>0.16317991631799164</v>
      </c>
      <c r="H2091" s="2" t="s">
        <v>1514</v>
      </c>
      <c r="I2091" s="6" t="s">
        <v>74</v>
      </c>
      <c r="J2091" s="2" t="s">
        <v>1515</v>
      </c>
      <c r="K2091" s="2" t="s">
        <v>1516</v>
      </c>
      <c r="L2091" s="2" t="s">
        <v>28</v>
      </c>
      <c r="M2091" s="2" t="s">
        <v>5</v>
      </c>
      <c r="N2091" s="4">
        <v>5942.27</v>
      </c>
    </row>
    <row r="2092" spans="1:14" x14ac:dyDescent="0.25">
      <c r="A2092" s="2" t="s">
        <v>29</v>
      </c>
      <c r="B2092" s="2" t="s">
        <v>30</v>
      </c>
      <c r="C2092" s="3">
        <v>15.2</v>
      </c>
      <c r="D2092" s="4">
        <v>181.64</v>
      </c>
      <c r="E2092" s="4">
        <v>152</v>
      </c>
      <c r="F2092" s="4">
        <f>D2092-E2092</f>
        <v>29.639999999999986</v>
      </c>
      <c r="G2092" s="5">
        <f>IF(((D2092)=0),0,(D2092-E2092)/ D2092)</f>
        <v>0.16317991631799156</v>
      </c>
      <c r="H2092" s="2" t="s">
        <v>1517</v>
      </c>
      <c r="I2092" s="6" t="s">
        <v>25</v>
      </c>
      <c r="J2092" s="2" t="s">
        <v>1518</v>
      </c>
      <c r="K2092" s="2" t="s">
        <v>1519</v>
      </c>
      <c r="L2092" s="2" t="s">
        <v>28</v>
      </c>
      <c r="M2092" s="2" t="s">
        <v>5</v>
      </c>
      <c r="N2092" s="4">
        <v>4231.6400000000003</v>
      </c>
    </row>
    <row r="2093" spans="1:14" x14ac:dyDescent="0.25">
      <c r="A2093" s="2" t="s">
        <v>41</v>
      </c>
      <c r="B2093" s="2" t="s">
        <v>42</v>
      </c>
      <c r="C2093" s="3">
        <v>30.56</v>
      </c>
      <c r="D2093" s="4">
        <v>517.68640000000005</v>
      </c>
      <c r="E2093" s="4">
        <v>359.08</v>
      </c>
      <c r="F2093" s="4">
        <f>D2093-E2093</f>
        <v>158.60640000000006</v>
      </c>
      <c r="G2093" s="5">
        <f>IF(((D2093)=0),0,(D2093-E2093)/ D2093)</f>
        <v>0.30637544273907918</v>
      </c>
      <c r="H2093" s="2" t="s">
        <v>1514</v>
      </c>
      <c r="I2093" s="6" t="s">
        <v>74</v>
      </c>
      <c r="J2093" s="2" t="s">
        <v>1515</v>
      </c>
      <c r="K2093" s="2" t="s">
        <v>1516</v>
      </c>
      <c r="L2093" s="2" t="s">
        <v>28</v>
      </c>
      <c r="M2093" s="2" t="s">
        <v>5</v>
      </c>
      <c r="N2093" s="4">
        <v>5942.27</v>
      </c>
    </row>
    <row r="2094" spans="1:14" x14ac:dyDescent="0.25">
      <c r="A2094" s="2" t="s">
        <v>248</v>
      </c>
      <c r="B2094" s="2" t="s">
        <v>249</v>
      </c>
      <c r="C2094" s="3">
        <v>300</v>
      </c>
      <c r="D2094" s="4">
        <v>4050</v>
      </c>
      <c r="E2094" s="4">
        <v>2850</v>
      </c>
      <c r="F2094" s="4">
        <f>D2094-E2094</f>
        <v>1200</v>
      </c>
      <c r="G2094" s="5">
        <f>IF(((D2094)=0),0,(D2094-E2094)/ D2094)</f>
        <v>0.29629629629629628</v>
      </c>
      <c r="H2094" s="2" t="s">
        <v>1517</v>
      </c>
      <c r="I2094" s="6" t="s">
        <v>25</v>
      </c>
      <c r="J2094" s="2" t="s">
        <v>1518</v>
      </c>
      <c r="K2094" s="2" t="s">
        <v>1519</v>
      </c>
      <c r="L2094" s="2" t="s">
        <v>28</v>
      </c>
      <c r="M2094" s="2" t="s">
        <v>5</v>
      </c>
      <c r="N2094" s="4">
        <v>4231.6400000000003</v>
      </c>
    </row>
    <row r="2096" spans="1:14" x14ac:dyDescent="0.25">
      <c r="A2096" s="13" t="s">
        <v>59</v>
      </c>
      <c r="B2096" s="21"/>
      <c r="C2096" s="22">
        <f>SUM(C2088:C2095)</f>
        <v>799.7</v>
      </c>
      <c r="D2096" s="23">
        <f>SUM(D2088:D2095)</f>
        <v>10173.9094</v>
      </c>
      <c r="E2096" s="23">
        <f>SUM(E2088:E2095)</f>
        <v>7900.48</v>
      </c>
      <c r="F2096" s="23">
        <f>D2096-E2096</f>
        <v>2273.4294000000009</v>
      </c>
      <c r="G2096" s="24">
        <f>IF(((D2096)=0),0,(D2096-E2096)/ D2096)</f>
        <v>0.22345681592171449</v>
      </c>
      <c r="H2096" s="21"/>
      <c r="I2096" s="21"/>
      <c r="J2096" s="21"/>
      <c r="K2096" s="21"/>
      <c r="L2096" s="21"/>
      <c r="M2096" s="21"/>
      <c r="N2096" s="21"/>
    </row>
    <row r="2098" spans="1:14" s="17" customFormat="1" ht="18.75" x14ac:dyDescent="0.3"/>
    <row r="2099" spans="1:14" s="7" customFormat="1" x14ac:dyDescent="0.25">
      <c r="A2099" s="13" t="s">
        <v>1520</v>
      </c>
      <c r="B2099" s="18" t="s">
        <v>1521</v>
      </c>
      <c r="C2099" s="19"/>
      <c r="D2099" s="20" t="s">
        <v>5</v>
      </c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</row>
    <row r="2101" spans="1:14" x14ac:dyDescent="0.25">
      <c r="A2101" s="2" t="s">
        <v>566</v>
      </c>
      <c r="B2101" s="2" t="s">
        <v>567</v>
      </c>
      <c r="C2101" s="3">
        <v>30.42</v>
      </c>
      <c r="D2101" s="4">
        <v>477.59399999999999</v>
      </c>
      <c r="E2101" s="4">
        <v>346.78800000000001</v>
      </c>
      <c r="F2101" s="4">
        <f t="shared" ref="F2101:F2107" si="141">D2101-E2101</f>
        <v>130.80599999999998</v>
      </c>
      <c r="G2101" s="5">
        <f t="shared" ref="G2101:G2107" si="142">IF(((D2101)=0),0,(D2101-E2101)/ D2101)</f>
        <v>0.27388535031847133</v>
      </c>
      <c r="H2101" s="2" t="s">
        <v>1522</v>
      </c>
      <c r="I2101" s="6" t="s">
        <v>69</v>
      </c>
      <c r="J2101" s="2" t="s">
        <v>1523</v>
      </c>
      <c r="K2101" s="2" t="s">
        <v>5</v>
      </c>
      <c r="L2101" s="2" t="s">
        <v>28</v>
      </c>
      <c r="M2101" s="2" t="s">
        <v>5</v>
      </c>
      <c r="N2101" s="4">
        <v>4879.05</v>
      </c>
    </row>
    <row r="2102" spans="1:14" x14ac:dyDescent="0.25">
      <c r="A2102" s="2" t="s">
        <v>1524</v>
      </c>
      <c r="B2102" s="2" t="s">
        <v>1525</v>
      </c>
      <c r="C2102" s="3">
        <v>1</v>
      </c>
      <c r="D2102" s="4">
        <v>160.5</v>
      </c>
      <c r="E2102" s="4">
        <v>30</v>
      </c>
      <c r="F2102" s="4">
        <f t="shared" si="141"/>
        <v>130.5</v>
      </c>
      <c r="G2102" s="5">
        <f t="shared" si="142"/>
        <v>0.81308411214953269</v>
      </c>
      <c r="H2102" s="2" t="s">
        <v>1526</v>
      </c>
      <c r="I2102" s="6" t="s">
        <v>69</v>
      </c>
      <c r="J2102" s="2" t="s">
        <v>1527</v>
      </c>
      <c r="K2102" s="2" t="s">
        <v>5</v>
      </c>
      <c r="L2102" s="2" t="s">
        <v>28</v>
      </c>
      <c r="M2102" s="2" t="s">
        <v>5</v>
      </c>
      <c r="N2102" s="4">
        <v>176.55</v>
      </c>
    </row>
    <row r="2103" spans="1:14" x14ac:dyDescent="0.25">
      <c r="A2103" s="2" t="s">
        <v>246</v>
      </c>
      <c r="B2103" s="2" t="s">
        <v>247</v>
      </c>
      <c r="C2103" s="3">
        <v>48</v>
      </c>
      <c r="D2103" s="4">
        <v>882.24</v>
      </c>
      <c r="E2103" s="4">
        <v>780</v>
      </c>
      <c r="F2103" s="4">
        <f t="shared" si="141"/>
        <v>102.24000000000001</v>
      </c>
      <c r="G2103" s="5">
        <f t="shared" si="142"/>
        <v>0.11588683351468988</v>
      </c>
      <c r="H2103" s="2" t="s">
        <v>1522</v>
      </c>
      <c r="I2103" s="6" t="s">
        <v>69</v>
      </c>
      <c r="J2103" s="2" t="s">
        <v>1523</v>
      </c>
      <c r="K2103" s="2" t="s">
        <v>5</v>
      </c>
      <c r="L2103" s="2" t="s">
        <v>28</v>
      </c>
      <c r="M2103" s="2" t="s">
        <v>5</v>
      </c>
      <c r="N2103" s="4">
        <v>4879.05</v>
      </c>
    </row>
    <row r="2104" spans="1:14" x14ac:dyDescent="0.25">
      <c r="A2104" s="2" t="s">
        <v>51</v>
      </c>
      <c r="B2104" s="2" t="s">
        <v>52</v>
      </c>
      <c r="C2104" s="3">
        <v>89.42</v>
      </c>
      <c r="D2104" s="4">
        <v>1497.7850000000001</v>
      </c>
      <c r="E2104" s="4">
        <v>1475.43</v>
      </c>
      <c r="F2104" s="4">
        <f t="shared" si="141"/>
        <v>22.355000000000018</v>
      </c>
      <c r="G2104" s="5">
        <f t="shared" si="142"/>
        <v>1.492537313432837E-2</v>
      </c>
      <c r="H2104" s="2" t="s">
        <v>1522</v>
      </c>
      <c r="I2104" s="6" t="s">
        <v>69</v>
      </c>
      <c r="J2104" s="2" t="s">
        <v>1523</v>
      </c>
      <c r="K2104" s="2" t="s">
        <v>5</v>
      </c>
      <c r="L2104" s="2" t="s">
        <v>28</v>
      </c>
      <c r="M2104" s="2" t="s">
        <v>5</v>
      </c>
      <c r="N2104" s="4">
        <v>4879.05</v>
      </c>
    </row>
    <row r="2105" spans="1:14" x14ac:dyDescent="0.25">
      <c r="A2105" s="2" t="s">
        <v>217</v>
      </c>
      <c r="B2105" s="2" t="s">
        <v>218</v>
      </c>
      <c r="C2105" s="3">
        <v>57.31</v>
      </c>
      <c r="D2105" s="4">
        <v>836.726</v>
      </c>
      <c r="E2105" s="4">
        <v>624.67899999999997</v>
      </c>
      <c r="F2105" s="4">
        <f t="shared" si="141"/>
        <v>212.04700000000003</v>
      </c>
      <c r="G2105" s="5">
        <f t="shared" si="142"/>
        <v>0.25342465753424659</v>
      </c>
      <c r="H2105" s="2" t="s">
        <v>1522</v>
      </c>
      <c r="I2105" s="6" t="s">
        <v>69</v>
      </c>
      <c r="J2105" s="2" t="s">
        <v>1523</v>
      </c>
      <c r="K2105" s="2" t="s">
        <v>5</v>
      </c>
      <c r="L2105" s="2" t="s">
        <v>28</v>
      </c>
      <c r="M2105" s="2" t="s">
        <v>5</v>
      </c>
      <c r="N2105" s="4">
        <v>4879.05</v>
      </c>
    </row>
    <row r="2106" spans="1:14" x14ac:dyDescent="0.25">
      <c r="A2106" s="2" t="s">
        <v>713</v>
      </c>
      <c r="B2106" s="2" t="s">
        <v>714</v>
      </c>
      <c r="C2106" s="3">
        <v>60</v>
      </c>
      <c r="D2106" s="4">
        <v>727.8</v>
      </c>
      <c r="E2106" s="4">
        <v>525</v>
      </c>
      <c r="F2106" s="4">
        <f t="shared" si="141"/>
        <v>202.79999999999995</v>
      </c>
      <c r="G2106" s="5">
        <f t="shared" si="142"/>
        <v>0.27864798021434456</v>
      </c>
      <c r="H2106" s="2" t="s">
        <v>1522</v>
      </c>
      <c r="I2106" s="6" t="s">
        <v>69</v>
      </c>
      <c r="J2106" s="2" t="s">
        <v>1523</v>
      </c>
      <c r="K2106" s="2" t="s">
        <v>5</v>
      </c>
      <c r="L2106" s="2" t="s">
        <v>28</v>
      </c>
      <c r="M2106" s="2" t="s">
        <v>5</v>
      </c>
      <c r="N2106" s="4">
        <v>4879.05</v>
      </c>
    </row>
    <row r="2107" spans="1:14" x14ac:dyDescent="0.25">
      <c r="A2107" s="2" t="s">
        <v>694</v>
      </c>
      <c r="B2107" s="2" t="s">
        <v>695</v>
      </c>
      <c r="C2107" s="3">
        <v>30</v>
      </c>
      <c r="D2107" s="4">
        <v>456.9</v>
      </c>
      <c r="E2107" s="4">
        <v>273</v>
      </c>
      <c r="F2107" s="4">
        <f t="shared" si="141"/>
        <v>183.89999999999998</v>
      </c>
      <c r="G2107" s="5">
        <f t="shared" si="142"/>
        <v>0.40249507550886404</v>
      </c>
      <c r="H2107" s="2" t="s">
        <v>1522</v>
      </c>
      <c r="I2107" s="6" t="s">
        <v>69</v>
      </c>
      <c r="J2107" s="2" t="s">
        <v>1523</v>
      </c>
      <c r="K2107" s="2" t="s">
        <v>5</v>
      </c>
      <c r="L2107" s="2" t="s">
        <v>28</v>
      </c>
      <c r="M2107" s="2" t="s">
        <v>5</v>
      </c>
      <c r="N2107" s="4">
        <v>4879.05</v>
      </c>
    </row>
    <row r="2109" spans="1:14" x14ac:dyDescent="0.25">
      <c r="A2109" s="13" t="s">
        <v>59</v>
      </c>
      <c r="B2109" s="21"/>
      <c r="C2109" s="22">
        <f>SUM(C2098:C2108)</f>
        <v>316.14999999999998</v>
      </c>
      <c r="D2109" s="23">
        <f>SUM(D2098:D2108)</f>
        <v>5039.5450000000001</v>
      </c>
      <c r="E2109" s="23">
        <f>SUM(E2098:E2108)</f>
        <v>4054.8969999999999</v>
      </c>
      <c r="F2109" s="23">
        <f>D2109-E2109</f>
        <v>984.64800000000014</v>
      </c>
      <c r="G2109" s="24">
        <f>IF(((D2109)=0),0,(D2109-E2109)/ D2109)</f>
        <v>0.19538430552758237</v>
      </c>
      <c r="H2109" s="21"/>
      <c r="I2109" s="21"/>
      <c r="J2109" s="21"/>
      <c r="K2109" s="21"/>
      <c r="L2109" s="21"/>
      <c r="M2109" s="21"/>
      <c r="N2109" s="21"/>
    </row>
    <row r="2111" spans="1:14" s="17" customFormat="1" ht="18.75" x14ac:dyDescent="0.3"/>
    <row r="2112" spans="1:14" s="7" customFormat="1" x14ac:dyDescent="0.25">
      <c r="A2112" s="13" t="s">
        <v>1528</v>
      </c>
      <c r="B2112" s="18" t="s">
        <v>1529</v>
      </c>
      <c r="C2112" s="19"/>
      <c r="D2112" s="20" t="s">
        <v>5</v>
      </c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</row>
    <row r="2114" spans="1:14" x14ac:dyDescent="0.25">
      <c r="A2114" s="2" t="s">
        <v>1129</v>
      </c>
      <c r="B2114" s="2" t="s">
        <v>1130</v>
      </c>
      <c r="C2114" s="3">
        <v>12</v>
      </c>
      <c r="D2114" s="4">
        <v>211.56</v>
      </c>
      <c r="E2114" s="4">
        <v>141.12</v>
      </c>
      <c r="F2114" s="4">
        <f t="shared" ref="F2114:F2119" si="143">D2114-E2114</f>
        <v>70.44</v>
      </c>
      <c r="G2114" s="5">
        <f t="shared" ref="G2114:G2119" si="144">IF(((D2114)=0),0,(D2114-E2114)/ D2114)</f>
        <v>0.33295519001701646</v>
      </c>
      <c r="H2114" s="2" t="s">
        <v>1530</v>
      </c>
      <c r="I2114" s="6" t="s">
        <v>69</v>
      </c>
      <c r="J2114" s="2" t="s">
        <v>1531</v>
      </c>
      <c r="K2114" s="2" t="s">
        <v>5</v>
      </c>
      <c r="L2114" s="2" t="s">
        <v>28</v>
      </c>
      <c r="M2114" s="2" t="s">
        <v>5</v>
      </c>
      <c r="N2114" s="4">
        <v>1542.45</v>
      </c>
    </row>
    <row r="2115" spans="1:14" x14ac:dyDescent="0.25">
      <c r="A2115" s="2" t="s">
        <v>53</v>
      </c>
      <c r="B2115" s="2" t="s">
        <v>54</v>
      </c>
      <c r="C2115" s="3">
        <v>7.12</v>
      </c>
      <c r="D2115" s="4">
        <v>72.6952</v>
      </c>
      <c r="E2115" s="4">
        <v>51.975999999999999</v>
      </c>
      <c r="F2115" s="4">
        <f t="shared" si="143"/>
        <v>20.719200000000001</v>
      </c>
      <c r="G2115" s="5">
        <f t="shared" si="144"/>
        <v>0.28501469147894221</v>
      </c>
      <c r="H2115" s="2" t="s">
        <v>1532</v>
      </c>
      <c r="I2115" s="6" t="s">
        <v>39</v>
      </c>
      <c r="J2115" s="2" t="s">
        <v>1533</v>
      </c>
      <c r="K2115" s="2" t="s">
        <v>5</v>
      </c>
      <c r="L2115" s="2" t="s">
        <v>28</v>
      </c>
      <c r="M2115" s="2" t="s">
        <v>5</v>
      </c>
      <c r="N2115" s="4">
        <v>72.7</v>
      </c>
    </row>
    <row r="2116" spans="1:14" x14ac:dyDescent="0.25">
      <c r="A2116" s="2" t="s">
        <v>136</v>
      </c>
      <c r="B2116" s="2" t="s">
        <v>137</v>
      </c>
      <c r="C2116" s="3">
        <v>22.36</v>
      </c>
      <c r="D2116" s="4">
        <v>362.67919999999998</v>
      </c>
      <c r="E2116" s="4">
        <v>313.04000000000002</v>
      </c>
      <c r="F2116" s="4">
        <f t="shared" si="143"/>
        <v>49.63919999999996</v>
      </c>
      <c r="G2116" s="5">
        <f t="shared" si="144"/>
        <v>0.13686806411837227</v>
      </c>
      <c r="H2116" s="2" t="s">
        <v>1530</v>
      </c>
      <c r="I2116" s="6" t="s">
        <v>69</v>
      </c>
      <c r="J2116" s="2" t="s">
        <v>1531</v>
      </c>
      <c r="K2116" s="2" t="s">
        <v>5</v>
      </c>
      <c r="L2116" s="2" t="s">
        <v>28</v>
      </c>
      <c r="M2116" s="2" t="s">
        <v>5</v>
      </c>
      <c r="N2116" s="4">
        <v>1542.45</v>
      </c>
    </row>
    <row r="2117" spans="1:14" x14ac:dyDescent="0.25">
      <c r="A2117" s="2" t="s">
        <v>694</v>
      </c>
      <c r="B2117" s="2" t="s">
        <v>695</v>
      </c>
      <c r="C2117" s="3">
        <v>9.8849999999999998</v>
      </c>
      <c r="D2117" s="4">
        <v>162.3117</v>
      </c>
      <c r="E2117" s="4">
        <v>89.953500000000005</v>
      </c>
      <c r="F2117" s="4">
        <f t="shared" si="143"/>
        <v>72.358199999999997</v>
      </c>
      <c r="G2117" s="5">
        <f t="shared" si="144"/>
        <v>0.44579780755176612</v>
      </c>
      <c r="H2117" s="2" t="s">
        <v>1530</v>
      </c>
      <c r="I2117" s="6" t="s">
        <v>69</v>
      </c>
      <c r="J2117" s="2" t="s">
        <v>1531</v>
      </c>
      <c r="K2117" s="2" t="s">
        <v>5</v>
      </c>
      <c r="L2117" s="2" t="s">
        <v>28</v>
      </c>
      <c r="M2117" s="2" t="s">
        <v>5</v>
      </c>
      <c r="N2117" s="4">
        <v>1542.45</v>
      </c>
    </row>
    <row r="2118" spans="1:14" x14ac:dyDescent="0.25">
      <c r="A2118" s="2" t="s">
        <v>124</v>
      </c>
      <c r="B2118" s="2" t="s">
        <v>125</v>
      </c>
      <c r="C2118" s="3">
        <v>14.89</v>
      </c>
      <c r="D2118" s="4">
        <v>454.74059999999997</v>
      </c>
      <c r="E2118" s="4">
        <v>323.85750000000002</v>
      </c>
      <c r="F2118" s="4">
        <f t="shared" si="143"/>
        <v>130.88309999999996</v>
      </c>
      <c r="G2118" s="5">
        <f t="shared" si="144"/>
        <v>0.28781925343811388</v>
      </c>
      <c r="H2118" s="2" t="s">
        <v>1530</v>
      </c>
      <c r="I2118" s="6" t="s">
        <v>69</v>
      </c>
      <c r="J2118" s="2" t="s">
        <v>1531</v>
      </c>
      <c r="K2118" s="2" t="s">
        <v>5</v>
      </c>
      <c r="L2118" s="2" t="s">
        <v>28</v>
      </c>
      <c r="M2118" s="2" t="s">
        <v>5</v>
      </c>
      <c r="N2118" s="4">
        <v>1542.45</v>
      </c>
    </row>
    <row r="2119" spans="1:14" x14ac:dyDescent="0.25">
      <c r="A2119" s="2" t="s">
        <v>1288</v>
      </c>
      <c r="B2119" s="2" t="s">
        <v>1289</v>
      </c>
      <c r="C2119" s="3">
        <v>10.96</v>
      </c>
      <c r="D2119" s="4">
        <v>351.15839999999997</v>
      </c>
      <c r="E2119" s="4">
        <v>241.12</v>
      </c>
      <c r="F2119" s="4">
        <f t="shared" si="143"/>
        <v>110.03839999999997</v>
      </c>
      <c r="G2119" s="5">
        <f t="shared" si="144"/>
        <v>0.313358302122347</v>
      </c>
      <c r="H2119" s="2" t="s">
        <v>1530</v>
      </c>
      <c r="I2119" s="6" t="s">
        <v>69</v>
      </c>
      <c r="J2119" s="2" t="s">
        <v>1531</v>
      </c>
      <c r="K2119" s="2" t="s">
        <v>5</v>
      </c>
      <c r="L2119" s="2" t="s">
        <v>28</v>
      </c>
      <c r="M2119" s="2" t="s">
        <v>5</v>
      </c>
      <c r="N2119" s="4">
        <v>1542.45</v>
      </c>
    </row>
    <row r="2121" spans="1:14" x14ac:dyDescent="0.25">
      <c r="A2121" s="13" t="s">
        <v>59</v>
      </c>
      <c r="B2121" s="21"/>
      <c r="C2121" s="22">
        <f>SUM(C2111:C2120)</f>
        <v>77.215000000000003</v>
      </c>
      <c r="D2121" s="23">
        <f>SUM(D2111:D2120)</f>
        <v>1615.1451</v>
      </c>
      <c r="E2121" s="23">
        <f>SUM(E2111:E2120)</f>
        <v>1161.067</v>
      </c>
      <c r="F2121" s="23">
        <f>D2121-E2121</f>
        <v>454.07809999999995</v>
      </c>
      <c r="G2121" s="24">
        <f>IF(((D2121)=0),0,(D2121-E2121)/ D2121)</f>
        <v>0.28113765134785723</v>
      </c>
      <c r="H2121" s="21"/>
      <c r="I2121" s="21"/>
      <c r="J2121" s="21"/>
      <c r="K2121" s="21"/>
      <c r="L2121" s="21"/>
      <c r="M2121" s="21"/>
      <c r="N2121" s="21"/>
    </row>
    <row r="2123" spans="1:14" s="17" customFormat="1" ht="18.75" x14ac:dyDescent="0.3"/>
    <row r="2124" spans="1:14" s="7" customFormat="1" x14ac:dyDescent="0.25">
      <c r="A2124" s="13" t="s">
        <v>1534</v>
      </c>
      <c r="B2124" s="18" t="s">
        <v>1535</v>
      </c>
      <c r="C2124" s="19"/>
      <c r="D2124" s="20" t="s">
        <v>5</v>
      </c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</row>
    <row r="2126" spans="1:14" x14ac:dyDescent="0.25">
      <c r="A2126" s="2" t="s">
        <v>152</v>
      </c>
      <c r="B2126" s="2" t="s">
        <v>153</v>
      </c>
      <c r="C2126" s="3">
        <v>31.13</v>
      </c>
      <c r="D2126" s="4">
        <v>511.15460000000002</v>
      </c>
      <c r="E2126" s="4">
        <v>214.797</v>
      </c>
      <c r="F2126" s="4">
        <f>D2126-E2126</f>
        <v>296.35760000000005</v>
      </c>
      <c r="G2126" s="5">
        <f>IF(((D2126)=0),0,(D2126-E2126)/ D2126)</f>
        <v>0.57978075517661398</v>
      </c>
      <c r="H2126" s="2" t="s">
        <v>1536</v>
      </c>
      <c r="I2126" s="6" t="s">
        <v>74</v>
      </c>
      <c r="J2126" s="2" t="s">
        <v>1537</v>
      </c>
      <c r="K2126" s="2" t="s">
        <v>5</v>
      </c>
      <c r="L2126" s="2" t="s">
        <v>28</v>
      </c>
      <c r="M2126" s="2" t="s">
        <v>5</v>
      </c>
      <c r="N2126" s="4">
        <v>1535.14</v>
      </c>
    </row>
    <row r="2127" spans="1:14" x14ac:dyDescent="0.25">
      <c r="A2127" s="2" t="s">
        <v>646</v>
      </c>
      <c r="B2127" s="2" t="s">
        <v>647</v>
      </c>
      <c r="C2127" s="3">
        <v>14.72</v>
      </c>
      <c r="D2127" s="4">
        <v>601.31200000000001</v>
      </c>
      <c r="E2127" s="4">
        <v>456.32</v>
      </c>
      <c r="F2127" s="4">
        <f>D2127-E2127</f>
        <v>144.99200000000002</v>
      </c>
      <c r="G2127" s="5">
        <f>IF(((D2127)=0),0,(D2127-E2127)/ D2127)</f>
        <v>0.2411260709914321</v>
      </c>
      <c r="H2127" s="2" t="s">
        <v>1536</v>
      </c>
      <c r="I2127" s="6" t="s">
        <v>74</v>
      </c>
      <c r="J2127" s="2" t="s">
        <v>1537</v>
      </c>
      <c r="K2127" s="2" t="s">
        <v>5</v>
      </c>
      <c r="L2127" s="2" t="s">
        <v>28</v>
      </c>
      <c r="M2127" s="2" t="s">
        <v>5</v>
      </c>
      <c r="N2127" s="4">
        <v>1535.14</v>
      </c>
    </row>
    <row r="2128" spans="1:14" x14ac:dyDescent="0.25">
      <c r="A2128" s="2" t="s">
        <v>589</v>
      </c>
      <c r="B2128" s="2" t="s">
        <v>590</v>
      </c>
      <c r="C2128" s="3">
        <v>19.3</v>
      </c>
      <c r="D2128" s="4">
        <v>422.67</v>
      </c>
      <c r="E2128" s="4">
        <v>265.375</v>
      </c>
      <c r="F2128" s="4">
        <f>D2128-E2128</f>
        <v>157.29500000000002</v>
      </c>
      <c r="G2128" s="5">
        <f>IF(((D2128)=0),0,(D2128-E2128)/ D2128)</f>
        <v>0.37214611872146119</v>
      </c>
      <c r="H2128" s="2" t="s">
        <v>1536</v>
      </c>
      <c r="I2128" s="6" t="s">
        <v>74</v>
      </c>
      <c r="J2128" s="2" t="s">
        <v>1537</v>
      </c>
      <c r="K2128" s="2" t="s">
        <v>5</v>
      </c>
      <c r="L2128" s="2" t="s">
        <v>28</v>
      </c>
      <c r="M2128" s="2" t="s">
        <v>5</v>
      </c>
      <c r="N2128" s="4">
        <v>1535.14</v>
      </c>
    </row>
    <row r="2130" spans="1:14" x14ac:dyDescent="0.25">
      <c r="A2130" s="13" t="s">
        <v>59</v>
      </c>
      <c r="B2130" s="21"/>
      <c r="C2130" s="22">
        <f>SUM(C2123:C2129)</f>
        <v>65.150000000000006</v>
      </c>
      <c r="D2130" s="23">
        <f>SUM(D2123:D2129)</f>
        <v>1535.1366</v>
      </c>
      <c r="E2130" s="23">
        <f>SUM(E2123:E2129)</f>
        <v>936.49199999999996</v>
      </c>
      <c r="F2130" s="23">
        <f>D2130-E2130</f>
        <v>598.64460000000008</v>
      </c>
      <c r="G2130" s="24">
        <f>IF(((D2130)=0),0,(D2130-E2130)/ D2130)</f>
        <v>0.38996177929703457</v>
      </c>
      <c r="H2130" s="21"/>
      <c r="I2130" s="21"/>
      <c r="J2130" s="21"/>
      <c r="K2130" s="21"/>
      <c r="L2130" s="21"/>
      <c r="M2130" s="21"/>
      <c r="N2130" s="21"/>
    </row>
    <row r="2132" spans="1:14" s="17" customFormat="1" ht="18.75" x14ac:dyDescent="0.3"/>
    <row r="2133" spans="1:14" s="7" customFormat="1" x14ac:dyDescent="0.25">
      <c r="A2133" s="13" t="s">
        <v>1538</v>
      </c>
      <c r="B2133" s="18" t="s">
        <v>1539</v>
      </c>
      <c r="C2133" s="19"/>
      <c r="D2133" s="20" t="s">
        <v>5</v>
      </c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</row>
    <row r="2135" spans="1:14" x14ac:dyDescent="0.25">
      <c r="A2135" s="2" t="s">
        <v>260</v>
      </c>
      <c r="B2135" s="2" t="s">
        <v>261</v>
      </c>
      <c r="C2135" s="3">
        <v>60</v>
      </c>
      <c r="D2135" s="4">
        <v>1058.4000000000001</v>
      </c>
      <c r="E2135" s="4">
        <v>600</v>
      </c>
      <c r="F2135" s="4">
        <f t="shared" ref="F2135:F2151" si="145">D2135-E2135</f>
        <v>458.40000000000009</v>
      </c>
      <c r="G2135" s="5">
        <f t="shared" ref="G2135:G2151" si="146">IF(((D2135)=0),0,(D2135-E2135)/ D2135)</f>
        <v>0.43310657596371888</v>
      </c>
      <c r="H2135" s="2" t="s">
        <v>1540</v>
      </c>
      <c r="I2135" s="6" t="s">
        <v>69</v>
      </c>
      <c r="J2135" s="2" t="s">
        <v>1541</v>
      </c>
      <c r="K2135" s="2" t="s">
        <v>1542</v>
      </c>
      <c r="L2135" s="2" t="s">
        <v>28</v>
      </c>
      <c r="M2135" s="2" t="s">
        <v>5</v>
      </c>
      <c r="N2135" s="4">
        <v>9819.23</v>
      </c>
    </row>
    <row r="2136" spans="1:14" x14ac:dyDescent="0.25">
      <c r="A2136" s="2" t="s">
        <v>270</v>
      </c>
      <c r="B2136" s="2" t="s">
        <v>271</v>
      </c>
      <c r="C2136" s="3">
        <v>83.83</v>
      </c>
      <c r="D2136" s="4">
        <v>1479.5995</v>
      </c>
      <c r="E2136" s="4">
        <v>922.13</v>
      </c>
      <c r="F2136" s="4">
        <f t="shared" si="145"/>
        <v>557.46950000000004</v>
      </c>
      <c r="G2136" s="5">
        <f t="shared" si="146"/>
        <v>0.37677053824362611</v>
      </c>
      <c r="H2136" s="2" t="s">
        <v>1540</v>
      </c>
      <c r="I2136" s="6" t="s">
        <v>69</v>
      </c>
      <c r="J2136" s="2" t="s">
        <v>1541</v>
      </c>
      <c r="K2136" s="2" t="s">
        <v>1542</v>
      </c>
      <c r="L2136" s="2" t="s">
        <v>28</v>
      </c>
      <c r="M2136" s="2" t="s">
        <v>5</v>
      </c>
      <c r="N2136" s="4">
        <v>9819.23</v>
      </c>
    </row>
    <row r="2137" spans="1:14" x14ac:dyDescent="0.25">
      <c r="A2137" s="2" t="s">
        <v>280</v>
      </c>
      <c r="B2137" s="2" t="s">
        <v>281</v>
      </c>
      <c r="C2137" s="3">
        <v>29.82</v>
      </c>
      <c r="D2137" s="4">
        <v>484.57499999999999</v>
      </c>
      <c r="E2137" s="4">
        <v>205.75800000000001</v>
      </c>
      <c r="F2137" s="4">
        <f t="shared" si="145"/>
        <v>278.81700000000001</v>
      </c>
      <c r="G2137" s="5">
        <f t="shared" si="146"/>
        <v>0.57538461538461538</v>
      </c>
      <c r="H2137" s="2" t="s">
        <v>1540</v>
      </c>
      <c r="I2137" s="6" t="s">
        <v>69</v>
      </c>
      <c r="J2137" s="2" t="s">
        <v>1541</v>
      </c>
      <c r="K2137" s="2" t="s">
        <v>1542</v>
      </c>
      <c r="L2137" s="2" t="s">
        <v>28</v>
      </c>
      <c r="M2137" s="2" t="s">
        <v>5</v>
      </c>
      <c r="N2137" s="4">
        <v>9819.23</v>
      </c>
    </row>
    <row r="2138" spans="1:14" x14ac:dyDescent="0.25">
      <c r="A2138" s="2" t="s">
        <v>1307</v>
      </c>
      <c r="B2138" s="2" t="s">
        <v>1308</v>
      </c>
      <c r="C2138" s="3">
        <v>36</v>
      </c>
      <c r="D2138" s="4">
        <v>722.88</v>
      </c>
      <c r="E2138" s="4">
        <v>270</v>
      </c>
      <c r="F2138" s="4">
        <f t="shared" si="145"/>
        <v>452.88</v>
      </c>
      <c r="G2138" s="5">
        <f t="shared" si="146"/>
        <v>0.62649402390438247</v>
      </c>
      <c r="H2138" s="2" t="s">
        <v>1540</v>
      </c>
      <c r="I2138" s="6" t="s">
        <v>69</v>
      </c>
      <c r="J2138" s="2" t="s">
        <v>1541</v>
      </c>
      <c r="K2138" s="2" t="s">
        <v>1542</v>
      </c>
      <c r="L2138" s="2" t="s">
        <v>28</v>
      </c>
      <c r="M2138" s="2" t="s">
        <v>5</v>
      </c>
      <c r="N2138" s="4">
        <v>9819.23</v>
      </c>
    </row>
    <row r="2139" spans="1:14" x14ac:dyDescent="0.25">
      <c r="A2139" s="2" t="s">
        <v>760</v>
      </c>
      <c r="B2139" s="2" t="s">
        <v>761</v>
      </c>
      <c r="C2139" s="3">
        <v>43.115000000000002</v>
      </c>
      <c r="D2139" s="4">
        <v>290.16395</v>
      </c>
      <c r="E2139" s="4">
        <v>155.214</v>
      </c>
      <c r="F2139" s="4">
        <f t="shared" si="145"/>
        <v>134.94995</v>
      </c>
      <c r="G2139" s="5">
        <f t="shared" si="146"/>
        <v>0.46508172362555722</v>
      </c>
      <c r="H2139" s="2" t="s">
        <v>1540</v>
      </c>
      <c r="I2139" s="6" t="s">
        <v>69</v>
      </c>
      <c r="J2139" s="2" t="s">
        <v>1541</v>
      </c>
      <c r="K2139" s="2" t="s">
        <v>1542</v>
      </c>
      <c r="L2139" s="2" t="s">
        <v>28</v>
      </c>
      <c r="M2139" s="2" t="s">
        <v>5</v>
      </c>
      <c r="N2139" s="4">
        <v>9819.23</v>
      </c>
    </row>
    <row r="2140" spans="1:14" x14ac:dyDescent="0.25">
      <c r="A2140" s="2" t="s">
        <v>1543</v>
      </c>
      <c r="B2140" s="2" t="s">
        <v>1544</v>
      </c>
      <c r="C2140" s="3">
        <v>5</v>
      </c>
      <c r="D2140" s="4">
        <v>830.6</v>
      </c>
      <c r="E2140" s="4">
        <v>401.25</v>
      </c>
      <c r="F2140" s="4">
        <f t="shared" si="145"/>
        <v>429.35</v>
      </c>
      <c r="G2140" s="5">
        <f t="shared" si="146"/>
        <v>0.51691548278352994</v>
      </c>
      <c r="H2140" s="2" t="s">
        <v>1545</v>
      </c>
      <c r="I2140" s="6" t="s">
        <v>69</v>
      </c>
      <c r="J2140" s="2" t="s">
        <v>1546</v>
      </c>
      <c r="K2140" s="2" t="s">
        <v>1524</v>
      </c>
      <c r="L2140" s="2" t="s">
        <v>28</v>
      </c>
      <c r="M2140" s="2" t="s">
        <v>5</v>
      </c>
      <c r="N2140" s="4">
        <v>913.66</v>
      </c>
    </row>
    <row r="2141" spans="1:14" x14ac:dyDescent="0.25">
      <c r="A2141" s="2" t="s">
        <v>286</v>
      </c>
      <c r="B2141" s="2" t="s">
        <v>287</v>
      </c>
      <c r="C2141" s="3">
        <v>12.022</v>
      </c>
      <c r="D2141" s="4">
        <v>169.87085999999999</v>
      </c>
      <c r="E2141" s="4">
        <v>99.662379999999999</v>
      </c>
      <c r="F2141" s="4">
        <f t="shared" si="145"/>
        <v>70.208479999999994</v>
      </c>
      <c r="G2141" s="5">
        <f t="shared" si="146"/>
        <v>0.41330502476999292</v>
      </c>
      <c r="H2141" s="2" t="s">
        <v>1540</v>
      </c>
      <c r="I2141" s="6" t="s">
        <v>69</v>
      </c>
      <c r="J2141" s="2" t="s">
        <v>1541</v>
      </c>
      <c r="K2141" s="2" t="s">
        <v>1542</v>
      </c>
      <c r="L2141" s="2" t="s">
        <v>28</v>
      </c>
      <c r="M2141" s="2" t="s">
        <v>5</v>
      </c>
      <c r="N2141" s="4">
        <v>9819.23</v>
      </c>
    </row>
    <row r="2142" spans="1:14" x14ac:dyDescent="0.25">
      <c r="A2142" s="2" t="s">
        <v>290</v>
      </c>
      <c r="B2142" s="2" t="s">
        <v>291</v>
      </c>
      <c r="C2142" s="3">
        <v>32</v>
      </c>
      <c r="D2142" s="4">
        <v>740.16</v>
      </c>
      <c r="E2142" s="4">
        <v>520</v>
      </c>
      <c r="F2142" s="4">
        <f t="shared" si="145"/>
        <v>220.15999999999997</v>
      </c>
      <c r="G2142" s="5">
        <f t="shared" si="146"/>
        <v>0.29744920017293552</v>
      </c>
      <c r="H2142" s="2" t="s">
        <v>1540</v>
      </c>
      <c r="I2142" s="6" t="s">
        <v>69</v>
      </c>
      <c r="J2142" s="2" t="s">
        <v>1541</v>
      </c>
      <c r="K2142" s="2" t="s">
        <v>1542</v>
      </c>
      <c r="L2142" s="2" t="s">
        <v>28</v>
      </c>
      <c r="M2142" s="2" t="s">
        <v>5</v>
      </c>
      <c r="N2142" s="4">
        <v>9819.23</v>
      </c>
    </row>
    <row r="2143" spans="1:14" x14ac:dyDescent="0.25">
      <c r="A2143" s="2" t="s">
        <v>292</v>
      </c>
      <c r="B2143" s="2" t="s">
        <v>293</v>
      </c>
      <c r="C2143" s="3">
        <v>42.44</v>
      </c>
      <c r="D2143" s="4">
        <v>865.35159999999996</v>
      </c>
      <c r="E2143" s="4">
        <v>700.26</v>
      </c>
      <c r="F2143" s="4">
        <f t="shared" si="145"/>
        <v>165.09159999999997</v>
      </c>
      <c r="G2143" s="5">
        <f t="shared" si="146"/>
        <v>0.1907797940166748</v>
      </c>
      <c r="H2143" s="2" t="s">
        <v>1540</v>
      </c>
      <c r="I2143" s="6" t="s">
        <v>69</v>
      </c>
      <c r="J2143" s="2" t="s">
        <v>1541</v>
      </c>
      <c r="K2143" s="2" t="s">
        <v>1542</v>
      </c>
      <c r="L2143" s="2" t="s">
        <v>28</v>
      </c>
      <c r="M2143" s="2" t="s">
        <v>5</v>
      </c>
      <c r="N2143" s="4">
        <v>9819.23</v>
      </c>
    </row>
    <row r="2144" spans="1:14" x14ac:dyDescent="0.25">
      <c r="A2144" s="2" t="s">
        <v>296</v>
      </c>
      <c r="B2144" s="2" t="s">
        <v>297</v>
      </c>
      <c r="C2144" s="3">
        <v>45.33</v>
      </c>
      <c r="D2144" s="4">
        <v>525.37469999999996</v>
      </c>
      <c r="E2144" s="4">
        <v>330.90899999999999</v>
      </c>
      <c r="F2144" s="4">
        <f t="shared" si="145"/>
        <v>194.46569999999997</v>
      </c>
      <c r="G2144" s="5">
        <f t="shared" si="146"/>
        <v>0.37014667817083691</v>
      </c>
      <c r="H2144" s="2" t="s">
        <v>1540</v>
      </c>
      <c r="I2144" s="6" t="s">
        <v>69</v>
      </c>
      <c r="J2144" s="2" t="s">
        <v>1541</v>
      </c>
      <c r="K2144" s="2" t="s">
        <v>1542</v>
      </c>
      <c r="L2144" s="2" t="s">
        <v>28</v>
      </c>
      <c r="M2144" s="2" t="s">
        <v>5</v>
      </c>
      <c r="N2144" s="4">
        <v>9819.23</v>
      </c>
    </row>
    <row r="2145" spans="1:14" x14ac:dyDescent="0.25">
      <c r="A2145" s="2" t="s">
        <v>1319</v>
      </c>
      <c r="B2145" s="2" t="s">
        <v>1320</v>
      </c>
      <c r="C2145" s="3">
        <v>17.295000000000002</v>
      </c>
      <c r="D2145" s="4">
        <v>211.17195000000001</v>
      </c>
      <c r="E2145" s="4">
        <v>122.7945</v>
      </c>
      <c r="F2145" s="4">
        <f t="shared" si="145"/>
        <v>88.37745000000001</v>
      </c>
      <c r="G2145" s="5">
        <f t="shared" si="146"/>
        <v>0.41850941850941853</v>
      </c>
      <c r="H2145" s="2" t="s">
        <v>1540</v>
      </c>
      <c r="I2145" s="6" t="s">
        <v>69</v>
      </c>
      <c r="J2145" s="2" t="s">
        <v>1541</v>
      </c>
      <c r="K2145" s="2" t="s">
        <v>1542</v>
      </c>
      <c r="L2145" s="2" t="s">
        <v>28</v>
      </c>
      <c r="M2145" s="2" t="s">
        <v>5</v>
      </c>
      <c r="N2145" s="4">
        <v>9819.23</v>
      </c>
    </row>
    <row r="2146" spans="1:14" x14ac:dyDescent="0.25">
      <c r="A2146" s="2" t="s">
        <v>951</v>
      </c>
      <c r="B2146" s="2" t="s">
        <v>952</v>
      </c>
      <c r="C2146" s="3">
        <v>-45.08</v>
      </c>
      <c r="D2146" s="4">
        <v>-583.33519999999999</v>
      </c>
      <c r="E2146" s="4">
        <v>-338.1</v>
      </c>
      <c r="F2146" s="4">
        <f t="shared" si="145"/>
        <v>-245.23519999999996</v>
      </c>
      <c r="G2146" s="5">
        <f t="shared" si="146"/>
        <v>0.42040185471406488</v>
      </c>
      <c r="H2146" s="2" t="s">
        <v>1547</v>
      </c>
      <c r="I2146" s="6" t="s">
        <v>25</v>
      </c>
      <c r="J2146" s="2" t="s">
        <v>1548</v>
      </c>
      <c r="K2146" s="2" t="s">
        <v>1549</v>
      </c>
      <c r="L2146" s="2" t="s">
        <v>332</v>
      </c>
      <c r="M2146" s="2" t="s">
        <v>5</v>
      </c>
      <c r="N2146" s="4">
        <v>-583.34</v>
      </c>
    </row>
    <row r="2147" spans="1:14" x14ac:dyDescent="0.25">
      <c r="A2147" s="2" t="s">
        <v>856</v>
      </c>
      <c r="B2147" s="2" t="s">
        <v>857</v>
      </c>
      <c r="C2147" s="3">
        <v>9.625</v>
      </c>
      <c r="D2147" s="4">
        <v>98.078749999999999</v>
      </c>
      <c r="E2147" s="4">
        <v>68.337500000000006</v>
      </c>
      <c r="F2147" s="4">
        <f t="shared" si="145"/>
        <v>29.741249999999994</v>
      </c>
      <c r="G2147" s="5">
        <f t="shared" si="146"/>
        <v>0.30323846908734048</v>
      </c>
      <c r="H2147" s="2" t="s">
        <v>1540</v>
      </c>
      <c r="I2147" s="6" t="s">
        <v>69</v>
      </c>
      <c r="J2147" s="2" t="s">
        <v>1541</v>
      </c>
      <c r="K2147" s="2" t="s">
        <v>1542</v>
      </c>
      <c r="L2147" s="2" t="s">
        <v>28</v>
      </c>
      <c r="M2147" s="2" t="s">
        <v>5</v>
      </c>
      <c r="N2147" s="4">
        <v>9819.23</v>
      </c>
    </row>
    <row r="2148" spans="1:14" x14ac:dyDescent="0.25">
      <c r="A2148" s="2" t="s">
        <v>893</v>
      </c>
      <c r="B2148" s="2" t="s">
        <v>894</v>
      </c>
      <c r="C2148" s="3">
        <v>10.225</v>
      </c>
      <c r="D2148" s="4">
        <v>166.15625</v>
      </c>
      <c r="E2148" s="4">
        <v>89.46875</v>
      </c>
      <c r="F2148" s="4">
        <f t="shared" si="145"/>
        <v>76.6875</v>
      </c>
      <c r="G2148" s="5">
        <f t="shared" si="146"/>
        <v>0.46153846153846156</v>
      </c>
      <c r="H2148" s="2" t="s">
        <v>1540</v>
      </c>
      <c r="I2148" s="6" t="s">
        <v>69</v>
      </c>
      <c r="J2148" s="2" t="s">
        <v>1541</v>
      </c>
      <c r="K2148" s="2" t="s">
        <v>1542</v>
      </c>
      <c r="L2148" s="2" t="s">
        <v>28</v>
      </c>
      <c r="M2148" s="2" t="s">
        <v>5</v>
      </c>
      <c r="N2148" s="4">
        <v>9819.23</v>
      </c>
    </row>
    <row r="2149" spans="1:14" x14ac:dyDescent="0.25">
      <c r="A2149" s="2" t="s">
        <v>302</v>
      </c>
      <c r="B2149" s="2" t="s">
        <v>303</v>
      </c>
      <c r="C2149" s="3">
        <v>108.175</v>
      </c>
      <c r="D2149" s="4">
        <v>2200.2795000000001</v>
      </c>
      <c r="E2149" s="4">
        <v>1352.1875</v>
      </c>
      <c r="F2149" s="4">
        <f t="shared" si="145"/>
        <v>848.0920000000001</v>
      </c>
      <c r="G2149" s="5">
        <f t="shared" si="146"/>
        <v>0.38544739429695185</v>
      </c>
      <c r="H2149" s="2" t="s">
        <v>1540</v>
      </c>
      <c r="I2149" s="6" t="s">
        <v>69</v>
      </c>
      <c r="J2149" s="2" t="s">
        <v>1541</v>
      </c>
      <c r="K2149" s="2" t="s">
        <v>1542</v>
      </c>
      <c r="L2149" s="2" t="s">
        <v>28</v>
      </c>
      <c r="M2149" s="2" t="s">
        <v>5</v>
      </c>
      <c r="N2149" s="4">
        <v>9819.23</v>
      </c>
    </row>
    <row r="2150" spans="1:14" x14ac:dyDescent="0.25">
      <c r="A2150" s="2" t="s">
        <v>772</v>
      </c>
      <c r="B2150" s="2" t="s">
        <v>773</v>
      </c>
      <c r="C2150" s="3">
        <v>42.1</v>
      </c>
      <c r="D2150" s="4">
        <v>627.29</v>
      </c>
      <c r="E2150" s="4">
        <v>357.85</v>
      </c>
      <c r="F2150" s="4">
        <f t="shared" si="145"/>
        <v>269.43999999999994</v>
      </c>
      <c r="G2150" s="5">
        <f t="shared" si="146"/>
        <v>0.42953020134228181</v>
      </c>
      <c r="H2150" s="2" t="s">
        <v>1540</v>
      </c>
      <c r="I2150" s="6" t="s">
        <v>69</v>
      </c>
      <c r="J2150" s="2" t="s">
        <v>1541</v>
      </c>
      <c r="K2150" s="2" t="s">
        <v>1542</v>
      </c>
      <c r="L2150" s="2" t="s">
        <v>28</v>
      </c>
      <c r="M2150" s="2" t="s">
        <v>5</v>
      </c>
      <c r="N2150" s="4">
        <v>9819.23</v>
      </c>
    </row>
    <row r="2151" spans="1:14" x14ac:dyDescent="0.25">
      <c r="A2151" s="2" t="s">
        <v>306</v>
      </c>
      <c r="B2151" s="2" t="s">
        <v>307</v>
      </c>
      <c r="C2151" s="3">
        <v>15.52</v>
      </c>
      <c r="D2151" s="4">
        <v>179.8768</v>
      </c>
      <c r="E2151" s="4">
        <v>147.44</v>
      </c>
      <c r="F2151" s="4">
        <f t="shared" si="145"/>
        <v>32.436800000000005</v>
      </c>
      <c r="G2151" s="5">
        <f t="shared" si="146"/>
        <v>0.18032786885245905</v>
      </c>
      <c r="H2151" s="2" t="s">
        <v>1540</v>
      </c>
      <c r="I2151" s="6" t="s">
        <v>69</v>
      </c>
      <c r="J2151" s="2" t="s">
        <v>1541</v>
      </c>
      <c r="K2151" s="2" t="s">
        <v>1542</v>
      </c>
      <c r="L2151" s="2" t="s">
        <v>28</v>
      </c>
      <c r="M2151" s="2" t="s">
        <v>5</v>
      </c>
      <c r="N2151" s="4">
        <v>9819.23</v>
      </c>
    </row>
    <row r="2153" spans="1:14" x14ac:dyDescent="0.25">
      <c r="A2153" s="13" t="s">
        <v>59</v>
      </c>
      <c r="B2153" s="21"/>
      <c r="C2153" s="22">
        <f>SUM(C2132:C2152)</f>
        <v>547.41700000000003</v>
      </c>
      <c r="D2153" s="23">
        <f>SUM(D2132:D2152)</f>
        <v>10066.493659999998</v>
      </c>
      <c r="E2153" s="23">
        <f>SUM(E2132:E2152)</f>
        <v>6005.1616300000005</v>
      </c>
      <c r="F2153" s="23">
        <f>D2153-E2153</f>
        <v>4061.3320299999978</v>
      </c>
      <c r="G2153" s="24">
        <f>IF(((D2153)=0),0,(D2153-E2153)/ D2153)</f>
        <v>0.40345051287699302</v>
      </c>
      <c r="H2153" s="21"/>
      <c r="I2153" s="21"/>
      <c r="J2153" s="21"/>
      <c r="K2153" s="21"/>
      <c r="L2153" s="21"/>
      <c r="M2153" s="21"/>
      <c r="N2153" s="21"/>
    </row>
    <row r="2155" spans="1:14" s="17" customFormat="1" ht="18.75" x14ac:dyDescent="0.3"/>
    <row r="2156" spans="1:14" s="7" customFormat="1" x14ac:dyDescent="0.25">
      <c r="A2156" s="13" t="s">
        <v>1550</v>
      </c>
      <c r="B2156" s="18" t="s">
        <v>1551</v>
      </c>
      <c r="C2156" s="19"/>
      <c r="D2156" s="20" t="s">
        <v>5</v>
      </c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</row>
    <row r="2158" spans="1:14" x14ac:dyDescent="0.25">
      <c r="A2158" s="2" t="s">
        <v>146</v>
      </c>
      <c r="B2158" s="2" t="s">
        <v>147</v>
      </c>
      <c r="C2158" s="3">
        <v>67.5</v>
      </c>
      <c r="D2158" s="4">
        <v>948.375</v>
      </c>
      <c r="E2158" s="4">
        <v>762.75</v>
      </c>
      <c r="F2158" s="4">
        <f t="shared" ref="F2158:F2167" si="147">D2158-E2158</f>
        <v>185.625</v>
      </c>
      <c r="G2158" s="5">
        <f t="shared" ref="G2158:G2167" si="148">IF(((D2158)=0),0,(D2158-E2158)/ D2158)</f>
        <v>0.19572953736654805</v>
      </c>
      <c r="H2158" s="2" t="s">
        <v>1552</v>
      </c>
      <c r="I2158" s="6" t="s">
        <v>74</v>
      </c>
      <c r="J2158" s="2" t="s">
        <v>1553</v>
      </c>
      <c r="K2158" s="2" t="s">
        <v>5</v>
      </c>
      <c r="L2158" s="2" t="s">
        <v>28</v>
      </c>
      <c r="M2158" s="2" t="s">
        <v>5</v>
      </c>
      <c r="N2158" s="4">
        <v>1701.01</v>
      </c>
    </row>
    <row r="2159" spans="1:14" x14ac:dyDescent="0.25">
      <c r="A2159" s="2" t="s">
        <v>146</v>
      </c>
      <c r="B2159" s="2" t="s">
        <v>147</v>
      </c>
      <c r="C2159" s="3">
        <v>72.42</v>
      </c>
      <c r="D2159" s="4">
        <v>1017.501</v>
      </c>
      <c r="E2159" s="4">
        <v>818.346</v>
      </c>
      <c r="F2159" s="4">
        <f t="shared" si="147"/>
        <v>199.15499999999997</v>
      </c>
      <c r="G2159" s="5">
        <f t="shared" si="148"/>
        <v>0.19572953736654802</v>
      </c>
      <c r="H2159" s="2" t="s">
        <v>1554</v>
      </c>
      <c r="I2159" s="6" t="s">
        <v>39</v>
      </c>
      <c r="J2159" s="2" t="s">
        <v>1555</v>
      </c>
      <c r="K2159" s="2" t="s">
        <v>5</v>
      </c>
      <c r="L2159" s="2" t="s">
        <v>28</v>
      </c>
      <c r="M2159" s="2" t="s">
        <v>5</v>
      </c>
      <c r="N2159" s="4">
        <v>1556.37</v>
      </c>
    </row>
    <row r="2160" spans="1:14" x14ac:dyDescent="0.25">
      <c r="A2160" s="2" t="s">
        <v>146</v>
      </c>
      <c r="B2160" s="2" t="s">
        <v>147</v>
      </c>
      <c r="C2160" s="3">
        <v>22.05</v>
      </c>
      <c r="D2160" s="4">
        <v>309.80250000000001</v>
      </c>
      <c r="E2160" s="4">
        <v>249.16499999999999</v>
      </c>
      <c r="F2160" s="4">
        <f t="shared" si="147"/>
        <v>60.637500000000017</v>
      </c>
      <c r="G2160" s="5">
        <f t="shared" si="148"/>
        <v>0.19572953736654808</v>
      </c>
      <c r="H2160" s="2" t="s">
        <v>1556</v>
      </c>
      <c r="I2160" s="6" t="s">
        <v>32</v>
      </c>
      <c r="J2160" s="2" t="s">
        <v>1557</v>
      </c>
      <c r="K2160" s="2" t="s">
        <v>5</v>
      </c>
      <c r="L2160" s="2" t="s">
        <v>28</v>
      </c>
      <c r="M2160" s="2" t="s">
        <v>5</v>
      </c>
      <c r="N2160" s="4">
        <v>931.75</v>
      </c>
    </row>
    <row r="2161" spans="1:14" x14ac:dyDescent="0.25">
      <c r="A2161" s="2" t="s">
        <v>51</v>
      </c>
      <c r="B2161" s="2" t="s">
        <v>52</v>
      </c>
      <c r="C2161" s="3">
        <v>21.9</v>
      </c>
      <c r="D2161" s="4">
        <v>391.791</v>
      </c>
      <c r="E2161" s="4">
        <v>361.35</v>
      </c>
      <c r="F2161" s="4">
        <f t="shared" si="147"/>
        <v>30.440999999999974</v>
      </c>
      <c r="G2161" s="5">
        <f t="shared" si="148"/>
        <v>7.7697037451089926E-2</v>
      </c>
      <c r="H2161" s="2" t="s">
        <v>1552</v>
      </c>
      <c r="I2161" s="6" t="s">
        <v>74</v>
      </c>
      <c r="J2161" s="2" t="s">
        <v>1553</v>
      </c>
      <c r="K2161" s="2" t="s">
        <v>5</v>
      </c>
      <c r="L2161" s="2" t="s">
        <v>28</v>
      </c>
      <c r="M2161" s="2" t="s">
        <v>5</v>
      </c>
      <c r="N2161" s="4">
        <v>1701.01</v>
      </c>
    </row>
    <row r="2162" spans="1:14" x14ac:dyDescent="0.25">
      <c r="A2162" s="2" t="s">
        <v>51</v>
      </c>
      <c r="B2162" s="2" t="s">
        <v>52</v>
      </c>
      <c r="C2162" s="3">
        <v>26.39</v>
      </c>
      <c r="D2162" s="4">
        <v>472.11709999999999</v>
      </c>
      <c r="E2162" s="4">
        <v>435.435</v>
      </c>
      <c r="F2162" s="4">
        <f t="shared" si="147"/>
        <v>36.682099999999991</v>
      </c>
      <c r="G2162" s="5">
        <f t="shared" si="148"/>
        <v>7.7697037451089981E-2</v>
      </c>
      <c r="H2162" s="2" t="s">
        <v>1556</v>
      </c>
      <c r="I2162" s="6" t="s">
        <v>32</v>
      </c>
      <c r="J2162" s="2" t="s">
        <v>1557</v>
      </c>
      <c r="K2162" s="2" t="s">
        <v>5</v>
      </c>
      <c r="L2162" s="2" t="s">
        <v>28</v>
      </c>
      <c r="M2162" s="2" t="s">
        <v>5</v>
      </c>
      <c r="N2162" s="4">
        <v>931.75</v>
      </c>
    </row>
    <row r="2163" spans="1:14" x14ac:dyDescent="0.25">
      <c r="A2163" s="2" t="s">
        <v>51</v>
      </c>
      <c r="B2163" s="2" t="s">
        <v>52</v>
      </c>
      <c r="C2163" s="3">
        <v>22</v>
      </c>
      <c r="D2163" s="4">
        <v>393.58</v>
      </c>
      <c r="E2163" s="4">
        <v>363</v>
      </c>
      <c r="F2163" s="4">
        <f t="shared" si="147"/>
        <v>30.579999999999984</v>
      </c>
      <c r="G2163" s="5">
        <f t="shared" si="148"/>
        <v>7.7697037451089954E-2</v>
      </c>
      <c r="H2163" s="2" t="s">
        <v>1554</v>
      </c>
      <c r="I2163" s="6" t="s">
        <v>39</v>
      </c>
      <c r="J2163" s="2" t="s">
        <v>1555</v>
      </c>
      <c r="K2163" s="2" t="s">
        <v>5</v>
      </c>
      <c r="L2163" s="2" t="s">
        <v>28</v>
      </c>
      <c r="M2163" s="2" t="s">
        <v>5</v>
      </c>
      <c r="N2163" s="4">
        <v>1556.37</v>
      </c>
    </row>
    <row r="2164" spans="1:14" x14ac:dyDescent="0.25">
      <c r="A2164" s="2" t="s">
        <v>53</v>
      </c>
      <c r="B2164" s="2" t="s">
        <v>54</v>
      </c>
      <c r="C2164" s="3">
        <v>14.69</v>
      </c>
      <c r="D2164" s="4">
        <v>145.2841</v>
      </c>
      <c r="E2164" s="4">
        <v>107.23699999999999</v>
      </c>
      <c r="F2164" s="4">
        <f t="shared" si="147"/>
        <v>38.0471</v>
      </c>
      <c r="G2164" s="5">
        <f t="shared" si="148"/>
        <v>0.26188068756319516</v>
      </c>
      <c r="H2164" s="2" t="s">
        <v>1554</v>
      </c>
      <c r="I2164" s="6" t="s">
        <v>39</v>
      </c>
      <c r="J2164" s="2" t="s">
        <v>1555</v>
      </c>
      <c r="K2164" s="2" t="s">
        <v>5</v>
      </c>
      <c r="L2164" s="2" t="s">
        <v>28</v>
      </c>
      <c r="M2164" s="2" t="s">
        <v>5</v>
      </c>
      <c r="N2164" s="4">
        <v>1556.37</v>
      </c>
    </row>
    <row r="2165" spans="1:14" x14ac:dyDescent="0.25">
      <c r="A2165" s="2" t="s">
        <v>53</v>
      </c>
      <c r="B2165" s="2" t="s">
        <v>54</v>
      </c>
      <c r="C2165" s="3">
        <v>28.92</v>
      </c>
      <c r="D2165" s="4">
        <v>286.0188</v>
      </c>
      <c r="E2165" s="4">
        <v>211.11600000000001</v>
      </c>
      <c r="F2165" s="4">
        <f t="shared" si="147"/>
        <v>74.902799999999985</v>
      </c>
      <c r="G2165" s="5">
        <f t="shared" si="148"/>
        <v>0.2618806875631951</v>
      </c>
      <c r="H2165" s="2" t="s">
        <v>1552</v>
      </c>
      <c r="I2165" s="6" t="s">
        <v>74</v>
      </c>
      <c r="J2165" s="2" t="s">
        <v>1553</v>
      </c>
      <c r="K2165" s="2" t="s">
        <v>5</v>
      </c>
      <c r="L2165" s="2" t="s">
        <v>28</v>
      </c>
      <c r="M2165" s="2" t="s">
        <v>5</v>
      </c>
      <c r="N2165" s="4">
        <v>1701.01</v>
      </c>
    </row>
    <row r="2166" spans="1:14" x14ac:dyDescent="0.25">
      <c r="A2166" s="2" t="s">
        <v>53</v>
      </c>
      <c r="B2166" s="2" t="s">
        <v>54</v>
      </c>
      <c r="C2166" s="3">
        <v>15.15</v>
      </c>
      <c r="D2166" s="4">
        <v>149.83349999999999</v>
      </c>
      <c r="E2166" s="4">
        <v>110.595</v>
      </c>
      <c r="F2166" s="4">
        <f t="shared" si="147"/>
        <v>39.238499999999988</v>
      </c>
      <c r="G2166" s="5">
        <f t="shared" si="148"/>
        <v>0.2618806875631951</v>
      </c>
      <c r="H2166" s="2" t="s">
        <v>1556</v>
      </c>
      <c r="I2166" s="6" t="s">
        <v>32</v>
      </c>
      <c r="J2166" s="2" t="s">
        <v>1557</v>
      </c>
      <c r="K2166" s="2" t="s">
        <v>5</v>
      </c>
      <c r="L2166" s="2" t="s">
        <v>28</v>
      </c>
      <c r="M2166" s="2" t="s">
        <v>5</v>
      </c>
      <c r="N2166" s="4">
        <v>931.75</v>
      </c>
    </row>
    <row r="2167" spans="1:14" x14ac:dyDescent="0.25">
      <c r="A2167" s="2" t="s">
        <v>336</v>
      </c>
      <c r="B2167" s="2" t="s">
        <v>337</v>
      </c>
      <c r="C2167" s="3">
        <v>7.62</v>
      </c>
      <c r="D2167" s="4">
        <v>74.828400000000002</v>
      </c>
      <c r="E2167" s="4">
        <v>49.53</v>
      </c>
      <c r="F2167" s="4">
        <f t="shared" si="147"/>
        <v>25.298400000000001</v>
      </c>
      <c r="G2167" s="5">
        <f t="shared" si="148"/>
        <v>0.3380855397148676</v>
      </c>
      <c r="H2167" s="2" t="s">
        <v>1552</v>
      </c>
      <c r="I2167" s="6" t="s">
        <v>74</v>
      </c>
      <c r="J2167" s="2" t="s">
        <v>1553</v>
      </c>
      <c r="K2167" s="2" t="s">
        <v>5</v>
      </c>
      <c r="L2167" s="2" t="s">
        <v>28</v>
      </c>
      <c r="M2167" s="2" t="s">
        <v>5</v>
      </c>
      <c r="N2167" s="4">
        <v>1701.01</v>
      </c>
    </row>
    <row r="2169" spans="1:14" x14ac:dyDescent="0.25">
      <c r="A2169" s="13" t="s">
        <v>59</v>
      </c>
      <c r="B2169" s="21"/>
      <c r="C2169" s="22">
        <f>SUM(C2155:C2168)</f>
        <v>298.64000000000004</v>
      </c>
      <c r="D2169" s="23">
        <f>SUM(D2155:D2168)</f>
        <v>4189.1314000000002</v>
      </c>
      <c r="E2169" s="23">
        <f>SUM(E2155:E2168)</f>
        <v>3468.5239999999999</v>
      </c>
      <c r="F2169" s="23">
        <f>D2169-E2169</f>
        <v>720.60740000000033</v>
      </c>
      <c r="G2169" s="24">
        <f>IF(((D2169)=0),0,(D2169-E2169)/ D2169)</f>
        <v>0.17201833296515842</v>
      </c>
      <c r="H2169" s="21"/>
      <c r="I2169" s="21"/>
      <c r="J2169" s="21"/>
      <c r="K2169" s="21"/>
      <c r="L2169" s="21"/>
      <c r="M2169" s="21"/>
      <c r="N2169" s="21"/>
    </row>
    <row r="2171" spans="1:14" s="17" customFormat="1" ht="18.75" x14ac:dyDescent="0.3"/>
    <row r="2172" spans="1:14" s="7" customFormat="1" x14ac:dyDescent="0.25">
      <c r="A2172" s="13" t="s">
        <v>1558</v>
      </c>
      <c r="B2172" s="18" t="s">
        <v>1559</v>
      </c>
      <c r="C2172" s="19"/>
      <c r="D2172" s="20" t="s">
        <v>5</v>
      </c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</row>
    <row r="2174" spans="1:14" x14ac:dyDescent="0.25">
      <c r="A2174" s="2" t="s">
        <v>1560</v>
      </c>
      <c r="B2174" s="2" t="s">
        <v>1561</v>
      </c>
      <c r="C2174" s="3">
        <v>8.25</v>
      </c>
      <c r="D2174" s="4">
        <v>198.82499999999999</v>
      </c>
      <c r="E2174" s="4">
        <v>103.125</v>
      </c>
      <c r="F2174" s="4">
        <f>D2174-E2174</f>
        <v>95.699999999999989</v>
      </c>
      <c r="G2174" s="5">
        <f>IF(((D2174)=0),0,(D2174-E2174)/ D2174)</f>
        <v>0.48132780082987547</v>
      </c>
      <c r="H2174" s="2" t="s">
        <v>1562</v>
      </c>
      <c r="I2174" s="6" t="s">
        <v>32</v>
      </c>
      <c r="J2174" s="2" t="s">
        <v>1563</v>
      </c>
      <c r="K2174" s="2" t="s">
        <v>5</v>
      </c>
      <c r="L2174" s="2" t="s">
        <v>28</v>
      </c>
      <c r="M2174" s="2" t="s">
        <v>5</v>
      </c>
      <c r="N2174" s="4">
        <v>0</v>
      </c>
    </row>
    <row r="2176" spans="1:14" x14ac:dyDescent="0.25">
      <c r="A2176" s="13" t="s">
        <v>59</v>
      </c>
      <c r="B2176" s="21"/>
      <c r="C2176" s="22">
        <f>SUM(C2171:C2175)</f>
        <v>8.25</v>
      </c>
      <c r="D2176" s="23">
        <f>SUM(D2171:D2175)</f>
        <v>198.82499999999999</v>
      </c>
      <c r="E2176" s="23">
        <f>SUM(E2171:E2175)</f>
        <v>103.125</v>
      </c>
      <c r="F2176" s="23">
        <f>D2176-E2176</f>
        <v>95.699999999999989</v>
      </c>
      <c r="G2176" s="24">
        <f>IF(((D2176)=0),0,(D2176-E2176)/ D2176)</f>
        <v>0.48132780082987547</v>
      </c>
      <c r="H2176" s="21"/>
      <c r="I2176" s="21"/>
      <c r="J2176" s="21"/>
      <c r="K2176" s="21"/>
      <c r="L2176" s="21"/>
      <c r="M2176" s="21"/>
      <c r="N2176" s="21"/>
    </row>
    <row r="2178" spans="1:14" s="17" customFormat="1" ht="18.75" x14ac:dyDescent="0.3"/>
    <row r="2179" spans="1:14" s="7" customFormat="1" x14ac:dyDescent="0.25">
      <c r="A2179" s="13" t="s">
        <v>1564</v>
      </c>
      <c r="B2179" s="18" t="s">
        <v>1565</v>
      </c>
      <c r="C2179" s="19"/>
      <c r="D2179" s="20" t="s">
        <v>5</v>
      </c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</row>
    <row r="2181" spans="1:14" x14ac:dyDescent="0.25">
      <c r="A2181" s="2" t="s">
        <v>29</v>
      </c>
      <c r="B2181" s="2" t="s">
        <v>30</v>
      </c>
      <c r="C2181" s="3">
        <v>15.7</v>
      </c>
      <c r="D2181" s="4">
        <v>202.53</v>
      </c>
      <c r="E2181" s="4">
        <v>157</v>
      </c>
      <c r="F2181" s="4">
        <f t="shared" ref="F2181:F2191" si="149">D2181-E2181</f>
        <v>45.53</v>
      </c>
      <c r="G2181" s="5">
        <f t="shared" ref="G2181:G2191" si="150">IF(((D2181)=0),0,(D2181-E2181)/ D2181)</f>
        <v>0.22480620155038761</v>
      </c>
      <c r="H2181" s="2" t="s">
        <v>1566</v>
      </c>
      <c r="I2181" s="6" t="s">
        <v>32</v>
      </c>
      <c r="J2181" s="2" t="s">
        <v>1567</v>
      </c>
      <c r="K2181" s="2" t="s">
        <v>5</v>
      </c>
      <c r="L2181" s="2" t="s">
        <v>28</v>
      </c>
      <c r="M2181" s="2" t="s">
        <v>5</v>
      </c>
      <c r="N2181" s="4">
        <v>2384.38</v>
      </c>
    </row>
    <row r="2182" spans="1:14" x14ac:dyDescent="0.25">
      <c r="A2182" s="2" t="s">
        <v>146</v>
      </c>
      <c r="B2182" s="2" t="s">
        <v>147</v>
      </c>
      <c r="C2182" s="3">
        <v>23.75</v>
      </c>
      <c r="D2182" s="4">
        <v>331.78750000000002</v>
      </c>
      <c r="E2182" s="4">
        <v>268.375</v>
      </c>
      <c r="F2182" s="4">
        <f t="shared" si="149"/>
        <v>63.412500000000023</v>
      </c>
      <c r="G2182" s="5">
        <f t="shared" si="150"/>
        <v>0.19112383679312819</v>
      </c>
      <c r="H2182" s="2" t="s">
        <v>1566</v>
      </c>
      <c r="I2182" s="6" t="s">
        <v>32</v>
      </c>
      <c r="J2182" s="2" t="s">
        <v>1567</v>
      </c>
      <c r="K2182" s="2" t="s">
        <v>5</v>
      </c>
      <c r="L2182" s="2" t="s">
        <v>28</v>
      </c>
      <c r="M2182" s="2" t="s">
        <v>5</v>
      </c>
      <c r="N2182" s="4">
        <v>2384.38</v>
      </c>
    </row>
    <row r="2183" spans="1:14" x14ac:dyDescent="0.25">
      <c r="A2183" s="2" t="s">
        <v>118</v>
      </c>
      <c r="B2183" s="2" t="s">
        <v>119</v>
      </c>
      <c r="C2183" s="3">
        <v>36</v>
      </c>
      <c r="D2183" s="4">
        <v>578.88</v>
      </c>
      <c r="E2183" s="4">
        <v>270</v>
      </c>
      <c r="F2183" s="4">
        <f t="shared" si="149"/>
        <v>308.88</v>
      </c>
      <c r="G2183" s="5">
        <f t="shared" si="150"/>
        <v>0.53358208955223885</v>
      </c>
      <c r="H2183" s="2" t="s">
        <v>1566</v>
      </c>
      <c r="I2183" s="6" t="s">
        <v>32</v>
      </c>
      <c r="J2183" s="2" t="s">
        <v>1567</v>
      </c>
      <c r="K2183" s="2" t="s">
        <v>5</v>
      </c>
      <c r="L2183" s="2" t="s">
        <v>28</v>
      </c>
      <c r="M2183" s="2" t="s">
        <v>5</v>
      </c>
      <c r="N2183" s="4">
        <v>2384.38</v>
      </c>
    </row>
    <row r="2184" spans="1:14" x14ac:dyDescent="0.25">
      <c r="A2184" s="2" t="s">
        <v>43</v>
      </c>
      <c r="B2184" s="2" t="s">
        <v>44</v>
      </c>
      <c r="C2184" s="3">
        <v>8.3149999999999995</v>
      </c>
      <c r="D2184" s="4">
        <v>80.655500000000004</v>
      </c>
      <c r="E2184" s="4">
        <v>44.901000000000003</v>
      </c>
      <c r="F2184" s="4">
        <f t="shared" si="149"/>
        <v>35.7545</v>
      </c>
      <c r="G2184" s="5">
        <f t="shared" si="150"/>
        <v>0.44329896907216493</v>
      </c>
      <c r="H2184" s="2" t="s">
        <v>1566</v>
      </c>
      <c r="I2184" s="6" t="s">
        <v>32</v>
      </c>
      <c r="J2184" s="2" t="s">
        <v>1567</v>
      </c>
      <c r="K2184" s="2" t="s">
        <v>5</v>
      </c>
      <c r="L2184" s="2" t="s">
        <v>28</v>
      </c>
      <c r="M2184" s="2" t="s">
        <v>5</v>
      </c>
      <c r="N2184" s="4">
        <v>2384.38</v>
      </c>
    </row>
    <row r="2185" spans="1:14" x14ac:dyDescent="0.25">
      <c r="A2185" s="2" t="s">
        <v>613</v>
      </c>
      <c r="B2185" s="2" t="s">
        <v>614</v>
      </c>
      <c r="C2185" s="3">
        <v>13.13</v>
      </c>
      <c r="D2185" s="4">
        <v>72.083699999999993</v>
      </c>
      <c r="E2185" s="4">
        <v>47.268000000000001</v>
      </c>
      <c r="F2185" s="4">
        <f t="shared" si="149"/>
        <v>24.815699999999993</v>
      </c>
      <c r="G2185" s="5">
        <f t="shared" si="150"/>
        <v>0.34426229508196715</v>
      </c>
      <c r="H2185" s="2" t="s">
        <v>1566</v>
      </c>
      <c r="I2185" s="6" t="s">
        <v>32</v>
      </c>
      <c r="J2185" s="2" t="s">
        <v>1567</v>
      </c>
      <c r="K2185" s="2" t="s">
        <v>5</v>
      </c>
      <c r="L2185" s="2" t="s">
        <v>28</v>
      </c>
      <c r="M2185" s="2" t="s">
        <v>5</v>
      </c>
      <c r="N2185" s="4">
        <v>2384.38</v>
      </c>
    </row>
    <row r="2186" spans="1:14" x14ac:dyDescent="0.25">
      <c r="A2186" s="2" t="s">
        <v>215</v>
      </c>
      <c r="B2186" s="2" t="s">
        <v>216</v>
      </c>
      <c r="C2186" s="3">
        <v>15.56</v>
      </c>
      <c r="D2186" s="4">
        <v>286.77080000000001</v>
      </c>
      <c r="E2186" s="4">
        <v>237.29</v>
      </c>
      <c r="F2186" s="4">
        <f t="shared" si="149"/>
        <v>49.480800000000016</v>
      </c>
      <c r="G2186" s="5">
        <f t="shared" si="150"/>
        <v>0.1725447639717852</v>
      </c>
      <c r="H2186" s="2" t="s">
        <v>1566</v>
      </c>
      <c r="I2186" s="6" t="s">
        <v>32</v>
      </c>
      <c r="J2186" s="2" t="s">
        <v>1567</v>
      </c>
      <c r="K2186" s="2" t="s">
        <v>5</v>
      </c>
      <c r="L2186" s="2" t="s">
        <v>28</v>
      </c>
      <c r="M2186" s="2" t="s">
        <v>5</v>
      </c>
      <c r="N2186" s="4">
        <v>2384.38</v>
      </c>
    </row>
    <row r="2187" spans="1:14" x14ac:dyDescent="0.25">
      <c r="A2187" s="2" t="s">
        <v>217</v>
      </c>
      <c r="B2187" s="2" t="s">
        <v>218</v>
      </c>
      <c r="C2187" s="3">
        <v>14.17</v>
      </c>
      <c r="D2187" s="4">
        <v>191.1533</v>
      </c>
      <c r="E2187" s="4">
        <v>154.453</v>
      </c>
      <c r="F2187" s="4">
        <f t="shared" si="149"/>
        <v>36.700299999999999</v>
      </c>
      <c r="G2187" s="5">
        <f t="shared" si="150"/>
        <v>0.19199406968124536</v>
      </c>
      <c r="H2187" s="2" t="s">
        <v>1566</v>
      </c>
      <c r="I2187" s="6" t="s">
        <v>32</v>
      </c>
      <c r="J2187" s="2" t="s">
        <v>1567</v>
      </c>
      <c r="K2187" s="2" t="s">
        <v>5</v>
      </c>
      <c r="L2187" s="2" t="s">
        <v>28</v>
      </c>
      <c r="M2187" s="2" t="s">
        <v>5</v>
      </c>
      <c r="N2187" s="4">
        <v>2384.38</v>
      </c>
    </row>
    <row r="2188" spans="1:14" x14ac:dyDescent="0.25">
      <c r="A2188" s="2" t="s">
        <v>134</v>
      </c>
      <c r="B2188" s="2" t="s">
        <v>135</v>
      </c>
      <c r="C2188" s="3">
        <v>15.06</v>
      </c>
      <c r="D2188" s="4">
        <v>154.36500000000001</v>
      </c>
      <c r="E2188" s="4">
        <v>106.926</v>
      </c>
      <c r="F2188" s="4">
        <f t="shared" si="149"/>
        <v>47.439000000000007</v>
      </c>
      <c r="G2188" s="5">
        <f t="shared" si="150"/>
        <v>0.30731707317073176</v>
      </c>
      <c r="H2188" s="2" t="s">
        <v>1566</v>
      </c>
      <c r="I2188" s="6" t="s">
        <v>32</v>
      </c>
      <c r="J2188" s="2" t="s">
        <v>1567</v>
      </c>
      <c r="K2188" s="2" t="s">
        <v>5</v>
      </c>
      <c r="L2188" s="2" t="s">
        <v>28</v>
      </c>
      <c r="M2188" s="2" t="s">
        <v>5</v>
      </c>
      <c r="N2188" s="4">
        <v>2384.38</v>
      </c>
    </row>
    <row r="2189" spans="1:14" x14ac:dyDescent="0.25">
      <c r="A2189" s="2" t="s">
        <v>1202</v>
      </c>
      <c r="B2189" s="2" t="s">
        <v>1203</v>
      </c>
      <c r="C2189" s="3">
        <v>15.26</v>
      </c>
      <c r="D2189" s="4">
        <v>131.5412</v>
      </c>
      <c r="E2189" s="4">
        <v>83.93</v>
      </c>
      <c r="F2189" s="4">
        <f t="shared" si="149"/>
        <v>47.611199999999997</v>
      </c>
      <c r="G2189" s="5">
        <f t="shared" si="150"/>
        <v>0.3619489559164733</v>
      </c>
      <c r="H2189" s="2" t="s">
        <v>1566</v>
      </c>
      <c r="I2189" s="6" t="s">
        <v>32</v>
      </c>
      <c r="J2189" s="2" t="s">
        <v>1567</v>
      </c>
      <c r="K2189" s="2" t="s">
        <v>5</v>
      </c>
      <c r="L2189" s="2" t="s">
        <v>28</v>
      </c>
      <c r="M2189" s="2" t="s">
        <v>5</v>
      </c>
      <c r="N2189" s="4">
        <v>2384.38</v>
      </c>
    </row>
    <row r="2190" spans="1:14" x14ac:dyDescent="0.25">
      <c r="A2190" s="2" t="s">
        <v>715</v>
      </c>
      <c r="B2190" s="2" t="s">
        <v>716</v>
      </c>
      <c r="C2190" s="3">
        <v>15.23</v>
      </c>
      <c r="D2190" s="4">
        <v>215.6568</v>
      </c>
      <c r="E2190" s="4">
        <v>124.886</v>
      </c>
      <c r="F2190" s="4">
        <f t="shared" si="149"/>
        <v>90.770800000000008</v>
      </c>
      <c r="G2190" s="5">
        <f t="shared" si="150"/>
        <v>0.42090395480225989</v>
      </c>
      <c r="H2190" s="2" t="s">
        <v>1566</v>
      </c>
      <c r="I2190" s="6" t="s">
        <v>32</v>
      </c>
      <c r="J2190" s="2" t="s">
        <v>1567</v>
      </c>
      <c r="K2190" s="2" t="s">
        <v>5</v>
      </c>
      <c r="L2190" s="2" t="s">
        <v>28</v>
      </c>
      <c r="M2190" s="2" t="s">
        <v>5</v>
      </c>
      <c r="N2190" s="4">
        <v>2384.38</v>
      </c>
    </row>
    <row r="2191" spans="1:14" x14ac:dyDescent="0.25">
      <c r="A2191" s="2" t="s">
        <v>593</v>
      </c>
      <c r="B2191" s="2" t="s">
        <v>594</v>
      </c>
      <c r="C2191" s="3">
        <v>14.385</v>
      </c>
      <c r="D2191" s="4">
        <v>138.95910000000001</v>
      </c>
      <c r="E2191" s="4">
        <v>83.433000000000007</v>
      </c>
      <c r="F2191" s="4">
        <f t="shared" si="149"/>
        <v>55.5261</v>
      </c>
      <c r="G2191" s="5">
        <f t="shared" si="150"/>
        <v>0.39958592132505172</v>
      </c>
      <c r="H2191" s="2" t="s">
        <v>1566</v>
      </c>
      <c r="I2191" s="6" t="s">
        <v>32</v>
      </c>
      <c r="J2191" s="2" t="s">
        <v>1567</v>
      </c>
      <c r="K2191" s="2" t="s">
        <v>5</v>
      </c>
      <c r="L2191" s="2" t="s">
        <v>28</v>
      </c>
      <c r="M2191" s="2" t="s">
        <v>5</v>
      </c>
      <c r="N2191" s="4">
        <v>2384.38</v>
      </c>
    </row>
    <row r="2193" spans="1:14" x14ac:dyDescent="0.25">
      <c r="A2193" s="13" t="s">
        <v>59</v>
      </c>
      <c r="B2193" s="21"/>
      <c r="C2193" s="22">
        <f>SUM(C2178:C2192)</f>
        <v>186.55999999999997</v>
      </c>
      <c r="D2193" s="23">
        <f>SUM(D2178:D2192)</f>
        <v>2384.3829000000001</v>
      </c>
      <c r="E2193" s="23">
        <f>SUM(E2178:E2192)</f>
        <v>1578.462</v>
      </c>
      <c r="F2193" s="23">
        <f>D2193-E2193</f>
        <v>805.92090000000007</v>
      </c>
      <c r="G2193" s="24">
        <f>IF(((D2193)=0),0,(D2193-E2193)/ D2193)</f>
        <v>0.33799978183034279</v>
      </c>
      <c r="H2193" s="21"/>
      <c r="I2193" s="21"/>
      <c r="J2193" s="21"/>
      <c r="K2193" s="21"/>
      <c r="L2193" s="21"/>
      <c r="M2193" s="21"/>
      <c r="N2193" s="21"/>
    </row>
    <row r="2195" spans="1:14" s="17" customFormat="1" ht="18.75" x14ac:dyDescent="0.3"/>
    <row r="2196" spans="1:14" s="7" customFormat="1" x14ac:dyDescent="0.25">
      <c r="A2196" s="13" t="s">
        <v>1568</v>
      </c>
      <c r="B2196" s="18" t="s">
        <v>1569</v>
      </c>
      <c r="C2196" s="19"/>
      <c r="D2196" s="20" t="s">
        <v>5</v>
      </c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</row>
    <row r="2198" spans="1:14" x14ac:dyDescent="0.25">
      <c r="A2198" s="2" t="s">
        <v>972</v>
      </c>
      <c r="B2198" s="2" t="s">
        <v>973</v>
      </c>
      <c r="C2198" s="3">
        <v>2.2160000000000002</v>
      </c>
      <c r="D2198" s="4">
        <v>71.754080000000002</v>
      </c>
      <c r="E2198" s="4">
        <v>48.198</v>
      </c>
      <c r="F2198" s="4">
        <f>D2198-E2198</f>
        <v>23.556080000000001</v>
      </c>
      <c r="G2198" s="5">
        <f>IF(((D2198)=0),0,(D2198-E2198)/ D2198)</f>
        <v>0.32828906732550961</v>
      </c>
      <c r="H2198" s="2" t="s">
        <v>1570</v>
      </c>
      <c r="I2198" s="6" t="s">
        <v>69</v>
      </c>
      <c r="J2198" s="2" t="s">
        <v>1571</v>
      </c>
      <c r="K2198" s="2" t="s">
        <v>5</v>
      </c>
      <c r="L2198" s="2" t="s">
        <v>28</v>
      </c>
      <c r="M2198" s="2" t="s">
        <v>5</v>
      </c>
      <c r="N2198" s="4">
        <v>71.75</v>
      </c>
    </row>
    <row r="2200" spans="1:14" x14ac:dyDescent="0.25">
      <c r="A2200" s="13" t="s">
        <v>59</v>
      </c>
      <c r="B2200" s="21"/>
      <c r="C2200" s="22">
        <f>SUM(C2195:C2199)</f>
        <v>2.2160000000000002</v>
      </c>
      <c r="D2200" s="23">
        <f>SUM(D2195:D2199)</f>
        <v>71.754080000000002</v>
      </c>
      <c r="E2200" s="23">
        <f>SUM(E2195:E2199)</f>
        <v>48.198</v>
      </c>
      <c r="F2200" s="23">
        <f>D2200-E2200</f>
        <v>23.556080000000001</v>
      </c>
      <c r="G2200" s="24">
        <f>IF(((D2200)=0),0,(D2200-E2200)/ D2200)</f>
        <v>0.32828906732550961</v>
      </c>
      <c r="H2200" s="21"/>
      <c r="I2200" s="21"/>
      <c r="J2200" s="21"/>
      <c r="K2200" s="21"/>
      <c r="L2200" s="21"/>
      <c r="M2200" s="21"/>
      <c r="N2200" s="21"/>
    </row>
    <row r="2202" spans="1:14" s="17" customFormat="1" ht="18.75" x14ac:dyDescent="0.3"/>
    <row r="2203" spans="1:14" s="7" customFormat="1" x14ac:dyDescent="0.25">
      <c r="A2203" s="13" t="s">
        <v>1572</v>
      </c>
      <c r="B2203" s="18" t="s">
        <v>1573</v>
      </c>
      <c r="C2203" s="19"/>
      <c r="D2203" s="20" t="s">
        <v>5</v>
      </c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</row>
    <row r="2205" spans="1:14" x14ac:dyDescent="0.25">
      <c r="A2205" s="2" t="s">
        <v>1574</v>
      </c>
      <c r="B2205" s="2" t="s">
        <v>1575</v>
      </c>
      <c r="C2205" s="3">
        <v>18.260000000000002</v>
      </c>
      <c r="D2205" s="4">
        <v>298.73360000000002</v>
      </c>
      <c r="E2205" s="4">
        <v>215.46799999999999</v>
      </c>
      <c r="F2205" s="4">
        <f>D2205-E2205</f>
        <v>83.265600000000035</v>
      </c>
      <c r="G2205" s="5">
        <f>IF(((D2205)=0),0,(D2205-E2205)/ D2205)</f>
        <v>0.27872860635696833</v>
      </c>
      <c r="H2205" s="2" t="s">
        <v>1576</v>
      </c>
      <c r="I2205" s="6" t="s">
        <v>25</v>
      </c>
      <c r="J2205" s="2" t="s">
        <v>1577</v>
      </c>
      <c r="K2205" s="2" t="s">
        <v>5</v>
      </c>
      <c r="L2205" s="2" t="s">
        <v>28</v>
      </c>
      <c r="M2205" s="2" t="s">
        <v>5</v>
      </c>
      <c r="N2205" s="4">
        <v>0</v>
      </c>
    </row>
    <row r="2207" spans="1:14" x14ac:dyDescent="0.25">
      <c r="A2207" s="13" t="s">
        <v>59</v>
      </c>
      <c r="B2207" s="21"/>
      <c r="C2207" s="22">
        <f>SUM(C2202:C2206)</f>
        <v>18.260000000000002</v>
      </c>
      <c r="D2207" s="23">
        <f>SUM(D2202:D2206)</f>
        <v>298.73360000000002</v>
      </c>
      <c r="E2207" s="23">
        <f>SUM(E2202:E2206)</f>
        <v>215.46799999999999</v>
      </c>
      <c r="F2207" s="23">
        <f>D2207-E2207</f>
        <v>83.265600000000035</v>
      </c>
      <c r="G2207" s="24">
        <f>IF(((D2207)=0),0,(D2207-E2207)/ D2207)</f>
        <v>0.27872860635696833</v>
      </c>
      <c r="H2207" s="21"/>
      <c r="I2207" s="21"/>
      <c r="J2207" s="21"/>
      <c r="K2207" s="21"/>
      <c r="L2207" s="21"/>
      <c r="M2207" s="21"/>
      <c r="N2207" s="21"/>
    </row>
    <row r="2209" spans="1:14" s="17" customFormat="1" ht="18.75" x14ac:dyDescent="0.3"/>
    <row r="2210" spans="1:14" s="7" customFormat="1" x14ac:dyDescent="0.25">
      <c r="A2210" s="13" t="s">
        <v>1578</v>
      </c>
      <c r="B2210" s="18" t="s">
        <v>1579</v>
      </c>
      <c r="C2210" s="19"/>
      <c r="D2210" s="20" t="s">
        <v>5</v>
      </c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</row>
    <row r="2212" spans="1:14" x14ac:dyDescent="0.25">
      <c r="A2212" s="2" t="s">
        <v>1069</v>
      </c>
      <c r="B2212" s="2" t="s">
        <v>1070</v>
      </c>
      <c r="C2212" s="3">
        <v>10</v>
      </c>
      <c r="D2212" s="4">
        <v>154.19999999999999</v>
      </c>
      <c r="E2212" s="4">
        <v>104</v>
      </c>
      <c r="F2212" s="4">
        <f t="shared" ref="F2212:F2243" si="151">D2212-E2212</f>
        <v>50.199999999999989</v>
      </c>
      <c r="G2212" s="5">
        <f t="shared" ref="G2212:G2243" si="152">IF(((D2212)=0),0,(D2212-E2212)/ D2212)</f>
        <v>0.32555123216601811</v>
      </c>
      <c r="H2212" s="2" t="s">
        <v>1580</v>
      </c>
      <c r="I2212" s="6" t="s">
        <v>69</v>
      </c>
      <c r="J2212" s="2" t="s">
        <v>1581</v>
      </c>
      <c r="K2212" s="2" t="s">
        <v>5</v>
      </c>
      <c r="L2212" s="2" t="s">
        <v>28</v>
      </c>
      <c r="M2212" s="2" t="s">
        <v>5</v>
      </c>
      <c r="N2212" s="4">
        <v>3163</v>
      </c>
    </row>
    <row r="2213" spans="1:14" x14ac:dyDescent="0.25">
      <c r="A2213" s="2" t="s">
        <v>1069</v>
      </c>
      <c r="B2213" s="2" t="s">
        <v>1070</v>
      </c>
      <c r="C2213" s="3">
        <v>20</v>
      </c>
      <c r="D2213" s="4">
        <v>308.39999999999998</v>
      </c>
      <c r="E2213" s="4">
        <v>208</v>
      </c>
      <c r="F2213" s="4">
        <f t="shared" si="151"/>
        <v>100.39999999999998</v>
      </c>
      <c r="G2213" s="5">
        <f t="shared" si="152"/>
        <v>0.32555123216601811</v>
      </c>
      <c r="H2213" s="2" t="s">
        <v>1582</v>
      </c>
      <c r="I2213" s="6" t="s">
        <v>32</v>
      </c>
      <c r="J2213" s="2" t="s">
        <v>1583</v>
      </c>
      <c r="K2213" s="2" t="s">
        <v>5</v>
      </c>
      <c r="L2213" s="2" t="s">
        <v>28</v>
      </c>
      <c r="M2213" s="2" t="s">
        <v>5</v>
      </c>
      <c r="N2213" s="4">
        <v>3571.52</v>
      </c>
    </row>
    <row r="2214" spans="1:14" x14ac:dyDescent="0.25">
      <c r="A2214" s="2" t="s">
        <v>1129</v>
      </c>
      <c r="B2214" s="2" t="s">
        <v>1130</v>
      </c>
      <c r="C2214" s="3">
        <v>12</v>
      </c>
      <c r="D2214" s="4">
        <v>191.4</v>
      </c>
      <c r="E2214" s="4">
        <v>141.12</v>
      </c>
      <c r="F2214" s="4">
        <f t="shared" si="151"/>
        <v>50.28</v>
      </c>
      <c r="G2214" s="5">
        <f t="shared" si="152"/>
        <v>0.26269592476489029</v>
      </c>
      <c r="H2214" s="2" t="s">
        <v>1580</v>
      </c>
      <c r="I2214" s="6" t="s">
        <v>69</v>
      </c>
      <c r="J2214" s="2" t="s">
        <v>1581</v>
      </c>
      <c r="K2214" s="2" t="s">
        <v>5</v>
      </c>
      <c r="L2214" s="2" t="s">
        <v>28</v>
      </c>
      <c r="M2214" s="2" t="s">
        <v>5</v>
      </c>
      <c r="N2214" s="4">
        <v>3163</v>
      </c>
    </row>
    <row r="2215" spans="1:14" x14ac:dyDescent="0.25">
      <c r="A2215" s="2" t="s">
        <v>1129</v>
      </c>
      <c r="B2215" s="2" t="s">
        <v>1130</v>
      </c>
      <c r="C2215" s="3">
        <v>12</v>
      </c>
      <c r="D2215" s="4">
        <v>191.4</v>
      </c>
      <c r="E2215" s="4">
        <v>141.12</v>
      </c>
      <c r="F2215" s="4">
        <f t="shared" si="151"/>
        <v>50.28</v>
      </c>
      <c r="G2215" s="5">
        <f t="shared" si="152"/>
        <v>0.26269592476489029</v>
      </c>
      <c r="H2215" s="2" t="s">
        <v>1582</v>
      </c>
      <c r="I2215" s="6" t="s">
        <v>32</v>
      </c>
      <c r="J2215" s="2" t="s">
        <v>1583</v>
      </c>
      <c r="K2215" s="2" t="s">
        <v>5</v>
      </c>
      <c r="L2215" s="2" t="s">
        <v>28</v>
      </c>
      <c r="M2215" s="2" t="s">
        <v>5</v>
      </c>
      <c r="N2215" s="4">
        <v>3571.52</v>
      </c>
    </row>
    <row r="2216" spans="1:14" x14ac:dyDescent="0.25">
      <c r="A2216" s="2" t="s">
        <v>1075</v>
      </c>
      <c r="B2216" s="2" t="s">
        <v>1076</v>
      </c>
      <c r="C2216" s="3">
        <v>5</v>
      </c>
      <c r="D2216" s="4">
        <v>141.80000000000001</v>
      </c>
      <c r="E2216" s="4">
        <v>95.65</v>
      </c>
      <c r="F2216" s="4">
        <f t="shared" si="151"/>
        <v>46.150000000000006</v>
      </c>
      <c r="G2216" s="5">
        <f t="shared" si="152"/>
        <v>0.32545839210155147</v>
      </c>
      <c r="H2216" s="2" t="s">
        <v>1582</v>
      </c>
      <c r="I2216" s="6" t="s">
        <v>32</v>
      </c>
      <c r="J2216" s="2" t="s">
        <v>1583</v>
      </c>
      <c r="K2216" s="2" t="s">
        <v>5</v>
      </c>
      <c r="L2216" s="2" t="s">
        <v>28</v>
      </c>
      <c r="M2216" s="2" t="s">
        <v>5</v>
      </c>
      <c r="N2216" s="4">
        <v>3571.52</v>
      </c>
    </row>
    <row r="2217" spans="1:14" x14ac:dyDescent="0.25">
      <c r="A2217" s="2" t="s">
        <v>1075</v>
      </c>
      <c r="B2217" s="2" t="s">
        <v>1076</v>
      </c>
      <c r="C2217" s="3">
        <v>10</v>
      </c>
      <c r="D2217" s="4">
        <v>283.60000000000002</v>
      </c>
      <c r="E2217" s="4">
        <v>191.3</v>
      </c>
      <c r="F2217" s="4">
        <f t="shared" si="151"/>
        <v>92.300000000000011</v>
      </c>
      <c r="G2217" s="5">
        <f t="shared" si="152"/>
        <v>0.32545839210155147</v>
      </c>
      <c r="H2217" s="2" t="s">
        <v>1580</v>
      </c>
      <c r="I2217" s="6" t="s">
        <v>69</v>
      </c>
      <c r="J2217" s="2" t="s">
        <v>1581</v>
      </c>
      <c r="K2217" s="2" t="s">
        <v>5</v>
      </c>
      <c r="L2217" s="2" t="s">
        <v>28</v>
      </c>
      <c r="M2217" s="2" t="s">
        <v>5</v>
      </c>
      <c r="N2217" s="4">
        <v>3163</v>
      </c>
    </row>
    <row r="2218" spans="1:14" x14ac:dyDescent="0.25">
      <c r="A2218" s="2" t="s">
        <v>1077</v>
      </c>
      <c r="B2218" s="2" t="s">
        <v>1078</v>
      </c>
      <c r="C2218" s="3">
        <v>5</v>
      </c>
      <c r="D2218" s="4">
        <v>112.3</v>
      </c>
      <c r="E2218" s="4">
        <v>75.75</v>
      </c>
      <c r="F2218" s="4">
        <f t="shared" si="151"/>
        <v>36.549999999999997</v>
      </c>
      <c r="G2218" s="5">
        <f t="shared" si="152"/>
        <v>0.32546749777382011</v>
      </c>
      <c r="H2218" s="2" t="s">
        <v>1580</v>
      </c>
      <c r="I2218" s="6" t="s">
        <v>69</v>
      </c>
      <c r="J2218" s="2" t="s">
        <v>1581</v>
      </c>
      <c r="K2218" s="2" t="s">
        <v>5</v>
      </c>
      <c r="L2218" s="2" t="s">
        <v>28</v>
      </c>
      <c r="M2218" s="2" t="s">
        <v>5</v>
      </c>
      <c r="N2218" s="4">
        <v>3163</v>
      </c>
    </row>
    <row r="2219" spans="1:14" x14ac:dyDescent="0.25">
      <c r="A2219" s="2" t="s">
        <v>1077</v>
      </c>
      <c r="B2219" s="2" t="s">
        <v>1078</v>
      </c>
      <c r="C2219" s="3">
        <v>9</v>
      </c>
      <c r="D2219" s="4">
        <v>202.14</v>
      </c>
      <c r="E2219" s="4">
        <v>136.35</v>
      </c>
      <c r="F2219" s="4">
        <f t="shared" si="151"/>
        <v>65.789999999999992</v>
      </c>
      <c r="G2219" s="5">
        <f t="shared" si="152"/>
        <v>0.32546749777382011</v>
      </c>
      <c r="H2219" s="2" t="s">
        <v>1582</v>
      </c>
      <c r="I2219" s="6" t="s">
        <v>32</v>
      </c>
      <c r="J2219" s="2" t="s">
        <v>1583</v>
      </c>
      <c r="K2219" s="2" t="s">
        <v>5</v>
      </c>
      <c r="L2219" s="2" t="s">
        <v>28</v>
      </c>
      <c r="M2219" s="2" t="s">
        <v>5</v>
      </c>
      <c r="N2219" s="4">
        <v>3571.52</v>
      </c>
    </row>
    <row r="2220" spans="1:14" x14ac:dyDescent="0.25">
      <c r="A2220" s="2" t="s">
        <v>1079</v>
      </c>
      <c r="B2220" s="2" t="s">
        <v>1080</v>
      </c>
      <c r="C2220" s="3">
        <v>1</v>
      </c>
      <c r="D2220" s="4">
        <v>75.33</v>
      </c>
      <c r="E2220" s="4">
        <v>51.5</v>
      </c>
      <c r="F2220" s="4">
        <f t="shared" si="151"/>
        <v>23.83</v>
      </c>
      <c r="G2220" s="5">
        <f t="shared" si="152"/>
        <v>0.31634143103677154</v>
      </c>
      <c r="H2220" s="2" t="s">
        <v>1580</v>
      </c>
      <c r="I2220" s="6" t="s">
        <v>69</v>
      </c>
      <c r="J2220" s="2" t="s">
        <v>1581</v>
      </c>
      <c r="K2220" s="2" t="s">
        <v>5</v>
      </c>
      <c r="L2220" s="2" t="s">
        <v>28</v>
      </c>
      <c r="M2220" s="2" t="s">
        <v>5</v>
      </c>
      <c r="N2220" s="4">
        <v>3163</v>
      </c>
    </row>
    <row r="2221" spans="1:14" x14ac:dyDescent="0.25">
      <c r="A2221" s="2" t="s">
        <v>1079</v>
      </c>
      <c r="B2221" s="2" t="s">
        <v>1080</v>
      </c>
      <c r="C2221" s="3">
        <v>5</v>
      </c>
      <c r="D2221" s="4">
        <v>376.65</v>
      </c>
      <c r="E2221" s="4">
        <v>257.5</v>
      </c>
      <c r="F2221" s="4">
        <f t="shared" si="151"/>
        <v>119.14999999999998</v>
      </c>
      <c r="G2221" s="5">
        <f t="shared" si="152"/>
        <v>0.31634143103677148</v>
      </c>
      <c r="H2221" s="2" t="s">
        <v>1582</v>
      </c>
      <c r="I2221" s="6" t="s">
        <v>32</v>
      </c>
      <c r="J2221" s="2" t="s">
        <v>1583</v>
      </c>
      <c r="K2221" s="2" t="s">
        <v>5</v>
      </c>
      <c r="L2221" s="2" t="s">
        <v>28</v>
      </c>
      <c r="M2221" s="2" t="s">
        <v>5</v>
      </c>
      <c r="N2221" s="4">
        <v>3571.52</v>
      </c>
    </row>
    <row r="2222" spans="1:14" x14ac:dyDescent="0.25">
      <c r="A2222" s="2" t="s">
        <v>1081</v>
      </c>
      <c r="B2222" s="2" t="s">
        <v>1082</v>
      </c>
      <c r="C2222" s="3">
        <v>2</v>
      </c>
      <c r="D2222" s="4">
        <v>103.78</v>
      </c>
      <c r="E2222" s="4">
        <v>71</v>
      </c>
      <c r="F2222" s="4">
        <f t="shared" si="151"/>
        <v>32.78</v>
      </c>
      <c r="G2222" s="5">
        <f t="shared" si="152"/>
        <v>0.31586047407978418</v>
      </c>
      <c r="H2222" s="2" t="s">
        <v>1582</v>
      </c>
      <c r="I2222" s="6" t="s">
        <v>32</v>
      </c>
      <c r="J2222" s="2" t="s">
        <v>1583</v>
      </c>
      <c r="K2222" s="2" t="s">
        <v>5</v>
      </c>
      <c r="L2222" s="2" t="s">
        <v>28</v>
      </c>
      <c r="M2222" s="2" t="s">
        <v>5</v>
      </c>
      <c r="N2222" s="4">
        <v>3571.52</v>
      </c>
    </row>
    <row r="2223" spans="1:14" x14ac:dyDescent="0.25">
      <c r="A2223" s="2" t="s">
        <v>1081</v>
      </c>
      <c r="B2223" s="2" t="s">
        <v>1082</v>
      </c>
      <c r="C2223" s="3">
        <v>1</v>
      </c>
      <c r="D2223" s="4">
        <v>51.89</v>
      </c>
      <c r="E2223" s="4">
        <v>35.5</v>
      </c>
      <c r="F2223" s="4">
        <f t="shared" si="151"/>
        <v>16.39</v>
      </c>
      <c r="G2223" s="5">
        <f t="shared" si="152"/>
        <v>0.31586047407978418</v>
      </c>
      <c r="H2223" s="2" t="s">
        <v>1580</v>
      </c>
      <c r="I2223" s="6" t="s">
        <v>69</v>
      </c>
      <c r="J2223" s="2" t="s">
        <v>1581</v>
      </c>
      <c r="K2223" s="2" t="s">
        <v>5</v>
      </c>
      <c r="L2223" s="2" t="s">
        <v>28</v>
      </c>
      <c r="M2223" s="2" t="s">
        <v>5</v>
      </c>
      <c r="N2223" s="4">
        <v>3163</v>
      </c>
    </row>
    <row r="2224" spans="1:14" x14ac:dyDescent="0.25">
      <c r="A2224" s="2" t="s">
        <v>1132</v>
      </c>
      <c r="B2224" s="2" t="s">
        <v>1133</v>
      </c>
      <c r="C2224" s="3">
        <v>1</v>
      </c>
      <c r="D2224" s="4">
        <v>98.44</v>
      </c>
      <c r="E2224" s="4">
        <v>66.400000000000006</v>
      </c>
      <c r="F2224" s="4">
        <f t="shared" si="151"/>
        <v>32.039999999999992</v>
      </c>
      <c r="G2224" s="5">
        <f t="shared" si="152"/>
        <v>0.32547744819179186</v>
      </c>
      <c r="H2224" s="2" t="s">
        <v>1580</v>
      </c>
      <c r="I2224" s="6" t="s">
        <v>69</v>
      </c>
      <c r="J2224" s="2" t="s">
        <v>1581</v>
      </c>
      <c r="K2224" s="2" t="s">
        <v>5</v>
      </c>
      <c r="L2224" s="2" t="s">
        <v>28</v>
      </c>
      <c r="M2224" s="2" t="s">
        <v>5</v>
      </c>
      <c r="N2224" s="4">
        <v>3163</v>
      </c>
    </row>
    <row r="2225" spans="1:14" x14ac:dyDescent="0.25">
      <c r="A2225" s="2" t="s">
        <v>1087</v>
      </c>
      <c r="B2225" s="2" t="s">
        <v>1088</v>
      </c>
      <c r="C2225" s="3">
        <v>4</v>
      </c>
      <c r="D2225" s="4">
        <v>56.56</v>
      </c>
      <c r="E2225" s="4">
        <v>38.159999999999997</v>
      </c>
      <c r="F2225" s="4">
        <f t="shared" si="151"/>
        <v>18.400000000000006</v>
      </c>
      <c r="G2225" s="5">
        <f t="shared" si="152"/>
        <v>0.32531824611032539</v>
      </c>
      <c r="H2225" s="2" t="s">
        <v>1582</v>
      </c>
      <c r="I2225" s="6" t="s">
        <v>32</v>
      </c>
      <c r="J2225" s="2" t="s">
        <v>1583</v>
      </c>
      <c r="K2225" s="2" t="s">
        <v>5</v>
      </c>
      <c r="L2225" s="2" t="s">
        <v>28</v>
      </c>
      <c r="M2225" s="2" t="s">
        <v>5</v>
      </c>
      <c r="N2225" s="4">
        <v>3571.52</v>
      </c>
    </row>
    <row r="2226" spans="1:14" x14ac:dyDescent="0.25">
      <c r="A2226" s="2" t="s">
        <v>1089</v>
      </c>
      <c r="B2226" s="2" t="s">
        <v>1090</v>
      </c>
      <c r="C2226" s="3">
        <v>1</v>
      </c>
      <c r="D2226" s="4">
        <v>23.35</v>
      </c>
      <c r="E2226" s="4">
        <v>15.75</v>
      </c>
      <c r="F2226" s="4">
        <f t="shared" si="151"/>
        <v>7.6000000000000014</v>
      </c>
      <c r="G2226" s="5">
        <f t="shared" si="152"/>
        <v>0.32548179871520344</v>
      </c>
      <c r="H2226" s="2" t="s">
        <v>1582</v>
      </c>
      <c r="I2226" s="6" t="s">
        <v>32</v>
      </c>
      <c r="J2226" s="2" t="s">
        <v>1583</v>
      </c>
      <c r="K2226" s="2" t="s">
        <v>5</v>
      </c>
      <c r="L2226" s="2" t="s">
        <v>28</v>
      </c>
      <c r="M2226" s="2" t="s">
        <v>5</v>
      </c>
      <c r="N2226" s="4">
        <v>3571.52</v>
      </c>
    </row>
    <row r="2227" spans="1:14" x14ac:dyDescent="0.25">
      <c r="A2227" s="2" t="s">
        <v>1091</v>
      </c>
      <c r="B2227" s="2" t="s">
        <v>1092</v>
      </c>
      <c r="C2227" s="3">
        <v>1</v>
      </c>
      <c r="D2227" s="4">
        <v>18.43</v>
      </c>
      <c r="E2227" s="4">
        <v>12.43</v>
      </c>
      <c r="F2227" s="4">
        <f t="shared" si="151"/>
        <v>6</v>
      </c>
      <c r="G2227" s="5">
        <f t="shared" si="152"/>
        <v>0.32555615843733043</v>
      </c>
      <c r="H2227" s="2" t="s">
        <v>1582</v>
      </c>
      <c r="I2227" s="6" t="s">
        <v>32</v>
      </c>
      <c r="J2227" s="2" t="s">
        <v>1583</v>
      </c>
      <c r="K2227" s="2" t="s">
        <v>5</v>
      </c>
      <c r="L2227" s="2" t="s">
        <v>28</v>
      </c>
      <c r="M2227" s="2" t="s">
        <v>5</v>
      </c>
      <c r="N2227" s="4">
        <v>3571.52</v>
      </c>
    </row>
    <row r="2228" spans="1:14" x14ac:dyDescent="0.25">
      <c r="A2228" s="2" t="s">
        <v>1136</v>
      </c>
      <c r="B2228" s="2" t="s">
        <v>1137</v>
      </c>
      <c r="C2228" s="3">
        <v>1</v>
      </c>
      <c r="D2228" s="4">
        <v>23.25</v>
      </c>
      <c r="E2228" s="4">
        <v>14.7</v>
      </c>
      <c r="F2228" s="4">
        <f t="shared" si="151"/>
        <v>8.5500000000000007</v>
      </c>
      <c r="G2228" s="5">
        <f t="shared" si="152"/>
        <v>0.36774193548387102</v>
      </c>
      <c r="H2228" s="2" t="s">
        <v>1582</v>
      </c>
      <c r="I2228" s="6" t="s">
        <v>32</v>
      </c>
      <c r="J2228" s="2" t="s">
        <v>1583</v>
      </c>
      <c r="K2228" s="2" t="s">
        <v>5</v>
      </c>
      <c r="L2228" s="2" t="s">
        <v>28</v>
      </c>
      <c r="M2228" s="2" t="s">
        <v>5</v>
      </c>
      <c r="N2228" s="4">
        <v>3571.52</v>
      </c>
    </row>
    <row r="2229" spans="1:14" x14ac:dyDescent="0.25">
      <c r="A2229" s="2" t="s">
        <v>1093</v>
      </c>
      <c r="B2229" s="2" t="s">
        <v>1094</v>
      </c>
      <c r="C2229" s="3">
        <v>6</v>
      </c>
      <c r="D2229" s="4">
        <v>76.5</v>
      </c>
      <c r="E2229" s="4">
        <v>51.6</v>
      </c>
      <c r="F2229" s="4">
        <f t="shared" si="151"/>
        <v>24.9</v>
      </c>
      <c r="G2229" s="5">
        <f t="shared" si="152"/>
        <v>0.32549019607843133</v>
      </c>
      <c r="H2229" s="2" t="s">
        <v>1580</v>
      </c>
      <c r="I2229" s="6" t="s">
        <v>69</v>
      </c>
      <c r="J2229" s="2" t="s">
        <v>1581</v>
      </c>
      <c r="K2229" s="2" t="s">
        <v>5</v>
      </c>
      <c r="L2229" s="2" t="s">
        <v>28</v>
      </c>
      <c r="M2229" s="2" t="s">
        <v>5</v>
      </c>
      <c r="N2229" s="4">
        <v>3163</v>
      </c>
    </row>
    <row r="2230" spans="1:14" x14ac:dyDescent="0.25">
      <c r="A2230" s="2" t="s">
        <v>1093</v>
      </c>
      <c r="B2230" s="2" t="s">
        <v>1094</v>
      </c>
      <c r="C2230" s="3">
        <v>6</v>
      </c>
      <c r="D2230" s="4">
        <v>76.5</v>
      </c>
      <c r="E2230" s="4">
        <v>51.6</v>
      </c>
      <c r="F2230" s="4">
        <f t="shared" si="151"/>
        <v>24.9</v>
      </c>
      <c r="G2230" s="5">
        <f t="shared" si="152"/>
        <v>0.32549019607843133</v>
      </c>
      <c r="H2230" s="2" t="s">
        <v>1582</v>
      </c>
      <c r="I2230" s="6" t="s">
        <v>32</v>
      </c>
      <c r="J2230" s="2" t="s">
        <v>1583</v>
      </c>
      <c r="K2230" s="2" t="s">
        <v>5</v>
      </c>
      <c r="L2230" s="2" t="s">
        <v>28</v>
      </c>
      <c r="M2230" s="2" t="s">
        <v>5</v>
      </c>
      <c r="N2230" s="4">
        <v>3571.52</v>
      </c>
    </row>
    <row r="2231" spans="1:14" x14ac:dyDescent="0.25">
      <c r="A2231" s="2" t="s">
        <v>1095</v>
      </c>
      <c r="B2231" s="2" t="s">
        <v>1096</v>
      </c>
      <c r="C2231" s="3">
        <v>1</v>
      </c>
      <c r="D2231" s="4">
        <v>46.63</v>
      </c>
      <c r="E2231" s="4">
        <v>31.19</v>
      </c>
      <c r="F2231" s="4">
        <f t="shared" si="151"/>
        <v>15.440000000000001</v>
      </c>
      <c r="G2231" s="5">
        <f t="shared" si="152"/>
        <v>0.33111730645507187</v>
      </c>
      <c r="H2231" s="2" t="s">
        <v>1582</v>
      </c>
      <c r="I2231" s="6" t="s">
        <v>32</v>
      </c>
      <c r="J2231" s="2" t="s">
        <v>1583</v>
      </c>
      <c r="K2231" s="2" t="s">
        <v>5</v>
      </c>
      <c r="L2231" s="2" t="s">
        <v>28</v>
      </c>
      <c r="M2231" s="2" t="s">
        <v>5</v>
      </c>
      <c r="N2231" s="4">
        <v>3571.52</v>
      </c>
    </row>
    <row r="2232" spans="1:14" x14ac:dyDescent="0.25">
      <c r="A2232" s="2" t="s">
        <v>1097</v>
      </c>
      <c r="B2232" s="2" t="s">
        <v>1098</v>
      </c>
      <c r="C2232" s="3">
        <v>4</v>
      </c>
      <c r="D2232" s="4">
        <v>729.44</v>
      </c>
      <c r="E2232" s="4">
        <v>492</v>
      </c>
      <c r="F2232" s="4">
        <f t="shared" si="151"/>
        <v>237.44000000000005</v>
      </c>
      <c r="G2232" s="5">
        <f t="shared" si="152"/>
        <v>0.32550998025882877</v>
      </c>
      <c r="H2232" s="2" t="s">
        <v>1582</v>
      </c>
      <c r="I2232" s="6" t="s">
        <v>32</v>
      </c>
      <c r="J2232" s="2" t="s">
        <v>1583</v>
      </c>
      <c r="K2232" s="2" t="s">
        <v>5</v>
      </c>
      <c r="L2232" s="2" t="s">
        <v>28</v>
      </c>
      <c r="M2232" s="2" t="s">
        <v>5</v>
      </c>
      <c r="N2232" s="4">
        <v>3571.52</v>
      </c>
    </row>
    <row r="2233" spans="1:14" x14ac:dyDescent="0.25">
      <c r="A2233" s="2" t="s">
        <v>1097</v>
      </c>
      <c r="B2233" s="2" t="s">
        <v>1098</v>
      </c>
      <c r="C2233" s="3">
        <v>7</v>
      </c>
      <c r="D2233" s="4">
        <v>1276.52</v>
      </c>
      <c r="E2233" s="4">
        <v>861</v>
      </c>
      <c r="F2233" s="4">
        <f t="shared" si="151"/>
        <v>415.52</v>
      </c>
      <c r="G2233" s="5">
        <f t="shared" si="152"/>
        <v>0.32550998025882866</v>
      </c>
      <c r="H2233" s="2" t="s">
        <v>1580</v>
      </c>
      <c r="I2233" s="6" t="s">
        <v>69</v>
      </c>
      <c r="J2233" s="2" t="s">
        <v>1581</v>
      </c>
      <c r="K2233" s="2" t="s">
        <v>5</v>
      </c>
      <c r="L2233" s="2" t="s">
        <v>28</v>
      </c>
      <c r="M2233" s="2" t="s">
        <v>5</v>
      </c>
      <c r="N2233" s="4">
        <v>3163</v>
      </c>
    </row>
    <row r="2234" spans="1:14" x14ac:dyDescent="0.25">
      <c r="A2234" s="2" t="s">
        <v>1138</v>
      </c>
      <c r="B2234" s="2" t="s">
        <v>1139</v>
      </c>
      <c r="C2234" s="3">
        <v>1</v>
      </c>
      <c r="D2234" s="4">
        <v>30.42</v>
      </c>
      <c r="E2234" s="4">
        <v>20.52</v>
      </c>
      <c r="F2234" s="4">
        <f t="shared" si="151"/>
        <v>9.9000000000000021</v>
      </c>
      <c r="G2234" s="5">
        <f t="shared" si="152"/>
        <v>0.32544378698224857</v>
      </c>
      <c r="H2234" s="2" t="s">
        <v>1582</v>
      </c>
      <c r="I2234" s="6" t="s">
        <v>32</v>
      </c>
      <c r="J2234" s="2" t="s">
        <v>1583</v>
      </c>
      <c r="K2234" s="2" t="s">
        <v>5</v>
      </c>
      <c r="L2234" s="2" t="s">
        <v>28</v>
      </c>
      <c r="M2234" s="2" t="s">
        <v>5</v>
      </c>
      <c r="N2234" s="4">
        <v>3571.52</v>
      </c>
    </row>
    <row r="2235" spans="1:14" x14ac:dyDescent="0.25">
      <c r="A2235" s="2" t="s">
        <v>1142</v>
      </c>
      <c r="B2235" s="2" t="s">
        <v>1143</v>
      </c>
      <c r="C2235" s="3">
        <v>2</v>
      </c>
      <c r="D2235" s="4">
        <v>11.14</v>
      </c>
      <c r="E2235" s="4">
        <v>11</v>
      </c>
      <c r="F2235" s="4">
        <f t="shared" si="151"/>
        <v>0.14000000000000057</v>
      </c>
      <c r="G2235" s="5">
        <f t="shared" si="152"/>
        <v>1.2567324955116747E-2</v>
      </c>
      <c r="H2235" s="2" t="s">
        <v>1582</v>
      </c>
      <c r="I2235" s="6" t="s">
        <v>32</v>
      </c>
      <c r="J2235" s="2" t="s">
        <v>1583</v>
      </c>
      <c r="K2235" s="2" t="s">
        <v>5</v>
      </c>
      <c r="L2235" s="2" t="s">
        <v>28</v>
      </c>
      <c r="M2235" s="2" t="s">
        <v>5</v>
      </c>
      <c r="N2235" s="4">
        <v>3571.52</v>
      </c>
    </row>
    <row r="2236" spans="1:14" x14ac:dyDescent="0.25">
      <c r="A2236" s="2" t="s">
        <v>1101</v>
      </c>
      <c r="B2236" s="2" t="s">
        <v>1102</v>
      </c>
      <c r="C2236" s="3">
        <v>2</v>
      </c>
      <c r="D2236" s="4">
        <v>11.14</v>
      </c>
      <c r="E2236" s="4">
        <v>11</v>
      </c>
      <c r="F2236" s="4">
        <f t="shared" si="151"/>
        <v>0.14000000000000057</v>
      </c>
      <c r="G2236" s="5">
        <f t="shared" si="152"/>
        <v>1.2567324955116747E-2</v>
      </c>
      <c r="H2236" s="2" t="s">
        <v>1580</v>
      </c>
      <c r="I2236" s="6" t="s">
        <v>69</v>
      </c>
      <c r="J2236" s="2" t="s">
        <v>1581</v>
      </c>
      <c r="K2236" s="2" t="s">
        <v>5</v>
      </c>
      <c r="L2236" s="2" t="s">
        <v>28</v>
      </c>
      <c r="M2236" s="2" t="s">
        <v>5</v>
      </c>
      <c r="N2236" s="4">
        <v>3163</v>
      </c>
    </row>
    <row r="2237" spans="1:14" x14ac:dyDescent="0.25">
      <c r="A2237" s="2" t="s">
        <v>1101</v>
      </c>
      <c r="B2237" s="2" t="s">
        <v>1102</v>
      </c>
      <c r="C2237" s="3">
        <v>2</v>
      </c>
      <c r="D2237" s="4">
        <v>11.14</v>
      </c>
      <c r="E2237" s="4">
        <v>11</v>
      </c>
      <c r="F2237" s="4">
        <f t="shared" si="151"/>
        <v>0.14000000000000057</v>
      </c>
      <c r="G2237" s="5">
        <f t="shared" si="152"/>
        <v>1.2567324955116747E-2</v>
      </c>
      <c r="H2237" s="2" t="s">
        <v>1582</v>
      </c>
      <c r="I2237" s="6" t="s">
        <v>32</v>
      </c>
      <c r="J2237" s="2" t="s">
        <v>1583</v>
      </c>
      <c r="K2237" s="2" t="s">
        <v>5</v>
      </c>
      <c r="L2237" s="2" t="s">
        <v>28</v>
      </c>
      <c r="M2237" s="2" t="s">
        <v>5</v>
      </c>
      <c r="N2237" s="4">
        <v>3571.52</v>
      </c>
    </row>
    <row r="2238" spans="1:14" x14ac:dyDescent="0.25">
      <c r="A2238" s="2" t="s">
        <v>1584</v>
      </c>
      <c r="B2238" s="2" t="s">
        <v>1585</v>
      </c>
      <c r="C2238" s="3">
        <v>1</v>
      </c>
      <c r="D2238" s="4">
        <v>5.57</v>
      </c>
      <c r="E2238" s="4">
        <v>3.5</v>
      </c>
      <c r="F2238" s="4">
        <f t="shared" si="151"/>
        <v>2.0700000000000003</v>
      </c>
      <c r="G2238" s="5">
        <f t="shared" si="152"/>
        <v>0.37163375224416523</v>
      </c>
      <c r="H2238" s="2" t="s">
        <v>1582</v>
      </c>
      <c r="I2238" s="6" t="s">
        <v>32</v>
      </c>
      <c r="J2238" s="2" t="s">
        <v>1583</v>
      </c>
      <c r="K2238" s="2" t="s">
        <v>5</v>
      </c>
      <c r="L2238" s="2" t="s">
        <v>28</v>
      </c>
      <c r="M2238" s="2" t="s">
        <v>5</v>
      </c>
      <c r="N2238" s="4">
        <v>3571.52</v>
      </c>
    </row>
    <row r="2239" spans="1:14" x14ac:dyDescent="0.25">
      <c r="A2239" s="2" t="s">
        <v>1144</v>
      </c>
      <c r="B2239" s="2" t="s">
        <v>1145</v>
      </c>
      <c r="C2239" s="3">
        <v>1</v>
      </c>
      <c r="D2239" s="4">
        <v>17.79</v>
      </c>
      <c r="E2239" s="4">
        <v>12</v>
      </c>
      <c r="F2239" s="4">
        <f t="shared" si="151"/>
        <v>5.7899999999999991</v>
      </c>
      <c r="G2239" s="5">
        <f t="shared" si="152"/>
        <v>0.32546374367622255</v>
      </c>
      <c r="H2239" s="2" t="s">
        <v>1582</v>
      </c>
      <c r="I2239" s="6" t="s">
        <v>32</v>
      </c>
      <c r="J2239" s="2" t="s">
        <v>1583</v>
      </c>
      <c r="K2239" s="2" t="s">
        <v>5</v>
      </c>
      <c r="L2239" s="2" t="s">
        <v>28</v>
      </c>
      <c r="M2239" s="2" t="s">
        <v>5</v>
      </c>
      <c r="N2239" s="4">
        <v>3571.52</v>
      </c>
    </row>
    <row r="2240" spans="1:14" x14ac:dyDescent="0.25">
      <c r="A2240" s="2" t="s">
        <v>1103</v>
      </c>
      <c r="B2240" s="2" t="s">
        <v>1104</v>
      </c>
      <c r="C2240" s="3">
        <v>5</v>
      </c>
      <c r="D2240" s="4">
        <v>127.5</v>
      </c>
      <c r="E2240" s="4">
        <v>86</v>
      </c>
      <c r="F2240" s="4">
        <f t="shared" si="151"/>
        <v>41.5</v>
      </c>
      <c r="G2240" s="5">
        <f t="shared" si="152"/>
        <v>0.32549019607843138</v>
      </c>
      <c r="H2240" s="2" t="s">
        <v>1580</v>
      </c>
      <c r="I2240" s="6" t="s">
        <v>69</v>
      </c>
      <c r="J2240" s="2" t="s">
        <v>1581</v>
      </c>
      <c r="K2240" s="2" t="s">
        <v>5</v>
      </c>
      <c r="L2240" s="2" t="s">
        <v>28</v>
      </c>
      <c r="M2240" s="2" t="s">
        <v>5</v>
      </c>
      <c r="N2240" s="4">
        <v>3163</v>
      </c>
    </row>
    <row r="2241" spans="1:14" x14ac:dyDescent="0.25">
      <c r="A2241" s="2" t="s">
        <v>1586</v>
      </c>
      <c r="B2241" s="2" t="s">
        <v>1587</v>
      </c>
      <c r="C2241" s="3">
        <v>1</v>
      </c>
      <c r="D2241" s="4">
        <v>13.4</v>
      </c>
      <c r="E2241" s="4">
        <v>9.0399999999999991</v>
      </c>
      <c r="F2241" s="4">
        <f t="shared" si="151"/>
        <v>4.3600000000000012</v>
      </c>
      <c r="G2241" s="5">
        <f t="shared" si="152"/>
        <v>0.32537313432835829</v>
      </c>
      <c r="H2241" s="2" t="s">
        <v>1582</v>
      </c>
      <c r="I2241" s="6" t="s">
        <v>32</v>
      </c>
      <c r="J2241" s="2" t="s">
        <v>1583</v>
      </c>
      <c r="K2241" s="2" t="s">
        <v>5</v>
      </c>
      <c r="L2241" s="2" t="s">
        <v>28</v>
      </c>
      <c r="M2241" s="2" t="s">
        <v>5</v>
      </c>
      <c r="N2241" s="4">
        <v>3571.52</v>
      </c>
    </row>
    <row r="2242" spans="1:14" x14ac:dyDescent="0.25">
      <c r="A2242" s="2" t="s">
        <v>1105</v>
      </c>
      <c r="B2242" s="2" t="s">
        <v>1106</v>
      </c>
      <c r="C2242" s="3">
        <v>3</v>
      </c>
      <c r="D2242" s="4">
        <v>18.96</v>
      </c>
      <c r="E2242" s="4">
        <v>12.27</v>
      </c>
      <c r="F2242" s="4">
        <f t="shared" si="151"/>
        <v>6.6900000000000013</v>
      </c>
      <c r="G2242" s="5">
        <f t="shared" si="152"/>
        <v>0.35284810126582283</v>
      </c>
      <c r="H2242" s="2" t="s">
        <v>1582</v>
      </c>
      <c r="I2242" s="6" t="s">
        <v>32</v>
      </c>
      <c r="J2242" s="2" t="s">
        <v>1583</v>
      </c>
      <c r="K2242" s="2" t="s">
        <v>5</v>
      </c>
      <c r="L2242" s="2" t="s">
        <v>28</v>
      </c>
      <c r="M2242" s="2" t="s">
        <v>5</v>
      </c>
      <c r="N2242" s="4">
        <v>3571.52</v>
      </c>
    </row>
    <row r="2243" spans="1:14" x14ac:dyDescent="0.25">
      <c r="A2243" s="2" t="s">
        <v>163</v>
      </c>
      <c r="B2243" s="2" t="s">
        <v>164</v>
      </c>
      <c r="C2243" s="3">
        <v>8</v>
      </c>
      <c r="D2243" s="4">
        <v>82.88</v>
      </c>
      <c r="E2243" s="4">
        <v>55.92</v>
      </c>
      <c r="F2243" s="4">
        <f t="shared" si="151"/>
        <v>26.959999999999994</v>
      </c>
      <c r="G2243" s="5">
        <f t="shared" si="152"/>
        <v>0.32528957528957525</v>
      </c>
      <c r="H2243" s="2" t="s">
        <v>1582</v>
      </c>
      <c r="I2243" s="6" t="s">
        <v>32</v>
      </c>
      <c r="J2243" s="2" t="s">
        <v>1583</v>
      </c>
      <c r="K2243" s="2" t="s">
        <v>5</v>
      </c>
      <c r="L2243" s="2" t="s">
        <v>28</v>
      </c>
      <c r="M2243" s="2" t="s">
        <v>5</v>
      </c>
      <c r="N2243" s="4">
        <v>3571.52</v>
      </c>
    </row>
    <row r="2244" spans="1:14" x14ac:dyDescent="0.25">
      <c r="A2244" s="2" t="s">
        <v>163</v>
      </c>
      <c r="B2244" s="2" t="s">
        <v>164</v>
      </c>
      <c r="C2244" s="3">
        <v>12</v>
      </c>
      <c r="D2244" s="4">
        <v>124.32</v>
      </c>
      <c r="E2244" s="4">
        <v>83.88</v>
      </c>
      <c r="F2244" s="4">
        <f t="shared" ref="F2244:F2275" si="153">D2244-E2244</f>
        <v>40.44</v>
      </c>
      <c r="G2244" s="5">
        <f t="shared" ref="G2244:G2266" si="154">IF(((D2244)=0),0,(D2244-E2244)/ D2244)</f>
        <v>0.32528957528957531</v>
      </c>
      <c r="H2244" s="2" t="s">
        <v>1580</v>
      </c>
      <c r="I2244" s="6" t="s">
        <v>69</v>
      </c>
      <c r="J2244" s="2" t="s">
        <v>1581</v>
      </c>
      <c r="K2244" s="2" t="s">
        <v>5</v>
      </c>
      <c r="L2244" s="2" t="s">
        <v>28</v>
      </c>
      <c r="M2244" s="2" t="s">
        <v>5</v>
      </c>
      <c r="N2244" s="4">
        <v>3163</v>
      </c>
    </row>
    <row r="2245" spans="1:14" x14ac:dyDescent="0.25">
      <c r="A2245" s="2" t="s">
        <v>1156</v>
      </c>
      <c r="B2245" s="2" t="s">
        <v>1157</v>
      </c>
      <c r="C2245" s="3">
        <v>1</v>
      </c>
      <c r="D2245" s="4">
        <v>20.9</v>
      </c>
      <c r="E2245" s="4">
        <v>14.1</v>
      </c>
      <c r="F2245" s="4">
        <f t="shared" si="153"/>
        <v>6.7999999999999989</v>
      </c>
      <c r="G2245" s="5">
        <f t="shared" si="154"/>
        <v>0.32535885167464113</v>
      </c>
      <c r="H2245" s="2" t="s">
        <v>1582</v>
      </c>
      <c r="I2245" s="6" t="s">
        <v>32</v>
      </c>
      <c r="J2245" s="2" t="s">
        <v>1583</v>
      </c>
      <c r="K2245" s="2" t="s">
        <v>5</v>
      </c>
      <c r="L2245" s="2" t="s">
        <v>28</v>
      </c>
      <c r="M2245" s="2" t="s">
        <v>5</v>
      </c>
      <c r="N2245" s="4">
        <v>3571.52</v>
      </c>
    </row>
    <row r="2246" spans="1:14" x14ac:dyDescent="0.25">
      <c r="A2246" s="2" t="s">
        <v>1162</v>
      </c>
      <c r="B2246" s="2" t="s">
        <v>1163</v>
      </c>
      <c r="C2246" s="3">
        <v>1</v>
      </c>
      <c r="D2246" s="4">
        <v>11.27</v>
      </c>
      <c r="E2246" s="4">
        <v>7.6</v>
      </c>
      <c r="F2246" s="4">
        <f t="shared" si="153"/>
        <v>3.67</v>
      </c>
      <c r="G2246" s="5">
        <f t="shared" si="154"/>
        <v>0.32564330079858028</v>
      </c>
      <c r="H2246" s="2" t="s">
        <v>1582</v>
      </c>
      <c r="I2246" s="6" t="s">
        <v>32</v>
      </c>
      <c r="J2246" s="2" t="s">
        <v>1583</v>
      </c>
      <c r="K2246" s="2" t="s">
        <v>5</v>
      </c>
      <c r="L2246" s="2" t="s">
        <v>28</v>
      </c>
      <c r="M2246" s="2" t="s">
        <v>5</v>
      </c>
      <c r="N2246" s="4">
        <v>3571.52</v>
      </c>
    </row>
    <row r="2247" spans="1:14" x14ac:dyDescent="0.25">
      <c r="A2247" s="2" t="s">
        <v>1107</v>
      </c>
      <c r="B2247" s="2" t="s">
        <v>1108</v>
      </c>
      <c r="C2247" s="3">
        <v>4</v>
      </c>
      <c r="D2247" s="4">
        <v>166.36</v>
      </c>
      <c r="E2247" s="4">
        <v>116</v>
      </c>
      <c r="F2247" s="4">
        <f t="shared" si="153"/>
        <v>50.360000000000014</v>
      </c>
      <c r="G2247" s="5">
        <f t="shared" si="154"/>
        <v>0.30271699927867279</v>
      </c>
      <c r="H2247" s="2" t="s">
        <v>1582</v>
      </c>
      <c r="I2247" s="6" t="s">
        <v>32</v>
      </c>
      <c r="J2247" s="2" t="s">
        <v>1583</v>
      </c>
      <c r="K2247" s="2" t="s">
        <v>5</v>
      </c>
      <c r="L2247" s="2" t="s">
        <v>28</v>
      </c>
      <c r="M2247" s="2" t="s">
        <v>5</v>
      </c>
      <c r="N2247" s="4">
        <v>3571.52</v>
      </c>
    </row>
    <row r="2248" spans="1:14" x14ac:dyDescent="0.25">
      <c r="A2248" s="2" t="s">
        <v>1107</v>
      </c>
      <c r="B2248" s="2" t="s">
        <v>1108</v>
      </c>
      <c r="C2248" s="3">
        <v>6</v>
      </c>
      <c r="D2248" s="4">
        <v>249.54</v>
      </c>
      <c r="E2248" s="4">
        <v>174</v>
      </c>
      <c r="F2248" s="4">
        <f t="shared" si="153"/>
        <v>75.539999999999992</v>
      </c>
      <c r="G2248" s="5">
        <f t="shared" si="154"/>
        <v>0.30271699927867274</v>
      </c>
      <c r="H2248" s="2" t="s">
        <v>1580</v>
      </c>
      <c r="I2248" s="6" t="s">
        <v>69</v>
      </c>
      <c r="J2248" s="2" t="s">
        <v>1581</v>
      </c>
      <c r="K2248" s="2" t="s">
        <v>5</v>
      </c>
      <c r="L2248" s="2" t="s">
        <v>28</v>
      </c>
      <c r="M2248" s="2" t="s">
        <v>5</v>
      </c>
      <c r="N2248" s="4">
        <v>3163</v>
      </c>
    </row>
    <row r="2249" spans="1:14" x14ac:dyDescent="0.25">
      <c r="A2249" s="2" t="s">
        <v>1109</v>
      </c>
      <c r="B2249" s="2" t="s">
        <v>1110</v>
      </c>
      <c r="C2249" s="3">
        <v>1</v>
      </c>
      <c r="D2249" s="4">
        <v>41.96</v>
      </c>
      <c r="E2249" s="4">
        <v>29.3</v>
      </c>
      <c r="F2249" s="4">
        <f t="shared" si="153"/>
        <v>12.66</v>
      </c>
      <c r="G2249" s="5">
        <f t="shared" si="154"/>
        <v>0.30171591992373686</v>
      </c>
      <c r="H2249" s="2" t="s">
        <v>1580</v>
      </c>
      <c r="I2249" s="6" t="s">
        <v>69</v>
      </c>
      <c r="J2249" s="2" t="s">
        <v>1581</v>
      </c>
      <c r="K2249" s="2" t="s">
        <v>5</v>
      </c>
      <c r="L2249" s="2" t="s">
        <v>28</v>
      </c>
      <c r="M2249" s="2" t="s">
        <v>5</v>
      </c>
      <c r="N2249" s="4">
        <v>3163</v>
      </c>
    </row>
    <row r="2250" spans="1:14" x14ac:dyDescent="0.25">
      <c r="A2250" s="2" t="s">
        <v>1109</v>
      </c>
      <c r="B2250" s="2" t="s">
        <v>1110</v>
      </c>
      <c r="C2250" s="3">
        <v>2</v>
      </c>
      <c r="D2250" s="4">
        <v>83.92</v>
      </c>
      <c r="E2250" s="4">
        <v>58.6</v>
      </c>
      <c r="F2250" s="4">
        <f t="shared" si="153"/>
        <v>25.32</v>
      </c>
      <c r="G2250" s="5">
        <f t="shared" si="154"/>
        <v>0.30171591992373686</v>
      </c>
      <c r="H2250" s="2" t="s">
        <v>1582</v>
      </c>
      <c r="I2250" s="6" t="s">
        <v>32</v>
      </c>
      <c r="J2250" s="2" t="s">
        <v>1583</v>
      </c>
      <c r="K2250" s="2" t="s">
        <v>5</v>
      </c>
      <c r="L2250" s="2" t="s">
        <v>28</v>
      </c>
      <c r="M2250" s="2" t="s">
        <v>5</v>
      </c>
      <c r="N2250" s="4">
        <v>3571.52</v>
      </c>
    </row>
    <row r="2251" spans="1:14" x14ac:dyDescent="0.25">
      <c r="A2251" s="2" t="s">
        <v>1111</v>
      </c>
      <c r="B2251" s="2" t="s">
        <v>1112</v>
      </c>
      <c r="C2251" s="3">
        <v>1</v>
      </c>
      <c r="D2251" s="4">
        <v>41.66</v>
      </c>
      <c r="E2251" s="4">
        <v>29.08</v>
      </c>
      <c r="F2251" s="4">
        <f t="shared" si="153"/>
        <v>12.579999999999998</v>
      </c>
      <c r="G2251" s="5">
        <f t="shared" si="154"/>
        <v>0.30196831493038884</v>
      </c>
      <c r="H2251" s="2" t="s">
        <v>1580</v>
      </c>
      <c r="I2251" s="6" t="s">
        <v>69</v>
      </c>
      <c r="J2251" s="2" t="s">
        <v>1581</v>
      </c>
      <c r="K2251" s="2" t="s">
        <v>5</v>
      </c>
      <c r="L2251" s="2" t="s">
        <v>28</v>
      </c>
      <c r="M2251" s="2" t="s">
        <v>5</v>
      </c>
      <c r="N2251" s="4">
        <v>3163</v>
      </c>
    </row>
    <row r="2252" spans="1:14" x14ac:dyDescent="0.25">
      <c r="A2252" s="2" t="s">
        <v>1111</v>
      </c>
      <c r="B2252" s="2" t="s">
        <v>1112</v>
      </c>
      <c r="C2252" s="3">
        <v>1</v>
      </c>
      <c r="D2252" s="4">
        <v>41.66</v>
      </c>
      <c r="E2252" s="4">
        <v>29.08</v>
      </c>
      <c r="F2252" s="4">
        <f t="shared" si="153"/>
        <v>12.579999999999998</v>
      </c>
      <c r="G2252" s="5">
        <f t="shared" si="154"/>
        <v>0.30196831493038884</v>
      </c>
      <c r="H2252" s="2" t="s">
        <v>1582</v>
      </c>
      <c r="I2252" s="6" t="s">
        <v>32</v>
      </c>
      <c r="J2252" s="2" t="s">
        <v>1583</v>
      </c>
      <c r="K2252" s="2" t="s">
        <v>5</v>
      </c>
      <c r="L2252" s="2" t="s">
        <v>28</v>
      </c>
      <c r="M2252" s="2" t="s">
        <v>5</v>
      </c>
      <c r="N2252" s="4">
        <v>3571.52</v>
      </c>
    </row>
    <row r="2253" spans="1:14" x14ac:dyDescent="0.25">
      <c r="A2253" s="2" t="s">
        <v>1166</v>
      </c>
      <c r="B2253" s="2" t="s">
        <v>1167</v>
      </c>
      <c r="C2253" s="3">
        <v>8.14</v>
      </c>
      <c r="D2253" s="4">
        <v>147.2526</v>
      </c>
      <c r="E2253" s="4">
        <v>88.725999999999999</v>
      </c>
      <c r="F2253" s="4">
        <f t="shared" si="153"/>
        <v>58.526600000000002</v>
      </c>
      <c r="G2253" s="5">
        <f t="shared" si="154"/>
        <v>0.39745715865118852</v>
      </c>
      <c r="H2253" s="2" t="s">
        <v>1582</v>
      </c>
      <c r="I2253" s="6" t="s">
        <v>32</v>
      </c>
      <c r="J2253" s="2" t="s">
        <v>1583</v>
      </c>
      <c r="K2253" s="2" t="s">
        <v>5</v>
      </c>
      <c r="L2253" s="2" t="s">
        <v>28</v>
      </c>
      <c r="M2253" s="2" t="s">
        <v>5</v>
      </c>
      <c r="N2253" s="4">
        <v>3571.52</v>
      </c>
    </row>
    <row r="2254" spans="1:14" x14ac:dyDescent="0.25">
      <c r="A2254" s="2" t="s">
        <v>1168</v>
      </c>
      <c r="B2254" s="2" t="s">
        <v>1169</v>
      </c>
      <c r="C2254" s="3">
        <v>1</v>
      </c>
      <c r="D2254" s="4">
        <v>34.54</v>
      </c>
      <c r="E2254" s="4">
        <v>23.3</v>
      </c>
      <c r="F2254" s="4">
        <f t="shared" si="153"/>
        <v>11.239999999999998</v>
      </c>
      <c r="G2254" s="5">
        <f t="shared" si="154"/>
        <v>0.32541980312680946</v>
      </c>
      <c r="H2254" s="2" t="s">
        <v>1582</v>
      </c>
      <c r="I2254" s="6" t="s">
        <v>32</v>
      </c>
      <c r="J2254" s="2" t="s">
        <v>1583</v>
      </c>
      <c r="K2254" s="2" t="s">
        <v>5</v>
      </c>
      <c r="L2254" s="2" t="s">
        <v>28</v>
      </c>
      <c r="M2254" s="2" t="s">
        <v>5</v>
      </c>
      <c r="N2254" s="4">
        <v>3571.52</v>
      </c>
    </row>
    <row r="2255" spans="1:14" x14ac:dyDescent="0.25">
      <c r="A2255" s="2" t="s">
        <v>1170</v>
      </c>
      <c r="B2255" s="2" t="s">
        <v>1171</v>
      </c>
      <c r="C2255" s="3">
        <v>1</v>
      </c>
      <c r="D2255" s="4">
        <v>29.58</v>
      </c>
      <c r="E2255" s="4">
        <v>19.95</v>
      </c>
      <c r="F2255" s="4">
        <f t="shared" si="153"/>
        <v>9.629999999999999</v>
      </c>
      <c r="G2255" s="5">
        <f t="shared" si="154"/>
        <v>0.32555780933062878</v>
      </c>
      <c r="H2255" s="2" t="s">
        <v>1582</v>
      </c>
      <c r="I2255" s="6" t="s">
        <v>32</v>
      </c>
      <c r="J2255" s="2" t="s">
        <v>1583</v>
      </c>
      <c r="K2255" s="2" t="s">
        <v>5</v>
      </c>
      <c r="L2255" s="2" t="s">
        <v>28</v>
      </c>
      <c r="M2255" s="2" t="s">
        <v>5</v>
      </c>
      <c r="N2255" s="4">
        <v>3571.52</v>
      </c>
    </row>
    <row r="2256" spans="1:14" x14ac:dyDescent="0.25">
      <c r="A2256" s="2" t="s">
        <v>1113</v>
      </c>
      <c r="B2256" s="2" t="s">
        <v>1114</v>
      </c>
      <c r="C2256" s="3">
        <v>4</v>
      </c>
      <c r="D2256" s="4">
        <v>103.92</v>
      </c>
      <c r="E2256" s="4">
        <v>70</v>
      </c>
      <c r="F2256" s="4">
        <f t="shared" si="153"/>
        <v>33.92</v>
      </c>
      <c r="G2256" s="5">
        <f t="shared" si="154"/>
        <v>0.32640492686682065</v>
      </c>
      <c r="H2256" s="2" t="s">
        <v>1582</v>
      </c>
      <c r="I2256" s="6" t="s">
        <v>32</v>
      </c>
      <c r="J2256" s="2" t="s">
        <v>1583</v>
      </c>
      <c r="K2256" s="2" t="s">
        <v>5</v>
      </c>
      <c r="L2256" s="2" t="s">
        <v>28</v>
      </c>
      <c r="M2256" s="2" t="s">
        <v>5</v>
      </c>
      <c r="N2256" s="4">
        <v>3571.52</v>
      </c>
    </row>
    <row r="2257" spans="1:14" x14ac:dyDescent="0.25">
      <c r="A2257" s="2" t="s">
        <v>256</v>
      </c>
      <c r="B2257" s="2" t="s">
        <v>257</v>
      </c>
      <c r="C2257" s="3">
        <v>8</v>
      </c>
      <c r="D2257" s="4">
        <v>0</v>
      </c>
      <c r="E2257" s="4">
        <v>129.12</v>
      </c>
      <c r="F2257" s="4">
        <f t="shared" si="153"/>
        <v>-129.12</v>
      </c>
      <c r="G2257" s="5">
        <f t="shared" si="154"/>
        <v>0</v>
      </c>
      <c r="H2257" s="2" t="s">
        <v>1580</v>
      </c>
      <c r="I2257" s="6" t="s">
        <v>69</v>
      </c>
      <c r="J2257" s="2" t="s">
        <v>1581</v>
      </c>
      <c r="K2257" s="2" t="s">
        <v>5</v>
      </c>
      <c r="L2257" s="2" t="s">
        <v>28</v>
      </c>
      <c r="M2257" s="2" t="s">
        <v>5</v>
      </c>
      <c r="N2257" s="4">
        <v>3163</v>
      </c>
    </row>
    <row r="2258" spans="1:14" x14ac:dyDescent="0.25">
      <c r="A2258" s="2" t="s">
        <v>1117</v>
      </c>
      <c r="B2258" s="2" t="s">
        <v>1118</v>
      </c>
      <c r="C2258" s="3">
        <v>4</v>
      </c>
      <c r="D2258" s="4">
        <v>99.28</v>
      </c>
      <c r="E2258" s="4">
        <v>66.959999999999994</v>
      </c>
      <c r="F2258" s="4">
        <f t="shared" si="153"/>
        <v>32.320000000000007</v>
      </c>
      <c r="G2258" s="5">
        <f t="shared" si="154"/>
        <v>0.32554391619661571</v>
      </c>
      <c r="H2258" s="2" t="s">
        <v>1582</v>
      </c>
      <c r="I2258" s="6" t="s">
        <v>32</v>
      </c>
      <c r="J2258" s="2" t="s">
        <v>1583</v>
      </c>
      <c r="K2258" s="2" t="s">
        <v>5</v>
      </c>
      <c r="L2258" s="2" t="s">
        <v>28</v>
      </c>
      <c r="M2258" s="2" t="s">
        <v>5</v>
      </c>
      <c r="N2258" s="4">
        <v>3571.52</v>
      </c>
    </row>
    <row r="2259" spans="1:14" x14ac:dyDescent="0.25">
      <c r="A2259" s="2" t="s">
        <v>1172</v>
      </c>
      <c r="B2259" s="2" t="s">
        <v>1173</v>
      </c>
      <c r="C2259" s="3">
        <v>5</v>
      </c>
      <c r="D2259" s="4">
        <v>74.7</v>
      </c>
      <c r="E2259" s="4">
        <v>50.4</v>
      </c>
      <c r="F2259" s="4">
        <f t="shared" si="153"/>
        <v>24.300000000000004</v>
      </c>
      <c r="G2259" s="5">
        <f t="shared" si="154"/>
        <v>0.32530120481927716</v>
      </c>
      <c r="H2259" s="2" t="s">
        <v>1582</v>
      </c>
      <c r="I2259" s="6" t="s">
        <v>32</v>
      </c>
      <c r="J2259" s="2" t="s">
        <v>1583</v>
      </c>
      <c r="K2259" s="2" t="s">
        <v>5</v>
      </c>
      <c r="L2259" s="2" t="s">
        <v>28</v>
      </c>
      <c r="M2259" s="2" t="s">
        <v>5</v>
      </c>
      <c r="N2259" s="4">
        <v>3571.52</v>
      </c>
    </row>
    <row r="2260" spans="1:14" x14ac:dyDescent="0.25">
      <c r="A2260" s="2" t="s">
        <v>1174</v>
      </c>
      <c r="B2260" s="2" t="s">
        <v>1175</v>
      </c>
      <c r="C2260" s="3">
        <v>1</v>
      </c>
      <c r="D2260" s="4">
        <v>20.010000000000002</v>
      </c>
      <c r="E2260" s="4">
        <v>13.3</v>
      </c>
      <c r="F2260" s="4">
        <f t="shared" si="153"/>
        <v>6.7100000000000009</v>
      </c>
      <c r="G2260" s="5">
        <f t="shared" si="154"/>
        <v>0.33533233383308347</v>
      </c>
      <c r="H2260" s="2" t="s">
        <v>1582</v>
      </c>
      <c r="I2260" s="6" t="s">
        <v>32</v>
      </c>
      <c r="J2260" s="2" t="s">
        <v>1583</v>
      </c>
      <c r="K2260" s="2" t="s">
        <v>5</v>
      </c>
      <c r="L2260" s="2" t="s">
        <v>28</v>
      </c>
      <c r="M2260" s="2" t="s">
        <v>5</v>
      </c>
      <c r="N2260" s="4">
        <v>3571.52</v>
      </c>
    </row>
    <row r="2261" spans="1:14" x14ac:dyDescent="0.25">
      <c r="A2261" s="2" t="s">
        <v>1176</v>
      </c>
      <c r="B2261" s="2" t="s">
        <v>1177</v>
      </c>
      <c r="C2261" s="3">
        <v>6</v>
      </c>
      <c r="D2261" s="4">
        <v>97.74</v>
      </c>
      <c r="E2261" s="4">
        <v>62.4</v>
      </c>
      <c r="F2261" s="4">
        <f t="shared" si="153"/>
        <v>35.339999999999996</v>
      </c>
      <c r="G2261" s="5">
        <f t="shared" si="154"/>
        <v>0.36157151626764883</v>
      </c>
      <c r="H2261" s="2" t="s">
        <v>1582</v>
      </c>
      <c r="I2261" s="6" t="s">
        <v>32</v>
      </c>
      <c r="J2261" s="2" t="s">
        <v>1583</v>
      </c>
      <c r="K2261" s="2" t="s">
        <v>5</v>
      </c>
      <c r="L2261" s="2" t="s">
        <v>28</v>
      </c>
      <c r="M2261" s="2" t="s">
        <v>5</v>
      </c>
      <c r="N2261" s="4">
        <v>3571.52</v>
      </c>
    </row>
    <row r="2262" spans="1:14" x14ac:dyDescent="0.25">
      <c r="A2262" s="2" t="s">
        <v>1176</v>
      </c>
      <c r="B2262" s="2" t="s">
        <v>1177</v>
      </c>
      <c r="C2262" s="3">
        <v>6</v>
      </c>
      <c r="D2262" s="4">
        <v>97.74</v>
      </c>
      <c r="E2262" s="4">
        <v>62.4</v>
      </c>
      <c r="F2262" s="4">
        <f t="shared" si="153"/>
        <v>35.339999999999996</v>
      </c>
      <c r="G2262" s="5">
        <f t="shared" si="154"/>
        <v>0.36157151626764883</v>
      </c>
      <c r="H2262" s="2" t="s">
        <v>1580</v>
      </c>
      <c r="I2262" s="6" t="s">
        <v>69</v>
      </c>
      <c r="J2262" s="2" t="s">
        <v>1581</v>
      </c>
      <c r="K2262" s="2" t="s">
        <v>5</v>
      </c>
      <c r="L2262" s="2" t="s">
        <v>28</v>
      </c>
      <c r="M2262" s="2" t="s">
        <v>5</v>
      </c>
      <c r="N2262" s="4">
        <v>3163</v>
      </c>
    </row>
    <row r="2263" spans="1:14" x14ac:dyDescent="0.25">
      <c r="A2263" s="2" t="s">
        <v>1119</v>
      </c>
      <c r="B2263" s="2" t="s">
        <v>1120</v>
      </c>
      <c r="C2263" s="3">
        <v>1</v>
      </c>
      <c r="D2263" s="4">
        <v>53</v>
      </c>
      <c r="E2263" s="4">
        <v>35.75</v>
      </c>
      <c r="F2263" s="4">
        <f t="shared" si="153"/>
        <v>17.25</v>
      </c>
      <c r="G2263" s="5">
        <f t="shared" si="154"/>
        <v>0.32547169811320753</v>
      </c>
      <c r="H2263" s="2" t="s">
        <v>1582</v>
      </c>
      <c r="I2263" s="6" t="s">
        <v>32</v>
      </c>
      <c r="J2263" s="2" t="s">
        <v>1583</v>
      </c>
      <c r="K2263" s="2" t="s">
        <v>5</v>
      </c>
      <c r="L2263" s="2" t="s">
        <v>28</v>
      </c>
      <c r="M2263" s="2" t="s">
        <v>5</v>
      </c>
      <c r="N2263" s="4">
        <v>3571.52</v>
      </c>
    </row>
    <row r="2264" spans="1:14" x14ac:dyDescent="0.25">
      <c r="A2264" s="2" t="s">
        <v>1119</v>
      </c>
      <c r="B2264" s="2" t="s">
        <v>1120</v>
      </c>
      <c r="C2264" s="3">
        <v>1</v>
      </c>
      <c r="D2264" s="4">
        <v>53</v>
      </c>
      <c r="E2264" s="4">
        <v>35.75</v>
      </c>
      <c r="F2264" s="4">
        <f t="shared" si="153"/>
        <v>17.25</v>
      </c>
      <c r="G2264" s="5">
        <f t="shared" si="154"/>
        <v>0.32547169811320753</v>
      </c>
      <c r="H2264" s="2" t="s">
        <v>1580</v>
      </c>
      <c r="I2264" s="6" t="s">
        <v>69</v>
      </c>
      <c r="J2264" s="2" t="s">
        <v>1581</v>
      </c>
      <c r="K2264" s="2" t="s">
        <v>5</v>
      </c>
      <c r="L2264" s="2" t="s">
        <v>28</v>
      </c>
      <c r="M2264" s="2" t="s">
        <v>5</v>
      </c>
      <c r="N2264" s="4">
        <v>3163</v>
      </c>
    </row>
    <row r="2265" spans="1:14" x14ac:dyDescent="0.25">
      <c r="A2265" s="2" t="s">
        <v>1121</v>
      </c>
      <c r="B2265" s="2" t="s">
        <v>1122</v>
      </c>
      <c r="C2265" s="3">
        <v>1</v>
      </c>
      <c r="D2265" s="4">
        <v>61.53</v>
      </c>
      <c r="E2265" s="4">
        <v>41.5</v>
      </c>
      <c r="F2265" s="4">
        <f t="shared" si="153"/>
        <v>20.03</v>
      </c>
      <c r="G2265" s="5">
        <f t="shared" si="154"/>
        <v>0.32553226068584434</v>
      </c>
      <c r="H2265" s="2" t="s">
        <v>1580</v>
      </c>
      <c r="I2265" s="6" t="s">
        <v>69</v>
      </c>
      <c r="J2265" s="2" t="s">
        <v>1581</v>
      </c>
      <c r="K2265" s="2" t="s">
        <v>5</v>
      </c>
      <c r="L2265" s="2" t="s">
        <v>28</v>
      </c>
      <c r="M2265" s="2" t="s">
        <v>5</v>
      </c>
      <c r="N2265" s="4">
        <v>3163</v>
      </c>
    </row>
    <row r="2266" spans="1:14" x14ac:dyDescent="0.25">
      <c r="A2266" s="2" t="s">
        <v>1121</v>
      </c>
      <c r="B2266" s="2" t="s">
        <v>1122</v>
      </c>
      <c r="C2266" s="3">
        <v>1</v>
      </c>
      <c r="D2266" s="4">
        <v>61.53</v>
      </c>
      <c r="E2266" s="4">
        <v>41.5</v>
      </c>
      <c r="F2266" s="4">
        <f t="shared" si="153"/>
        <v>20.03</v>
      </c>
      <c r="G2266" s="5">
        <f t="shared" si="154"/>
        <v>0.32553226068584434</v>
      </c>
      <c r="H2266" s="2" t="s">
        <v>1582</v>
      </c>
      <c r="I2266" s="6" t="s">
        <v>32</v>
      </c>
      <c r="J2266" s="2" t="s">
        <v>1583</v>
      </c>
      <c r="K2266" s="2" t="s">
        <v>5</v>
      </c>
      <c r="L2266" s="2" t="s">
        <v>28</v>
      </c>
      <c r="M2266" s="2" t="s">
        <v>5</v>
      </c>
      <c r="N2266" s="4">
        <v>3571.52</v>
      </c>
    </row>
    <row r="2268" spans="1:14" x14ac:dyDescent="0.25">
      <c r="A2268" s="13" t="s">
        <v>59</v>
      </c>
      <c r="B2268" s="21"/>
      <c r="C2268" s="22">
        <f>SUM(C2209:C2267)</f>
        <v>227.14</v>
      </c>
      <c r="D2268" s="23">
        <f>SUM(D2209:D2267)</f>
        <v>6663.8625999999986</v>
      </c>
      <c r="E2268" s="23">
        <f>SUM(E2209:E2267)</f>
        <v>4658.5659999999989</v>
      </c>
      <c r="F2268" s="23">
        <f>D2268-E2268</f>
        <v>2005.2965999999997</v>
      </c>
      <c r="G2268" s="24">
        <f>IF(((D2268)=0),0,(D2268-E2268)/ D2268)</f>
        <v>0.30092106040721789</v>
      </c>
      <c r="H2268" s="21"/>
      <c r="I2268" s="21"/>
      <c r="J2268" s="21"/>
      <c r="K2268" s="21"/>
      <c r="L2268" s="21"/>
      <c r="M2268" s="21"/>
      <c r="N2268" s="21"/>
    </row>
    <row r="2270" spans="1:14" s="17" customFormat="1" ht="18.75" x14ac:dyDescent="0.3"/>
    <row r="2271" spans="1:14" s="7" customFormat="1" x14ac:dyDescent="0.25">
      <c r="A2271" s="13" t="s">
        <v>1588</v>
      </c>
      <c r="B2271" s="18" t="s">
        <v>1589</v>
      </c>
      <c r="C2271" s="19"/>
      <c r="D2271" s="20" t="s">
        <v>5</v>
      </c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</row>
    <row r="2273" spans="1:14" x14ac:dyDescent="0.25">
      <c r="A2273" s="2" t="s">
        <v>203</v>
      </c>
      <c r="B2273" s="2" t="s">
        <v>204</v>
      </c>
      <c r="C2273" s="3">
        <v>63.16</v>
      </c>
      <c r="D2273" s="4">
        <v>879.81880000000001</v>
      </c>
      <c r="E2273" s="4">
        <v>315.8</v>
      </c>
      <c r="F2273" s="4">
        <f t="shared" ref="F2273:F2278" si="155">D2273-E2273</f>
        <v>564.01880000000006</v>
      </c>
      <c r="G2273" s="5">
        <f t="shared" ref="G2273:G2278" si="156">IF(((D2273)=0),0,(D2273-E2273)/ D2273)</f>
        <v>0.64106245513280691</v>
      </c>
      <c r="H2273" s="2" t="s">
        <v>1590</v>
      </c>
      <c r="I2273" s="6" t="s">
        <v>39</v>
      </c>
      <c r="J2273" s="2" t="s">
        <v>1591</v>
      </c>
      <c r="K2273" s="2" t="s">
        <v>5</v>
      </c>
      <c r="L2273" s="2" t="s">
        <v>28</v>
      </c>
      <c r="M2273" s="2" t="s">
        <v>5</v>
      </c>
      <c r="N2273" s="4">
        <v>2004.08</v>
      </c>
    </row>
    <row r="2274" spans="1:14" x14ac:dyDescent="0.25">
      <c r="A2274" s="2" t="s">
        <v>45</v>
      </c>
      <c r="B2274" s="2" t="s">
        <v>46</v>
      </c>
      <c r="C2274" s="3">
        <v>76.599999999999994</v>
      </c>
      <c r="D2274" s="4">
        <v>954.43600000000004</v>
      </c>
      <c r="E2274" s="4">
        <v>559.17999999999995</v>
      </c>
      <c r="F2274" s="4">
        <f t="shared" si="155"/>
        <v>395.25600000000009</v>
      </c>
      <c r="G2274" s="5">
        <f t="shared" si="156"/>
        <v>0.41412520064205466</v>
      </c>
      <c r="H2274" s="2" t="s">
        <v>1592</v>
      </c>
      <c r="I2274" s="6" t="s">
        <v>25</v>
      </c>
      <c r="J2274" s="2" t="s">
        <v>1593</v>
      </c>
      <c r="K2274" s="2" t="s">
        <v>5</v>
      </c>
      <c r="L2274" s="2" t="s">
        <v>28</v>
      </c>
      <c r="M2274" s="2" t="s">
        <v>5</v>
      </c>
      <c r="N2274" s="4">
        <v>1386.13</v>
      </c>
    </row>
    <row r="2275" spans="1:14" x14ac:dyDescent="0.25">
      <c r="A2275" s="2" t="s">
        <v>45</v>
      </c>
      <c r="B2275" s="2" t="s">
        <v>46</v>
      </c>
      <c r="C2275" s="3">
        <v>30.19</v>
      </c>
      <c r="D2275" s="4">
        <v>376.16739999999999</v>
      </c>
      <c r="E2275" s="4">
        <v>220.387</v>
      </c>
      <c r="F2275" s="4">
        <f t="shared" si="155"/>
        <v>155.78039999999999</v>
      </c>
      <c r="G2275" s="5">
        <f t="shared" si="156"/>
        <v>0.41412520064205455</v>
      </c>
      <c r="H2275" s="2" t="s">
        <v>1594</v>
      </c>
      <c r="I2275" s="6" t="s">
        <v>32</v>
      </c>
      <c r="J2275" s="2" t="s">
        <v>1595</v>
      </c>
      <c r="K2275" s="2" t="s">
        <v>5</v>
      </c>
      <c r="L2275" s="2" t="s">
        <v>28</v>
      </c>
      <c r="M2275" s="2" t="s">
        <v>5</v>
      </c>
      <c r="N2275" s="4">
        <v>817.47</v>
      </c>
    </row>
    <row r="2276" spans="1:14" x14ac:dyDescent="0.25">
      <c r="A2276" s="2" t="s">
        <v>45</v>
      </c>
      <c r="B2276" s="2" t="s">
        <v>46</v>
      </c>
      <c r="C2276" s="3">
        <v>90.23</v>
      </c>
      <c r="D2276" s="4">
        <v>1124.2657999999999</v>
      </c>
      <c r="E2276" s="4">
        <v>658.67899999999997</v>
      </c>
      <c r="F2276" s="4">
        <f t="shared" si="155"/>
        <v>465.58679999999993</v>
      </c>
      <c r="G2276" s="5">
        <f t="shared" si="156"/>
        <v>0.41412520064205455</v>
      </c>
      <c r="H2276" s="2" t="s">
        <v>1590</v>
      </c>
      <c r="I2276" s="6" t="s">
        <v>39</v>
      </c>
      <c r="J2276" s="2" t="s">
        <v>1591</v>
      </c>
      <c r="K2276" s="2" t="s">
        <v>5</v>
      </c>
      <c r="L2276" s="2" t="s">
        <v>28</v>
      </c>
      <c r="M2276" s="2" t="s">
        <v>5</v>
      </c>
      <c r="N2276" s="4">
        <v>2004.08</v>
      </c>
    </row>
    <row r="2277" spans="1:14" x14ac:dyDescent="0.25">
      <c r="A2277" s="2" t="s">
        <v>152</v>
      </c>
      <c r="B2277" s="2" t="s">
        <v>153</v>
      </c>
      <c r="C2277" s="3">
        <v>30.99</v>
      </c>
      <c r="D2277" s="4">
        <v>431.69069999999999</v>
      </c>
      <c r="E2277" s="4">
        <v>213.83099999999999</v>
      </c>
      <c r="F2277" s="4">
        <f t="shared" si="155"/>
        <v>217.8597</v>
      </c>
      <c r="G2277" s="5">
        <f t="shared" si="156"/>
        <v>0.50466618808327357</v>
      </c>
      <c r="H2277" s="2" t="s">
        <v>1592</v>
      </c>
      <c r="I2277" s="6" t="s">
        <v>25</v>
      </c>
      <c r="J2277" s="2" t="s">
        <v>1593</v>
      </c>
      <c r="K2277" s="2" t="s">
        <v>5</v>
      </c>
      <c r="L2277" s="2" t="s">
        <v>28</v>
      </c>
      <c r="M2277" s="2" t="s">
        <v>5</v>
      </c>
      <c r="N2277" s="4">
        <v>1386.13</v>
      </c>
    </row>
    <row r="2278" spans="1:14" x14ac:dyDescent="0.25">
      <c r="A2278" s="2" t="s">
        <v>152</v>
      </c>
      <c r="B2278" s="2" t="s">
        <v>153</v>
      </c>
      <c r="C2278" s="3">
        <v>31.68</v>
      </c>
      <c r="D2278" s="4">
        <v>441.30239999999998</v>
      </c>
      <c r="E2278" s="4">
        <v>218.59200000000001</v>
      </c>
      <c r="F2278" s="4">
        <f t="shared" si="155"/>
        <v>222.71039999999996</v>
      </c>
      <c r="G2278" s="5">
        <f t="shared" si="156"/>
        <v>0.50466618808327346</v>
      </c>
      <c r="H2278" s="2" t="s">
        <v>1594</v>
      </c>
      <c r="I2278" s="6" t="s">
        <v>32</v>
      </c>
      <c r="J2278" s="2" t="s">
        <v>1595</v>
      </c>
      <c r="K2278" s="2" t="s">
        <v>5</v>
      </c>
      <c r="L2278" s="2" t="s">
        <v>28</v>
      </c>
      <c r="M2278" s="2" t="s">
        <v>5</v>
      </c>
      <c r="N2278" s="4">
        <v>817.47</v>
      </c>
    </row>
    <row r="2280" spans="1:14" x14ac:dyDescent="0.25">
      <c r="A2280" s="13" t="s">
        <v>59</v>
      </c>
      <c r="B2280" s="21"/>
      <c r="C2280" s="22">
        <f>SUM(C2270:C2279)</f>
        <v>322.85000000000002</v>
      </c>
      <c r="D2280" s="23">
        <f>SUM(D2270:D2279)</f>
        <v>4207.6810999999998</v>
      </c>
      <c r="E2280" s="23">
        <f>SUM(E2270:E2279)</f>
        <v>2186.4689999999996</v>
      </c>
      <c r="F2280" s="23">
        <f>D2280-E2280</f>
        <v>2021.2121000000002</v>
      </c>
      <c r="G2280" s="24">
        <f>IF(((D2280)=0),0,(D2280-E2280)/ D2280)</f>
        <v>0.48036247328724613</v>
      </c>
      <c r="H2280" s="21"/>
      <c r="I2280" s="21"/>
      <c r="J2280" s="21"/>
      <c r="K2280" s="21"/>
      <c r="L2280" s="21"/>
      <c r="M2280" s="21"/>
      <c r="N2280" s="21"/>
    </row>
    <row r="2282" spans="1:14" s="17" customFormat="1" ht="18.75" x14ac:dyDescent="0.3"/>
    <row r="2283" spans="1:14" s="7" customFormat="1" x14ac:dyDescent="0.25">
      <c r="A2283" s="13" t="s">
        <v>1596</v>
      </c>
      <c r="B2283" s="18" t="s">
        <v>1597</v>
      </c>
      <c r="C2283" s="19"/>
      <c r="D2283" s="20" t="s">
        <v>5</v>
      </c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</row>
    <row r="2285" spans="1:14" x14ac:dyDescent="0.25">
      <c r="A2285" s="2" t="s">
        <v>260</v>
      </c>
      <c r="B2285" s="2" t="s">
        <v>261</v>
      </c>
      <c r="C2285" s="3">
        <v>80</v>
      </c>
      <c r="D2285" s="4">
        <v>1411.2</v>
      </c>
      <c r="E2285" s="4">
        <v>800</v>
      </c>
      <c r="F2285" s="4">
        <f t="shared" ref="F2285:F2302" si="157">D2285-E2285</f>
        <v>611.20000000000005</v>
      </c>
      <c r="G2285" s="5">
        <f t="shared" ref="G2285:G2302" si="158">IF(((D2285)=0),0,(D2285-E2285)/ D2285)</f>
        <v>0.43310657596371882</v>
      </c>
      <c r="H2285" s="2" t="s">
        <v>1598</v>
      </c>
      <c r="I2285" s="6" t="s">
        <v>74</v>
      </c>
      <c r="J2285" s="2" t="s">
        <v>1599</v>
      </c>
      <c r="K2285" s="2" t="s">
        <v>1600</v>
      </c>
      <c r="L2285" s="2" t="s">
        <v>28</v>
      </c>
      <c r="M2285" s="2" t="s">
        <v>5</v>
      </c>
      <c r="N2285" s="4">
        <v>11097.61</v>
      </c>
    </row>
    <row r="2286" spans="1:14" x14ac:dyDescent="0.25">
      <c r="A2286" s="2" t="s">
        <v>270</v>
      </c>
      <c r="B2286" s="2" t="s">
        <v>271</v>
      </c>
      <c r="C2286" s="3">
        <v>92.3</v>
      </c>
      <c r="D2286" s="4">
        <v>1629.095</v>
      </c>
      <c r="E2286" s="4">
        <v>1015.3</v>
      </c>
      <c r="F2286" s="4">
        <f t="shared" si="157"/>
        <v>613.79500000000007</v>
      </c>
      <c r="G2286" s="5">
        <f t="shared" si="158"/>
        <v>0.37677053824362611</v>
      </c>
      <c r="H2286" s="2" t="s">
        <v>1598</v>
      </c>
      <c r="I2286" s="6" t="s">
        <v>74</v>
      </c>
      <c r="J2286" s="2" t="s">
        <v>1599</v>
      </c>
      <c r="K2286" s="2" t="s">
        <v>1600</v>
      </c>
      <c r="L2286" s="2" t="s">
        <v>28</v>
      </c>
      <c r="M2286" s="2" t="s">
        <v>5</v>
      </c>
      <c r="N2286" s="4">
        <v>11097.61</v>
      </c>
    </row>
    <row r="2287" spans="1:14" x14ac:dyDescent="0.25">
      <c r="A2287" s="2" t="s">
        <v>272</v>
      </c>
      <c r="B2287" s="2" t="s">
        <v>273</v>
      </c>
      <c r="C2287" s="3">
        <v>20.285</v>
      </c>
      <c r="D2287" s="4">
        <v>318.06880000000001</v>
      </c>
      <c r="E2287" s="4">
        <v>247.477</v>
      </c>
      <c r="F2287" s="4">
        <f t="shared" si="157"/>
        <v>70.591800000000006</v>
      </c>
      <c r="G2287" s="5">
        <f t="shared" si="158"/>
        <v>0.22193877551020411</v>
      </c>
      <c r="H2287" s="2" t="s">
        <v>1598</v>
      </c>
      <c r="I2287" s="6" t="s">
        <v>74</v>
      </c>
      <c r="J2287" s="2" t="s">
        <v>1599</v>
      </c>
      <c r="K2287" s="2" t="s">
        <v>1600</v>
      </c>
      <c r="L2287" s="2" t="s">
        <v>28</v>
      </c>
      <c r="M2287" s="2" t="s">
        <v>5</v>
      </c>
      <c r="N2287" s="4">
        <v>11097.61</v>
      </c>
    </row>
    <row r="2288" spans="1:14" x14ac:dyDescent="0.25">
      <c r="A2288" s="2" t="s">
        <v>850</v>
      </c>
      <c r="B2288" s="2" t="s">
        <v>851</v>
      </c>
      <c r="C2288" s="3">
        <v>60</v>
      </c>
      <c r="D2288" s="4">
        <v>472.2</v>
      </c>
      <c r="E2288" s="4">
        <v>285</v>
      </c>
      <c r="F2288" s="4">
        <f t="shared" si="157"/>
        <v>187.2</v>
      </c>
      <c r="G2288" s="5">
        <f t="shared" si="158"/>
        <v>0.39644218551461241</v>
      </c>
      <c r="H2288" s="2" t="s">
        <v>1598</v>
      </c>
      <c r="I2288" s="6" t="s">
        <v>74</v>
      </c>
      <c r="J2288" s="2" t="s">
        <v>1599</v>
      </c>
      <c r="K2288" s="2" t="s">
        <v>1600</v>
      </c>
      <c r="L2288" s="2" t="s">
        <v>28</v>
      </c>
      <c r="M2288" s="2" t="s">
        <v>5</v>
      </c>
      <c r="N2288" s="4">
        <v>11097.61</v>
      </c>
    </row>
    <row r="2289" spans="1:14" x14ac:dyDescent="0.25">
      <c r="A2289" s="2" t="s">
        <v>274</v>
      </c>
      <c r="B2289" s="2" t="s">
        <v>275</v>
      </c>
      <c r="C2289" s="3">
        <v>40</v>
      </c>
      <c r="D2289" s="4">
        <v>644.4</v>
      </c>
      <c r="E2289" s="4">
        <v>144</v>
      </c>
      <c r="F2289" s="4">
        <f t="shared" si="157"/>
        <v>500.4</v>
      </c>
      <c r="G2289" s="5">
        <f t="shared" si="158"/>
        <v>0.77653631284916202</v>
      </c>
      <c r="H2289" s="2" t="s">
        <v>1598</v>
      </c>
      <c r="I2289" s="6" t="s">
        <v>74</v>
      </c>
      <c r="J2289" s="2" t="s">
        <v>1599</v>
      </c>
      <c r="K2289" s="2" t="s">
        <v>1600</v>
      </c>
      <c r="L2289" s="2" t="s">
        <v>28</v>
      </c>
      <c r="M2289" s="2" t="s">
        <v>5</v>
      </c>
      <c r="N2289" s="4">
        <v>11097.61</v>
      </c>
    </row>
    <row r="2290" spans="1:14" x14ac:dyDescent="0.25">
      <c r="A2290" s="2" t="s">
        <v>276</v>
      </c>
      <c r="B2290" s="2" t="s">
        <v>277</v>
      </c>
      <c r="C2290" s="3">
        <v>15.13</v>
      </c>
      <c r="D2290" s="4">
        <v>261.44639999999998</v>
      </c>
      <c r="E2290" s="4">
        <v>75.650000000000006</v>
      </c>
      <c r="F2290" s="4">
        <f t="shared" si="157"/>
        <v>185.79639999999998</v>
      </c>
      <c r="G2290" s="5">
        <f t="shared" si="158"/>
        <v>0.71064814814814814</v>
      </c>
      <c r="H2290" s="2" t="s">
        <v>1598</v>
      </c>
      <c r="I2290" s="6" t="s">
        <v>74</v>
      </c>
      <c r="J2290" s="2" t="s">
        <v>1599</v>
      </c>
      <c r="K2290" s="2" t="s">
        <v>1600</v>
      </c>
      <c r="L2290" s="2" t="s">
        <v>28</v>
      </c>
      <c r="M2290" s="2" t="s">
        <v>5</v>
      </c>
      <c r="N2290" s="4">
        <v>11097.61</v>
      </c>
    </row>
    <row r="2291" spans="1:14" x14ac:dyDescent="0.25">
      <c r="A2291" s="2" t="s">
        <v>1309</v>
      </c>
      <c r="B2291" s="2" t="s">
        <v>1310</v>
      </c>
      <c r="C2291" s="3">
        <v>14.71</v>
      </c>
      <c r="D2291" s="4">
        <v>167.54689999999999</v>
      </c>
      <c r="E2291" s="4">
        <v>179.46199999999999</v>
      </c>
      <c r="F2291" s="4">
        <f t="shared" si="157"/>
        <v>-11.915099999999995</v>
      </c>
      <c r="G2291" s="5">
        <f t="shared" si="158"/>
        <v>-7.1115013169446864E-2</v>
      </c>
      <c r="H2291" s="2" t="s">
        <v>1598</v>
      </c>
      <c r="I2291" s="6" t="s">
        <v>74</v>
      </c>
      <c r="J2291" s="2" t="s">
        <v>1599</v>
      </c>
      <c r="K2291" s="2" t="s">
        <v>1600</v>
      </c>
      <c r="L2291" s="2" t="s">
        <v>28</v>
      </c>
      <c r="M2291" s="2" t="s">
        <v>5</v>
      </c>
      <c r="N2291" s="4">
        <v>11097.61</v>
      </c>
    </row>
    <row r="2292" spans="1:14" x14ac:dyDescent="0.25">
      <c r="A2292" s="2" t="s">
        <v>754</v>
      </c>
      <c r="B2292" s="2" t="s">
        <v>755</v>
      </c>
      <c r="C2292" s="3">
        <v>5</v>
      </c>
      <c r="D2292" s="4">
        <v>116.45</v>
      </c>
      <c r="E2292" s="4">
        <v>64.099999999999994</v>
      </c>
      <c r="F2292" s="4">
        <f t="shared" si="157"/>
        <v>52.350000000000009</v>
      </c>
      <c r="G2292" s="5">
        <f t="shared" si="158"/>
        <v>0.44954916273078582</v>
      </c>
      <c r="H2292" s="2" t="s">
        <v>1598</v>
      </c>
      <c r="I2292" s="6" t="s">
        <v>74</v>
      </c>
      <c r="J2292" s="2" t="s">
        <v>1599</v>
      </c>
      <c r="K2292" s="2" t="s">
        <v>1600</v>
      </c>
      <c r="L2292" s="2" t="s">
        <v>28</v>
      </c>
      <c r="M2292" s="2" t="s">
        <v>5</v>
      </c>
      <c r="N2292" s="4">
        <v>11097.61</v>
      </c>
    </row>
    <row r="2293" spans="1:14" x14ac:dyDescent="0.25">
      <c r="A2293" s="2" t="s">
        <v>1332</v>
      </c>
      <c r="B2293" s="2" t="s">
        <v>1333</v>
      </c>
      <c r="C2293" s="3">
        <v>63.05</v>
      </c>
      <c r="D2293" s="4">
        <v>972.23099999999999</v>
      </c>
      <c r="E2293" s="4">
        <v>460.26499999999999</v>
      </c>
      <c r="F2293" s="4">
        <f t="shared" si="157"/>
        <v>511.96600000000001</v>
      </c>
      <c r="G2293" s="5">
        <f t="shared" si="158"/>
        <v>0.52658884565499353</v>
      </c>
      <c r="H2293" s="2" t="s">
        <v>1598</v>
      </c>
      <c r="I2293" s="6" t="s">
        <v>74</v>
      </c>
      <c r="J2293" s="2" t="s">
        <v>1599</v>
      </c>
      <c r="K2293" s="2" t="s">
        <v>1600</v>
      </c>
      <c r="L2293" s="2" t="s">
        <v>28</v>
      </c>
      <c r="M2293" s="2" t="s">
        <v>5</v>
      </c>
      <c r="N2293" s="4">
        <v>11097.61</v>
      </c>
    </row>
    <row r="2294" spans="1:14" x14ac:dyDescent="0.25">
      <c r="A2294" s="2" t="s">
        <v>284</v>
      </c>
      <c r="B2294" s="2" t="s">
        <v>285</v>
      </c>
      <c r="C2294" s="3">
        <v>29.55</v>
      </c>
      <c r="D2294" s="4">
        <v>160.45650000000001</v>
      </c>
      <c r="E2294" s="4">
        <v>73.875</v>
      </c>
      <c r="F2294" s="4">
        <f t="shared" si="157"/>
        <v>86.581500000000005</v>
      </c>
      <c r="G2294" s="5">
        <f t="shared" si="158"/>
        <v>0.53959484346224684</v>
      </c>
      <c r="H2294" s="2" t="s">
        <v>1598</v>
      </c>
      <c r="I2294" s="6" t="s">
        <v>74</v>
      </c>
      <c r="J2294" s="2" t="s">
        <v>1599</v>
      </c>
      <c r="K2294" s="2" t="s">
        <v>1600</v>
      </c>
      <c r="L2294" s="2" t="s">
        <v>28</v>
      </c>
      <c r="M2294" s="2" t="s">
        <v>5</v>
      </c>
      <c r="N2294" s="4">
        <v>11097.61</v>
      </c>
    </row>
    <row r="2295" spans="1:14" x14ac:dyDescent="0.25">
      <c r="A2295" s="2" t="s">
        <v>286</v>
      </c>
      <c r="B2295" s="2" t="s">
        <v>287</v>
      </c>
      <c r="C2295" s="3">
        <v>12.02</v>
      </c>
      <c r="D2295" s="4">
        <v>169.8426</v>
      </c>
      <c r="E2295" s="4">
        <v>99.645799999999994</v>
      </c>
      <c r="F2295" s="4">
        <f t="shared" si="157"/>
        <v>70.19680000000001</v>
      </c>
      <c r="G2295" s="5">
        <f t="shared" si="158"/>
        <v>0.41330502476999298</v>
      </c>
      <c r="H2295" s="2" t="s">
        <v>1598</v>
      </c>
      <c r="I2295" s="6" t="s">
        <v>74</v>
      </c>
      <c r="J2295" s="2" t="s">
        <v>1599</v>
      </c>
      <c r="K2295" s="2" t="s">
        <v>1600</v>
      </c>
      <c r="L2295" s="2" t="s">
        <v>28</v>
      </c>
      <c r="M2295" s="2" t="s">
        <v>5</v>
      </c>
      <c r="N2295" s="4">
        <v>11097.61</v>
      </c>
    </row>
    <row r="2296" spans="1:14" x14ac:dyDescent="0.25">
      <c r="A2296" s="2" t="s">
        <v>290</v>
      </c>
      <c r="B2296" s="2" t="s">
        <v>291</v>
      </c>
      <c r="C2296" s="3">
        <v>16</v>
      </c>
      <c r="D2296" s="4">
        <v>370.08</v>
      </c>
      <c r="E2296" s="4">
        <v>260</v>
      </c>
      <c r="F2296" s="4">
        <f t="shared" si="157"/>
        <v>110.07999999999998</v>
      </c>
      <c r="G2296" s="5">
        <f t="shared" si="158"/>
        <v>0.29744920017293552</v>
      </c>
      <c r="H2296" s="2" t="s">
        <v>1598</v>
      </c>
      <c r="I2296" s="6" t="s">
        <v>74</v>
      </c>
      <c r="J2296" s="2" t="s">
        <v>1599</v>
      </c>
      <c r="K2296" s="2" t="s">
        <v>1600</v>
      </c>
      <c r="L2296" s="2" t="s">
        <v>28</v>
      </c>
      <c r="M2296" s="2" t="s">
        <v>5</v>
      </c>
      <c r="N2296" s="4">
        <v>11097.61</v>
      </c>
    </row>
    <row r="2297" spans="1:14" x14ac:dyDescent="0.25">
      <c r="A2297" s="2" t="s">
        <v>292</v>
      </c>
      <c r="B2297" s="2" t="s">
        <v>293</v>
      </c>
      <c r="C2297" s="3">
        <v>66.819999999999993</v>
      </c>
      <c r="D2297" s="4">
        <v>1362.4598000000001</v>
      </c>
      <c r="E2297" s="4">
        <v>1102.53</v>
      </c>
      <c r="F2297" s="4">
        <f t="shared" si="157"/>
        <v>259.92980000000011</v>
      </c>
      <c r="G2297" s="5">
        <f t="shared" si="158"/>
        <v>0.19077979401667491</v>
      </c>
      <c r="H2297" s="2" t="s">
        <v>1598</v>
      </c>
      <c r="I2297" s="6" t="s">
        <v>74</v>
      </c>
      <c r="J2297" s="2" t="s">
        <v>1599</v>
      </c>
      <c r="K2297" s="2" t="s">
        <v>1600</v>
      </c>
      <c r="L2297" s="2" t="s">
        <v>28</v>
      </c>
      <c r="M2297" s="2" t="s">
        <v>5</v>
      </c>
      <c r="N2297" s="4">
        <v>11097.61</v>
      </c>
    </row>
    <row r="2298" spans="1:14" x14ac:dyDescent="0.25">
      <c r="A2298" s="2" t="s">
        <v>768</v>
      </c>
      <c r="B2298" s="2" t="s">
        <v>769</v>
      </c>
      <c r="C2298" s="3">
        <v>53.86</v>
      </c>
      <c r="D2298" s="4">
        <v>950.62900000000002</v>
      </c>
      <c r="E2298" s="4">
        <v>592.46</v>
      </c>
      <c r="F2298" s="4">
        <f t="shared" si="157"/>
        <v>358.16899999999998</v>
      </c>
      <c r="G2298" s="5">
        <f t="shared" si="158"/>
        <v>0.37677053824362605</v>
      </c>
      <c r="H2298" s="2" t="s">
        <v>1598</v>
      </c>
      <c r="I2298" s="6" t="s">
        <v>74</v>
      </c>
      <c r="J2298" s="2" t="s">
        <v>1599</v>
      </c>
      <c r="K2298" s="2" t="s">
        <v>1600</v>
      </c>
      <c r="L2298" s="2" t="s">
        <v>28</v>
      </c>
      <c r="M2298" s="2" t="s">
        <v>5</v>
      </c>
      <c r="N2298" s="4">
        <v>11097.61</v>
      </c>
    </row>
    <row r="2299" spans="1:14" x14ac:dyDescent="0.25">
      <c r="A2299" s="2" t="s">
        <v>296</v>
      </c>
      <c r="B2299" s="2" t="s">
        <v>297</v>
      </c>
      <c r="C2299" s="3">
        <v>58.4</v>
      </c>
      <c r="D2299" s="4">
        <v>676.85599999999999</v>
      </c>
      <c r="E2299" s="4">
        <v>426.32</v>
      </c>
      <c r="F2299" s="4">
        <f t="shared" si="157"/>
        <v>250.536</v>
      </c>
      <c r="G2299" s="5">
        <f t="shared" si="158"/>
        <v>0.37014667817083691</v>
      </c>
      <c r="H2299" s="2" t="s">
        <v>1598</v>
      </c>
      <c r="I2299" s="6" t="s">
        <v>74</v>
      </c>
      <c r="J2299" s="2" t="s">
        <v>1599</v>
      </c>
      <c r="K2299" s="2" t="s">
        <v>1600</v>
      </c>
      <c r="L2299" s="2" t="s">
        <v>28</v>
      </c>
      <c r="M2299" s="2" t="s">
        <v>5</v>
      </c>
      <c r="N2299" s="4">
        <v>11097.61</v>
      </c>
    </row>
    <row r="2300" spans="1:14" x14ac:dyDescent="0.25">
      <c r="A2300" s="2" t="s">
        <v>893</v>
      </c>
      <c r="B2300" s="2" t="s">
        <v>894</v>
      </c>
      <c r="C2300" s="3">
        <v>45.57</v>
      </c>
      <c r="D2300" s="4">
        <v>740.51250000000005</v>
      </c>
      <c r="E2300" s="4">
        <v>398.73750000000001</v>
      </c>
      <c r="F2300" s="4">
        <f t="shared" si="157"/>
        <v>341.77500000000003</v>
      </c>
      <c r="G2300" s="5">
        <f t="shared" si="158"/>
        <v>0.46153846153846156</v>
      </c>
      <c r="H2300" s="2" t="s">
        <v>1598</v>
      </c>
      <c r="I2300" s="6" t="s">
        <v>74</v>
      </c>
      <c r="J2300" s="2" t="s">
        <v>1599</v>
      </c>
      <c r="K2300" s="2" t="s">
        <v>1600</v>
      </c>
      <c r="L2300" s="2" t="s">
        <v>28</v>
      </c>
      <c r="M2300" s="2" t="s">
        <v>5</v>
      </c>
      <c r="N2300" s="4">
        <v>11097.61</v>
      </c>
    </row>
    <row r="2301" spans="1:14" x14ac:dyDescent="0.25">
      <c r="A2301" s="2" t="s">
        <v>304</v>
      </c>
      <c r="B2301" s="2" t="s">
        <v>305</v>
      </c>
      <c r="C2301" s="3">
        <v>29.79</v>
      </c>
      <c r="D2301" s="4">
        <v>345.26609999999999</v>
      </c>
      <c r="E2301" s="4">
        <v>238.32</v>
      </c>
      <c r="F2301" s="4">
        <f t="shared" si="157"/>
        <v>106.9461</v>
      </c>
      <c r="G2301" s="5">
        <f t="shared" si="158"/>
        <v>0.30974978429680761</v>
      </c>
      <c r="H2301" s="2" t="s">
        <v>1598</v>
      </c>
      <c r="I2301" s="6" t="s">
        <v>74</v>
      </c>
      <c r="J2301" s="2" t="s">
        <v>1599</v>
      </c>
      <c r="K2301" s="2" t="s">
        <v>1600</v>
      </c>
      <c r="L2301" s="2" t="s">
        <v>28</v>
      </c>
      <c r="M2301" s="2" t="s">
        <v>5</v>
      </c>
      <c r="N2301" s="4">
        <v>11097.61</v>
      </c>
    </row>
    <row r="2302" spans="1:14" x14ac:dyDescent="0.25">
      <c r="A2302" s="2" t="s">
        <v>306</v>
      </c>
      <c r="B2302" s="2" t="s">
        <v>307</v>
      </c>
      <c r="C2302" s="3">
        <v>28.375</v>
      </c>
      <c r="D2302" s="4">
        <v>328.86624999999998</v>
      </c>
      <c r="E2302" s="4">
        <v>269.5625</v>
      </c>
      <c r="F2302" s="4">
        <f t="shared" si="157"/>
        <v>59.30374999999998</v>
      </c>
      <c r="G2302" s="5">
        <f t="shared" si="158"/>
        <v>0.18032786885245897</v>
      </c>
      <c r="H2302" s="2" t="s">
        <v>1598</v>
      </c>
      <c r="I2302" s="6" t="s">
        <v>74</v>
      </c>
      <c r="J2302" s="2" t="s">
        <v>1599</v>
      </c>
      <c r="K2302" s="2" t="s">
        <v>1600</v>
      </c>
      <c r="L2302" s="2" t="s">
        <v>28</v>
      </c>
      <c r="M2302" s="2" t="s">
        <v>5</v>
      </c>
      <c r="N2302" s="4">
        <v>11097.61</v>
      </c>
    </row>
    <row r="2304" spans="1:14" x14ac:dyDescent="0.25">
      <c r="A2304" s="13" t="s">
        <v>59</v>
      </c>
      <c r="B2304" s="21"/>
      <c r="C2304" s="22">
        <f>SUM(C2282:C2303)</f>
        <v>730.86</v>
      </c>
      <c r="D2304" s="23">
        <f>SUM(D2282:D2303)</f>
        <v>11097.60685</v>
      </c>
      <c r="E2304" s="23">
        <f>SUM(E2282:E2303)</f>
        <v>6732.7047999999995</v>
      </c>
      <c r="F2304" s="23">
        <f>D2304-E2304</f>
        <v>4364.9020500000006</v>
      </c>
      <c r="G2304" s="24">
        <f>IF(((D2304)=0),0,(D2304-E2304)/ D2304)</f>
        <v>0.39331921818801868</v>
      </c>
      <c r="H2304" s="21"/>
      <c r="I2304" s="21"/>
      <c r="J2304" s="21"/>
      <c r="K2304" s="21"/>
      <c r="L2304" s="21"/>
      <c r="M2304" s="21"/>
      <c r="N2304" s="21"/>
    </row>
    <row r="2306" spans="1:14" s="17" customFormat="1" ht="18.75" x14ac:dyDescent="0.3"/>
    <row r="2307" spans="1:14" s="7" customFormat="1" x14ac:dyDescent="0.25">
      <c r="A2307" s="13" t="s">
        <v>1601</v>
      </c>
      <c r="B2307" s="18" t="s">
        <v>1602</v>
      </c>
      <c r="C2307" s="19"/>
      <c r="D2307" s="20" t="s">
        <v>5</v>
      </c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</row>
    <row r="2309" spans="1:14" x14ac:dyDescent="0.25">
      <c r="A2309" s="2" t="s">
        <v>1603</v>
      </c>
      <c r="B2309" s="2" t="s">
        <v>1604</v>
      </c>
      <c r="C2309" s="3">
        <v>0</v>
      </c>
      <c r="D2309" s="4">
        <v>-50.56</v>
      </c>
      <c r="E2309" s="4">
        <v>0</v>
      </c>
      <c r="F2309" s="4">
        <f>D2309-E2309</f>
        <v>-50.56</v>
      </c>
      <c r="G2309" s="5">
        <f>IF(((D2309)=0),0,(D2309-E2309)/ D2309)</f>
        <v>1</v>
      </c>
      <c r="H2309" s="2" t="s">
        <v>1605</v>
      </c>
      <c r="I2309" s="6" t="s">
        <v>25</v>
      </c>
      <c r="J2309" s="2" t="s">
        <v>1606</v>
      </c>
      <c r="K2309" s="2" t="s">
        <v>1607</v>
      </c>
      <c r="L2309" s="2" t="s">
        <v>332</v>
      </c>
      <c r="M2309" s="2" t="s">
        <v>5</v>
      </c>
      <c r="N2309" s="4">
        <v>-73.66</v>
      </c>
    </row>
    <row r="2310" spans="1:14" x14ac:dyDescent="0.25">
      <c r="A2310" s="2" t="s">
        <v>1608</v>
      </c>
      <c r="B2310" s="2" t="s">
        <v>1609</v>
      </c>
      <c r="C2310" s="3">
        <v>0</v>
      </c>
      <c r="D2310" s="4">
        <v>-23.1</v>
      </c>
      <c r="E2310" s="4">
        <v>-162</v>
      </c>
      <c r="F2310" s="4">
        <f>D2310-E2310</f>
        <v>138.9</v>
      </c>
      <c r="G2310" s="5">
        <f>IF(((D2310)=0),0,(D2310-E2310)/ D2310)</f>
        <v>-6.0129870129870131</v>
      </c>
      <c r="H2310" s="2" t="s">
        <v>1605</v>
      </c>
      <c r="I2310" s="6" t="s">
        <v>25</v>
      </c>
      <c r="J2310" s="2" t="s">
        <v>1606</v>
      </c>
      <c r="K2310" s="2" t="s">
        <v>1607</v>
      </c>
      <c r="L2310" s="2" t="s">
        <v>332</v>
      </c>
      <c r="M2310" s="2" t="s">
        <v>5</v>
      </c>
      <c r="N2310" s="4">
        <v>-73.66</v>
      </c>
    </row>
    <row r="2312" spans="1:14" x14ac:dyDescent="0.25">
      <c r="A2312" s="13" t="s">
        <v>59</v>
      </c>
      <c r="B2312" s="21"/>
      <c r="C2312" s="22">
        <f>SUM(C2306:C2311)</f>
        <v>0</v>
      </c>
      <c r="D2312" s="23">
        <f>SUM(D2306:D2311)</f>
        <v>-73.66</v>
      </c>
      <c r="E2312" s="23">
        <f>SUM(E2306:E2311)</f>
        <v>-162</v>
      </c>
      <c r="F2312" s="23">
        <f>D2312-E2312</f>
        <v>88.34</v>
      </c>
      <c r="G2312" s="24">
        <f>IF(((D2312)=0),0,(D2312-E2312)/ D2312)</f>
        <v>-1.1992940537605215</v>
      </c>
      <c r="H2312" s="21"/>
      <c r="I2312" s="21"/>
      <c r="J2312" s="21"/>
      <c r="K2312" s="21"/>
      <c r="L2312" s="21"/>
      <c r="M2312" s="21"/>
      <c r="N2312" s="21"/>
    </row>
    <row r="2314" spans="1:14" s="17" customFormat="1" ht="18.75" x14ac:dyDescent="0.3"/>
    <row r="2315" spans="1:14" s="7" customFormat="1" x14ac:dyDescent="0.25">
      <c r="A2315" s="13" t="s">
        <v>1610</v>
      </c>
      <c r="B2315" s="18" t="s">
        <v>1611</v>
      </c>
      <c r="C2315" s="19"/>
      <c r="D2315" s="20" t="s">
        <v>5</v>
      </c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</row>
    <row r="2317" spans="1:14" x14ac:dyDescent="0.25">
      <c r="A2317" s="2" t="s">
        <v>1075</v>
      </c>
      <c r="B2317" s="2" t="s">
        <v>1076</v>
      </c>
      <c r="C2317" s="3">
        <v>1</v>
      </c>
      <c r="D2317" s="4">
        <v>26.63</v>
      </c>
      <c r="E2317" s="4">
        <v>19.13</v>
      </c>
      <c r="F2317" s="4">
        <f t="shared" ref="F2317:F2323" si="159">D2317-E2317</f>
        <v>7.5</v>
      </c>
      <c r="G2317" s="5">
        <f t="shared" ref="G2317:G2323" si="160">IF(((D2317)=0),0,(D2317-E2317)/ D2317)</f>
        <v>0.2816372512204281</v>
      </c>
      <c r="H2317" s="2" t="s">
        <v>1612</v>
      </c>
      <c r="I2317" s="6" t="s">
        <v>69</v>
      </c>
      <c r="J2317" s="2" t="s">
        <v>1613</v>
      </c>
      <c r="K2317" s="2" t="s">
        <v>5</v>
      </c>
      <c r="L2317" s="2" t="s">
        <v>28</v>
      </c>
      <c r="M2317" s="2" t="s">
        <v>5</v>
      </c>
      <c r="N2317" s="4">
        <v>526.04</v>
      </c>
    </row>
    <row r="2318" spans="1:14" x14ac:dyDescent="0.25">
      <c r="A2318" s="2" t="s">
        <v>862</v>
      </c>
      <c r="B2318" s="2" t="s">
        <v>863</v>
      </c>
      <c r="C2318" s="3">
        <v>1.02</v>
      </c>
      <c r="D2318" s="4">
        <v>19.410599999999999</v>
      </c>
      <c r="E2318" s="4">
        <v>10.71</v>
      </c>
      <c r="F2318" s="4">
        <f t="shared" si="159"/>
        <v>8.7005999999999979</v>
      </c>
      <c r="G2318" s="5">
        <f t="shared" si="160"/>
        <v>0.44823962165002618</v>
      </c>
      <c r="H2318" s="2" t="s">
        <v>1612</v>
      </c>
      <c r="I2318" s="6" t="s">
        <v>69</v>
      </c>
      <c r="J2318" s="2" t="s">
        <v>1613</v>
      </c>
      <c r="K2318" s="2" t="s">
        <v>5</v>
      </c>
      <c r="L2318" s="2" t="s">
        <v>28</v>
      </c>
      <c r="M2318" s="2" t="s">
        <v>5</v>
      </c>
      <c r="N2318" s="4">
        <v>526.04</v>
      </c>
    </row>
    <row r="2319" spans="1:14" x14ac:dyDescent="0.25">
      <c r="A2319" s="2" t="s">
        <v>158</v>
      </c>
      <c r="B2319" s="2" t="s">
        <v>159</v>
      </c>
      <c r="C2319" s="3">
        <v>8</v>
      </c>
      <c r="D2319" s="4">
        <v>86.96</v>
      </c>
      <c r="E2319" s="4">
        <v>62.96</v>
      </c>
      <c r="F2319" s="4">
        <f t="shared" si="159"/>
        <v>23.999999999999993</v>
      </c>
      <c r="G2319" s="5">
        <f t="shared" si="160"/>
        <v>0.27598896044158228</v>
      </c>
      <c r="H2319" s="2" t="s">
        <v>1612</v>
      </c>
      <c r="I2319" s="6" t="s">
        <v>69</v>
      </c>
      <c r="J2319" s="2" t="s">
        <v>1613</v>
      </c>
      <c r="K2319" s="2" t="s">
        <v>5</v>
      </c>
      <c r="L2319" s="2" t="s">
        <v>28</v>
      </c>
      <c r="M2319" s="2" t="s">
        <v>5</v>
      </c>
      <c r="N2319" s="4">
        <v>526.04</v>
      </c>
    </row>
    <row r="2320" spans="1:14" x14ac:dyDescent="0.25">
      <c r="A2320" s="2" t="s">
        <v>1037</v>
      </c>
      <c r="B2320" s="2" t="s">
        <v>1038</v>
      </c>
      <c r="C2320" s="3">
        <v>2.25</v>
      </c>
      <c r="D2320" s="4">
        <v>61.02</v>
      </c>
      <c r="E2320" s="4">
        <v>32.174999999999997</v>
      </c>
      <c r="F2320" s="4">
        <f t="shared" si="159"/>
        <v>28.845000000000006</v>
      </c>
      <c r="G2320" s="5">
        <f t="shared" si="160"/>
        <v>0.47271386430678475</v>
      </c>
      <c r="H2320" s="2" t="s">
        <v>1612</v>
      </c>
      <c r="I2320" s="6" t="s">
        <v>69</v>
      </c>
      <c r="J2320" s="2" t="s">
        <v>1613</v>
      </c>
      <c r="K2320" s="2" t="s">
        <v>5</v>
      </c>
      <c r="L2320" s="2" t="s">
        <v>28</v>
      </c>
      <c r="M2320" s="2" t="s">
        <v>5</v>
      </c>
      <c r="N2320" s="4">
        <v>526.04</v>
      </c>
    </row>
    <row r="2321" spans="1:14" x14ac:dyDescent="0.25">
      <c r="A2321" s="2" t="s">
        <v>136</v>
      </c>
      <c r="B2321" s="2" t="s">
        <v>137</v>
      </c>
      <c r="C2321" s="3">
        <v>6.32</v>
      </c>
      <c r="D2321" s="4">
        <v>170.00800000000001</v>
      </c>
      <c r="E2321" s="4">
        <v>88.48</v>
      </c>
      <c r="F2321" s="4">
        <f t="shared" si="159"/>
        <v>81.528000000000006</v>
      </c>
      <c r="G2321" s="5">
        <f t="shared" si="160"/>
        <v>0.4795539033457249</v>
      </c>
      <c r="H2321" s="2" t="s">
        <v>1612</v>
      </c>
      <c r="I2321" s="6" t="s">
        <v>69</v>
      </c>
      <c r="J2321" s="2" t="s">
        <v>1613</v>
      </c>
      <c r="K2321" s="2" t="s">
        <v>5</v>
      </c>
      <c r="L2321" s="2" t="s">
        <v>28</v>
      </c>
      <c r="M2321" s="2" t="s">
        <v>5</v>
      </c>
      <c r="N2321" s="4">
        <v>526.04</v>
      </c>
    </row>
    <row r="2322" spans="1:14" x14ac:dyDescent="0.25">
      <c r="A2322" s="2" t="s">
        <v>1115</v>
      </c>
      <c r="B2322" s="2" t="s">
        <v>1116</v>
      </c>
      <c r="C2322" s="3">
        <v>6</v>
      </c>
      <c r="D2322" s="4">
        <v>126.48</v>
      </c>
      <c r="E2322" s="4">
        <v>84</v>
      </c>
      <c r="F2322" s="4">
        <f t="shared" si="159"/>
        <v>42.480000000000004</v>
      </c>
      <c r="G2322" s="5">
        <f t="shared" si="160"/>
        <v>0.33586337760910817</v>
      </c>
      <c r="H2322" s="2" t="s">
        <v>1612</v>
      </c>
      <c r="I2322" s="6" t="s">
        <v>69</v>
      </c>
      <c r="J2322" s="2" t="s">
        <v>1613</v>
      </c>
      <c r="K2322" s="2" t="s">
        <v>5</v>
      </c>
      <c r="L2322" s="2" t="s">
        <v>28</v>
      </c>
      <c r="M2322" s="2" t="s">
        <v>5</v>
      </c>
      <c r="N2322" s="4">
        <v>526.04</v>
      </c>
    </row>
    <row r="2323" spans="1:14" x14ac:dyDescent="0.25">
      <c r="A2323" s="2" t="s">
        <v>593</v>
      </c>
      <c r="B2323" s="2" t="s">
        <v>594</v>
      </c>
      <c r="C2323" s="3">
        <v>3.44</v>
      </c>
      <c r="D2323" s="4">
        <v>35.535200000000003</v>
      </c>
      <c r="E2323" s="4">
        <v>19.952000000000002</v>
      </c>
      <c r="F2323" s="4">
        <f t="shared" si="159"/>
        <v>15.583200000000001</v>
      </c>
      <c r="G2323" s="5">
        <f t="shared" si="160"/>
        <v>0.43852855759922554</v>
      </c>
      <c r="H2323" s="2" t="s">
        <v>1612</v>
      </c>
      <c r="I2323" s="6" t="s">
        <v>69</v>
      </c>
      <c r="J2323" s="2" t="s">
        <v>1613</v>
      </c>
      <c r="K2323" s="2" t="s">
        <v>5</v>
      </c>
      <c r="L2323" s="2" t="s">
        <v>28</v>
      </c>
      <c r="M2323" s="2" t="s">
        <v>5</v>
      </c>
      <c r="N2323" s="4">
        <v>526.04</v>
      </c>
    </row>
    <row r="2325" spans="1:14" x14ac:dyDescent="0.25">
      <c r="A2325" s="13" t="s">
        <v>59</v>
      </c>
      <c r="B2325" s="21"/>
      <c r="C2325" s="22">
        <f>SUM(C2314:C2324)</f>
        <v>28.03</v>
      </c>
      <c r="D2325" s="23">
        <f>SUM(D2314:D2324)</f>
        <v>526.04380000000003</v>
      </c>
      <c r="E2325" s="23">
        <f>SUM(E2314:E2324)</f>
        <v>317.40699999999998</v>
      </c>
      <c r="F2325" s="23">
        <f>D2325-E2325</f>
        <v>208.63680000000005</v>
      </c>
      <c r="G2325" s="24">
        <f>IF(((D2325)=0),0,(D2325-E2325)/ D2325)</f>
        <v>0.39661488263905026</v>
      </c>
      <c r="H2325" s="21"/>
      <c r="I2325" s="21"/>
      <c r="J2325" s="21"/>
      <c r="K2325" s="21"/>
      <c r="L2325" s="21"/>
      <c r="M2325" s="21"/>
      <c r="N2325" s="21"/>
    </row>
    <row r="2327" spans="1:14" s="17" customFormat="1" ht="18.75" x14ac:dyDescent="0.3"/>
    <row r="2328" spans="1:14" s="7" customFormat="1" x14ac:dyDescent="0.25">
      <c r="A2328" s="13" t="s">
        <v>1614</v>
      </c>
      <c r="B2328" s="18" t="s">
        <v>1615</v>
      </c>
      <c r="C2328" s="19"/>
      <c r="D2328" s="20" t="s">
        <v>5</v>
      </c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</row>
    <row r="2330" spans="1:14" x14ac:dyDescent="0.25">
      <c r="A2330" s="2" t="s">
        <v>1366</v>
      </c>
      <c r="B2330" s="2" t="s">
        <v>1367</v>
      </c>
      <c r="C2330" s="3">
        <v>5</v>
      </c>
      <c r="D2330" s="4">
        <v>475</v>
      </c>
      <c r="E2330" s="4">
        <v>34.5</v>
      </c>
      <c r="F2330" s="4">
        <f>D2330-E2330</f>
        <v>440.5</v>
      </c>
      <c r="G2330" s="5">
        <f>IF(((D2330)=0),0,(D2330-E2330)/ D2330)</f>
        <v>0.92736842105263162</v>
      </c>
      <c r="H2330" s="2" t="s">
        <v>1616</v>
      </c>
      <c r="I2330" s="6" t="s">
        <v>74</v>
      </c>
      <c r="J2330" s="2" t="s">
        <v>1617</v>
      </c>
      <c r="K2330" s="2" t="s">
        <v>1618</v>
      </c>
      <c r="L2330" s="2" t="s">
        <v>28</v>
      </c>
      <c r="M2330" s="2" t="s">
        <v>5</v>
      </c>
      <c r="N2330" s="4">
        <v>863.93</v>
      </c>
    </row>
    <row r="2331" spans="1:14" x14ac:dyDescent="0.25">
      <c r="A2331" s="2" t="s">
        <v>1619</v>
      </c>
      <c r="B2331" s="2" t="s">
        <v>1620</v>
      </c>
      <c r="C2331" s="3">
        <v>27.88</v>
      </c>
      <c r="D2331" s="4">
        <v>388.92599999999999</v>
      </c>
      <c r="E2331" s="4">
        <v>412.62400000000002</v>
      </c>
      <c r="F2331" s="4">
        <f>D2331-E2331</f>
        <v>-23.698000000000036</v>
      </c>
      <c r="G2331" s="5">
        <f>IF(((D2331)=0),0,(D2331-E2331)/ D2331)</f>
        <v>-6.0931899641577157E-2</v>
      </c>
      <c r="H2331" s="2" t="s">
        <v>1616</v>
      </c>
      <c r="I2331" s="6" t="s">
        <v>74</v>
      </c>
      <c r="J2331" s="2" t="s">
        <v>1617</v>
      </c>
      <c r="K2331" s="2" t="s">
        <v>1618</v>
      </c>
      <c r="L2331" s="2" t="s">
        <v>28</v>
      </c>
      <c r="M2331" s="2" t="s">
        <v>5</v>
      </c>
      <c r="N2331" s="4">
        <v>863.93</v>
      </c>
    </row>
    <row r="2333" spans="1:14" x14ac:dyDescent="0.25">
      <c r="A2333" s="13" t="s">
        <v>59</v>
      </c>
      <c r="B2333" s="21"/>
      <c r="C2333" s="22">
        <f>SUM(C2327:C2332)</f>
        <v>32.879999999999995</v>
      </c>
      <c r="D2333" s="23">
        <f>SUM(D2327:D2332)</f>
        <v>863.92599999999993</v>
      </c>
      <c r="E2333" s="23">
        <f>SUM(E2327:E2332)</f>
        <v>447.12400000000002</v>
      </c>
      <c r="F2333" s="23">
        <f>D2333-E2333</f>
        <v>416.80199999999991</v>
      </c>
      <c r="G2333" s="24">
        <f>IF(((D2333)=0),0,(D2333-E2333)/ D2333)</f>
        <v>0.48245104326064958</v>
      </c>
      <c r="H2333" s="21"/>
      <c r="I2333" s="21"/>
      <c r="J2333" s="21"/>
      <c r="K2333" s="21"/>
      <c r="L2333" s="21"/>
      <c r="M2333" s="21"/>
      <c r="N2333" s="21"/>
    </row>
    <row r="2335" spans="1:14" s="17" customFormat="1" ht="18.75" x14ac:dyDescent="0.3"/>
    <row r="2336" spans="1:14" s="7" customFormat="1" x14ac:dyDescent="0.25">
      <c r="A2336" s="13" t="s">
        <v>1621</v>
      </c>
      <c r="B2336" s="18" t="s">
        <v>1622</v>
      </c>
      <c r="C2336" s="19"/>
      <c r="D2336" s="20" t="s">
        <v>5</v>
      </c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</row>
    <row r="2338" spans="1:14" x14ac:dyDescent="0.25">
      <c r="A2338" s="2" t="s">
        <v>1366</v>
      </c>
      <c r="B2338" s="2" t="s">
        <v>1367</v>
      </c>
      <c r="C2338" s="3">
        <v>6</v>
      </c>
      <c r="D2338" s="4">
        <v>570</v>
      </c>
      <c r="E2338" s="4">
        <v>41.4</v>
      </c>
      <c r="F2338" s="4">
        <f>D2338-E2338</f>
        <v>528.6</v>
      </c>
      <c r="G2338" s="5">
        <f>IF(((D2338)=0),0,(D2338-E2338)/ D2338)</f>
        <v>0.92736842105263162</v>
      </c>
      <c r="H2338" s="2" t="s">
        <v>1623</v>
      </c>
      <c r="I2338" s="6" t="s">
        <v>25</v>
      </c>
      <c r="J2338" s="2" t="s">
        <v>1624</v>
      </c>
      <c r="K2338" s="2" t="s">
        <v>1625</v>
      </c>
      <c r="L2338" s="2" t="s">
        <v>28</v>
      </c>
      <c r="M2338" s="2" t="s">
        <v>5</v>
      </c>
      <c r="N2338" s="4">
        <v>570</v>
      </c>
    </row>
    <row r="2340" spans="1:14" x14ac:dyDescent="0.25">
      <c r="A2340" s="13" t="s">
        <v>59</v>
      </c>
      <c r="B2340" s="21"/>
      <c r="C2340" s="22">
        <f>SUM(C2335:C2339)</f>
        <v>6</v>
      </c>
      <c r="D2340" s="23">
        <f>SUM(D2335:D2339)</f>
        <v>570</v>
      </c>
      <c r="E2340" s="23">
        <f>SUM(E2335:E2339)</f>
        <v>41.4</v>
      </c>
      <c r="F2340" s="23">
        <f>D2340-E2340</f>
        <v>528.6</v>
      </c>
      <c r="G2340" s="24">
        <f>IF(((D2340)=0),0,(D2340-E2340)/ D2340)</f>
        <v>0.92736842105263162</v>
      </c>
      <c r="H2340" s="21"/>
      <c r="I2340" s="21"/>
      <c r="J2340" s="21"/>
      <c r="K2340" s="21"/>
      <c r="L2340" s="21"/>
      <c r="M2340" s="21"/>
      <c r="N2340" s="21"/>
    </row>
    <row r="2342" spans="1:14" s="17" customFormat="1" ht="18.75" x14ac:dyDescent="0.3"/>
    <row r="2343" spans="1:14" s="7" customFormat="1" x14ac:dyDescent="0.25">
      <c r="A2343" s="13" t="s">
        <v>1626</v>
      </c>
      <c r="B2343" s="18" t="s">
        <v>1627</v>
      </c>
      <c r="C2343" s="19"/>
      <c r="D2343" s="20" t="s">
        <v>5</v>
      </c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</row>
    <row r="2345" spans="1:14" x14ac:dyDescent="0.25">
      <c r="A2345" s="2" t="s">
        <v>1366</v>
      </c>
      <c r="B2345" s="2" t="s">
        <v>1367</v>
      </c>
      <c r="C2345" s="3">
        <v>5</v>
      </c>
      <c r="D2345" s="4">
        <v>475</v>
      </c>
      <c r="E2345" s="4">
        <v>34.5</v>
      </c>
      <c r="F2345" s="4">
        <f>D2345-E2345</f>
        <v>440.5</v>
      </c>
      <c r="G2345" s="5">
        <f>IF(((D2345)=0),0,(D2345-E2345)/ D2345)</f>
        <v>0.92736842105263162</v>
      </c>
      <c r="H2345" s="2" t="s">
        <v>1628</v>
      </c>
      <c r="I2345" s="6" t="s">
        <v>69</v>
      </c>
      <c r="J2345" s="2" t="s">
        <v>1629</v>
      </c>
      <c r="K2345" s="2" t="s">
        <v>1630</v>
      </c>
      <c r="L2345" s="2" t="s">
        <v>28</v>
      </c>
      <c r="M2345" s="2" t="s">
        <v>5</v>
      </c>
      <c r="N2345" s="4">
        <v>475</v>
      </c>
    </row>
    <row r="2347" spans="1:14" x14ac:dyDescent="0.25">
      <c r="A2347" s="13" t="s">
        <v>59</v>
      </c>
      <c r="B2347" s="21"/>
      <c r="C2347" s="22">
        <f>SUM(C2342:C2346)</f>
        <v>5</v>
      </c>
      <c r="D2347" s="23">
        <f>SUM(D2342:D2346)</f>
        <v>475</v>
      </c>
      <c r="E2347" s="23">
        <f>SUM(E2342:E2346)</f>
        <v>34.5</v>
      </c>
      <c r="F2347" s="23">
        <f>D2347-E2347</f>
        <v>440.5</v>
      </c>
      <c r="G2347" s="24">
        <f>IF(((D2347)=0),0,(D2347-E2347)/ D2347)</f>
        <v>0.92736842105263162</v>
      </c>
      <c r="H2347" s="21"/>
      <c r="I2347" s="21"/>
      <c r="J2347" s="21"/>
      <c r="K2347" s="21"/>
      <c r="L2347" s="21"/>
      <c r="M2347" s="21"/>
      <c r="N2347" s="21"/>
    </row>
    <row r="2349" spans="1:14" s="17" customFormat="1" ht="18.75" x14ac:dyDescent="0.3"/>
    <row r="2350" spans="1:14" s="7" customFormat="1" x14ac:dyDescent="0.25">
      <c r="A2350" s="13" t="s">
        <v>1631</v>
      </c>
      <c r="B2350" s="18" t="s">
        <v>1632</v>
      </c>
      <c r="C2350" s="19"/>
      <c r="D2350" s="20" t="s">
        <v>5</v>
      </c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</row>
    <row r="2352" spans="1:14" x14ac:dyDescent="0.25">
      <c r="A2352" s="2" t="s">
        <v>1366</v>
      </c>
      <c r="B2352" s="2" t="s">
        <v>1367</v>
      </c>
      <c r="C2352" s="3">
        <v>6</v>
      </c>
      <c r="D2352" s="4">
        <v>570</v>
      </c>
      <c r="E2352" s="4">
        <v>41.4</v>
      </c>
      <c r="F2352" s="4">
        <f>D2352-E2352</f>
        <v>528.6</v>
      </c>
      <c r="G2352" s="5">
        <f>IF(((D2352)=0),0,(D2352-E2352)/ D2352)</f>
        <v>0.92736842105263162</v>
      </c>
      <c r="H2352" s="2" t="s">
        <v>1633</v>
      </c>
      <c r="I2352" s="6" t="s">
        <v>25</v>
      </c>
      <c r="J2352" s="2" t="s">
        <v>1634</v>
      </c>
      <c r="K2352" s="2" t="s">
        <v>1635</v>
      </c>
      <c r="L2352" s="2" t="s">
        <v>28</v>
      </c>
      <c r="M2352" s="2" t="s">
        <v>5</v>
      </c>
      <c r="N2352" s="4">
        <v>570</v>
      </c>
    </row>
    <row r="2354" spans="1:14" x14ac:dyDescent="0.25">
      <c r="A2354" s="13" t="s">
        <v>59</v>
      </c>
      <c r="B2354" s="21"/>
      <c r="C2354" s="22">
        <f>SUM(C2349:C2353)</f>
        <v>6</v>
      </c>
      <c r="D2354" s="23">
        <f>SUM(D2349:D2353)</f>
        <v>570</v>
      </c>
      <c r="E2354" s="23">
        <f>SUM(E2349:E2353)</f>
        <v>41.4</v>
      </c>
      <c r="F2354" s="23">
        <f>D2354-E2354</f>
        <v>528.6</v>
      </c>
      <c r="G2354" s="24">
        <f>IF(((D2354)=0),0,(D2354-E2354)/ D2354)</f>
        <v>0.92736842105263162</v>
      </c>
      <c r="H2354" s="21"/>
      <c r="I2354" s="21"/>
      <c r="J2354" s="21"/>
      <c r="K2354" s="21"/>
      <c r="L2354" s="21"/>
      <c r="M2354" s="21"/>
      <c r="N2354" s="21"/>
    </row>
    <row r="2356" spans="1:14" s="17" customFormat="1" ht="18.75" x14ac:dyDescent="0.3"/>
    <row r="2357" spans="1:14" s="7" customFormat="1" x14ac:dyDescent="0.25">
      <c r="A2357" s="13" t="s">
        <v>1636</v>
      </c>
      <c r="B2357" s="18" t="s">
        <v>1637</v>
      </c>
      <c r="C2357" s="19"/>
      <c r="D2357" s="20" t="s">
        <v>5</v>
      </c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</row>
    <row r="2359" spans="1:14" x14ac:dyDescent="0.25">
      <c r="A2359" s="2" t="s">
        <v>1366</v>
      </c>
      <c r="B2359" s="2" t="s">
        <v>1367</v>
      </c>
      <c r="C2359" s="3">
        <v>5</v>
      </c>
      <c r="D2359" s="4">
        <v>475</v>
      </c>
      <c r="E2359" s="4">
        <v>34.5</v>
      </c>
      <c r="F2359" s="4">
        <f>D2359-E2359</f>
        <v>440.5</v>
      </c>
      <c r="G2359" s="5">
        <f>IF(((D2359)=0),0,(D2359-E2359)/ D2359)</f>
        <v>0.92736842105263162</v>
      </c>
      <c r="H2359" s="2" t="s">
        <v>1638</v>
      </c>
      <c r="I2359" s="6" t="s">
        <v>25</v>
      </c>
      <c r="J2359" s="2" t="s">
        <v>1639</v>
      </c>
      <c r="K2359" s="2" t="s">
        <v>1640</v>
      </c>
      <c r="L2359" s="2" t="s">
        <v>28</v>
      </c>
      <c r="M2359" s="2" t="s">
        <v>5</v>
      </c>
      <c r="N2359" s="4">
        <v>475</v>
      </c>
    </row>
    <row r="2360" spans="1:14" x14ac:dyDescent="0.25">
      <c r="A2360" s="2" t="s">
        <v>1366</v>
      </c>
      <c r="B2360" s="2" t="s">
        <v>1367</v>
      </c>
      <c r="C2360" s="3">
        <v>6</v>
      </c>
      <c r="D2360" s="4">
        <v>570</v>
      </c>
      <c r="E2360" s="4">
        <v>41.4</v>
      </c>
      <c r="F2360" s="4">
        <f>D2360-E2360</f>
        <v>528.6</v>
      </c>
      <c r="G2360" s="5">
        <f>IF(((D2360)=0),0,(D2360-E2360)/ D2360)</f>
        <v>0.92736842105263162</v>
      </c>
      <c r="H2360" s="2" t="s">
        <v>1641</v>
      </c>
      <c r="I2360" s="6" t="s">
        <v>74</v>
      </c>
      <c r="J2360" s="2" t="s">
        <v>1642</v>
      </c>
      <c r="K2360" s="2" t="s">
        <v>1643</v>
      </c>
      <c r="L2360" s="2" t="s">
        <v>28</v>
      </c>
      <c r="M2360" s="2" t="s">
        <v>5</v>
      </c>
      <c r="N2360" s="4">
        <v>570</v>
      </c>
    </row>
    <row r="2362" spans="1:14" x14ac:dyDescent="0.25">
      <c r="A2362" s="13" t="s">
        <v>59</v>
      </c>
      <c r="B2362" s="21"/>
      <c r="C2362" s="22">
        <f>SUM(C2356:C2361)</f>
        <v>11</v>
      </c>
      <c r="D2362" s="23">
        <f>SUM(D2356:D2361)</f>
        <v>1045</v>
      </c>
      <c r="E2362" s="23">
        <f>SUM(E2356:E2361)</f>
        <v>75.900000000000006</v>
      </c>
      <c r="F2362" s="23">
        <f>D2362-E2362</f>
        <v>969.1</v>
      </c>
      <c r="G2362" s="24">
        <f>IF(((D2362)=0),0,(D2362-E2362)/ D2362)</f>
        <v>0.92736842105263162</v>
      </c>
      <c r="H2362" s="21"/>
      <c r="I2362" s="21"/>
      <c r="J2362" s="21"/>
      <c r="K2362" s="21"/>
      <c r="L2362" s="21"/>
      <c r="M2362" s="21"/>
      <c r="N2362" s="21"/>
    </row>
    <row r="2364" spans="1:14" s="17" customFormat="1" ht="18.75" x14ac:dyDescent="0.3"/>
    <row r="2365" spans="1:14" s="7" customFormat="1" x14ac:dyDescent="0.25">
      <c r="A2365" s="13" t="s">
        <v>1644</v>
      </c>
      <c r="B2365" s="18" t="s">
        <v>1645</v>
      </c>
      <c r="C2365" s="19"/>
      <c r="D2365" s="20" t="s">
        <v>5</v>
      </c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</row>
    <row r="2367" spans="1:14" x14ac:dyDescent="0.25">
      <c r="A2367" s="2" t="s">
        <v>1366</v>
      </c>
      <c r="B2367" s="2" t="s">
        <v>1367</v>
      </c>
      <c r="C2367" s="3">
        <v>3</v>
      </c>
      <c r="D2367" s="4">
        <v>285</v>
      </c>
      <c r="E2367" s="4">
        <v>20.7</v>
      </c>
      <c r="F2367" s="4">
        <f>D2367-E2367</f>
        <v>264.3</v>
      </c>
      <c r="G2367" s="5">
        <f>IF(((D2367)=0),0,(D2367-E2367)/ D2367)</f>
        <v>0.92736842105263162</v>
      </c>
      <c r="H2367" s="2" t="s">
        <v>1646</v>
      </c>
      <c r="I2367" s="6" t="s">
        <v>25</v>
      </c>
      <c r="J2367" s="2" t="s">
        <v>1647</v>
      </c>
      <c r="K2367" s="2" t="s">
        <v>1648</v>
      </c>
      <c r="L2367" s="2" t="s">
        <v>28</v>
      </c>
      <c r="M2367" s="2" t="s">
        <v>5</v>
      </c>
      <c r="N2367" s="4">
        <v>285</v>
      </c>
    </row>
    <row r="2369" spans="1:14" x14ac:dyDescent="0.25">
      <c r="A2369" s="13" t="s">
        <v>59</v>
      </c>
      <c r="B2369" s="21"/>
      <c r="C2369" s="22">
        <f>SUM(C2364:C2368)</f>
        <v>3</v>
      </c>
      <c r="D2369" s="23">
        <f>SUM(D2364:D2368)</f>
        <v>285</v>
      </c>
      <c r="E2369" s="23">
        <f>SUM(E2364:E2368)</f>
        <v>20.7</v>
      </c>
      <c r="F2369" s="23">
        <f>D2369-E2369</f>
        <v>264.3</v>
      </c>
      <c r="G2369" s="24">
        <f>IF(((D2369)=0),0,(D2369-E2369)/ D2369)</f>
        <v>0.92736842105263162</v>
      </c>
      <c r="H2369" s="21"/>
      <c r="I2369" s="21"/>
      <c r="J2369" s="21"/>
      <c r="K2369" s="21"/>
      <c r="L2369" s="21"/>
      <c r="M2369" s="21"/>
      <c r="N2369" s="21"/>
    </row>
    <row r="2371" spans="1:14" s="17" customFormat="1" ht="18.75" x14ac:dyDescent="0.3"/>
    <row r="2372" spans="1:14" s="7" customFormat="1" x14ac:dyDescent="0.25">
      <c r="A2372" s="13" t="s">
        <v>1649</v>
      </c>
      <c r="B2372" s="18" t="s">
        <v>1650</v>
      </c>
      <c r="C2372" s="19"/>
      <c r="D2372" s="20" t="s">
        <v>5</v>
      </c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</row>
    <row r="2374" spans="1:14" x14ac:dyDescent="0.25">
      <c r="A2374" s="2" t="s">
        <v>1366</v>
      </c>
      <c r="B2374" s="2" t="s">
        <v>1367</v>
      </c>
      <c r="C2374" s="3">
        <v>4</v>
      </c>
      <c r="D2374" s="4">
        <v>380</v>
      </c>
      <c r="E2374" s="4">
        <v>27.6</v>
      </c>
      <c r="F2374" s="4">
        <f>D2374-E2374</f>
        <v>352.4</v>
      </c>
      <c r="G2374" s="5">
        <f>IF(((D2374)=0),0,(D2374-E2374)/ D2374)</f>
        <v>0.92736842105263151</v>
      </c>
      <c r="H2374" s="2" t="s">
        <v>1651</v>
      </c>
      <c r="I2374" s="6" t="s">
        <v>25</v>
      </c>
      <c r="J2374" s="2" t="s">
        <v>1652</v>
      </c>
      <c r="K2374" s="2" t="s">
        <v>5</v>
      </c>
      <c r="L2374" s="2" t="s">
        <v>28</v>
      </c>
      <c r="M2374" s="2" t="s">
        <v>5</v>
      </c>
      <c r="N2374" s="4">
        <v>380</v>
      </c>
    </row>
    <row r="2376" spans="1:14" x14ac:dyDescent="0.25">
      <c r="A2376" s="13" t="s">
        <v>59</v>
      </c>
      <c r="B2376" s="21"/>
      <c r="C2376" s="22">
        <f>SUM(C2371:C2375)</f>
        <v>4</v>
      </c>
      <c r="D2376" s="23">
        <f>SUM(D2371:D2375)</f>
        <v>380</v>
      </c>
      <c r="E2376" s="23">
        <f>SUM(E2371:E2375)</f>
        <v>27.6</v>
      </c>
      <c r="F2376" s="23">
        <f>D2376-E2376</f>
        <v>352.4</v>
      </c>
      <c r="G2376" s="24">
        <f>IF(((D2376)=0),0,(D2376-E2376)/ D2376)</f>
        <v>0.92736842105263151</v>
      </c>
      <c r="H2376" s="21"/>
      <c r="I2376" s="21"/>
      <c r="J2376" s="21"/>
      <c r="K2376" s="21"/>
      <c r="L2376" s="21"/>
      <c r="M2376" s="21"/>
      <c r="N2376" s="21"/>
    </row>
    <row r="2378" spans="1:14" s="17" customFormat="1" ht="18.75" x14ac:dyDescent="0.3"/>
    <row r="2379" spans="1:14" s="7" customFormat="1" x14ac:dyDescent="0.25">
      <c r="A2379" s="13" t="s">
        <v>1653</v>
      </c>
      <c r="B2379" s="18" t="s">
        <v>1654</v>
      </c>
      <c r="C2379" s="19"/>
      <c r="D2379" s="20" t="s">
        <v>5</v>
      </c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</row>
    <row r="2381" spans="1:14" x14ac:dyDescent="0.25">
      <c r="A2381" s="2" t="s">
        <v>152</v>
      </c>
      <c r="B2381" s="2" t="s">
        <v>153</v>
      </c>
      <c r="C2381" s="3">
        <v>15.38</v>
      </c>
      <c r="D2381" s="4">
        <v>252.53960000000001</v>
      </c>
      <c r="E2381" s="4">
        <v>106.122</v>
      </c>
      <c r="F2381" s="4">
        <f>D2381-E2381</f>
        <v>146.41759999999999</v>
      </c>
      <c r="G2381" s="5">
        <f>IF(((D2381)=0),0,(D2381-E2381)/ D2381)</f>
        <v>0.57978075517661387</v>
      </c>
      <c r="H2381" s="2" t="s">
        <v>1655</v>
      </c>
      <c r="I2381" s="6" t="s">
        <v>74</v>
      </c>
      <c r="J2381" s="2" t="s">
        <v>1656</v>
      </c>
      <c r="K2381" s="2" t="s">
        <v>5</v>
      </c>
      <c r="L2381" s="2" t="s">
        <v>28</v>
      </c>
      <c r="M2381" s="2" t="s">
        <v>5</v>
      </c>
      <c r="N2381" s="4">
        <v>2253.54</v>
      </c>
    </row>
    <row r="2382" spans="1:14" x14ac:dyDescent="0.25">
      <c r="A2382" s="2" t="s">
        <v>312</v>
      </c>
      <c r="B2382" s="2" t="s">
        <v>313</v>
      </c>
      <c r="C2382" s="3">
        <v>15</v>
      </c>
      <c r="D2382" s="4">
        <v>246.3</v>
      </c>
      <c r="E2382" s="4">
        <v>103.5</v>
      </c>
      <c r="F2382" s="4">
        <f>D2382-E2382</f>
        <v>142.80000000000001</v>
      </c>
      <c r="G2382" s="5">
        <f>IF(((D2382)=0),0,(D2382-E2382)/ D2382)</f>
        <v>0.57978075517661387</v>
      </c>
      <c r="H2382" s="2" t="s">
        <v>1655</v>
      </c>
      <c r="I2382" s="6" t="s">
        <v>74</v>
      </c>
      <c r="J2382" s="2" t="s">
        <v>1656</v>
      </c>
      <c r="K2382" s="2" t="s">
        <v>5</v>
      </c>
      <c r="L2382" s="2" t="s">
        <v>28</v>
      </c>
      <c r="M2382" s="2" t="s">
        <v>5</v>
      </c>
      <c r="N2382" s="4">
        <v>2253.54</v>
      </c>
    </row>
    <row r="2383" spans="1:14" x14ac:dyDescent="0.25">
      <c r="A2383" s="2" t="s">
        <v>312</v>
      </c>
      <c r="B2383" s="2" t="s">
        <v>313</v>
      </c>
      <c r="C2383" s="3">
        <v>15</v>
      </c>
      <c r="D2383" s="4">
        <v>246.3</v>
      </c>
      <c r="E2383" s="4">
        <v>103.5</v>
      </c>
      <c r="F2383" s="4">
        <f>D2383-E2383</f>
        <v>142.80000000000001</v>
      </c>
      <c r="G2383" s="5">
        <f>IF(((D2383)=0),0,(D2383-E2383)/ D2383)</f>
        <v>0.57978075517661387</v>
      </c>
      <c r="H2383" s="2" t="s">
        <v>1657</v>
      </c>
      <c r="I2383" s="6" t="s">
        <v>39</v>
      </c>
      <c r="J2383" s="2" t="s">
        <v>1658</v>
      </c>
      <c r="K2383" s="2" t="s">
        <v>5</v>
      </c>
      <c r="L2383" s="2" t="s">
        <v>28</v>
      </c>
      <c r="M2383" s="2" t="s">
        <v>5</v>
      </c>
      <c r="N2383" s="4">
        <v>1345.73</v>
      </c>
    </row>
    <row r="2384" spans="1:14" x14ac:dyDescent="0.25">
      <c r="A2384" s="2" t="s">
        <v>1296</v>
      </c>
      <c r="B2384" s="2" t="s">
        <v>1297</v>
      </c>
      <c r="C2384" s="3">
        <v>38.590000000000003</v>
      </c>
      <c r="D2384" s="4">
        <v>1099.4291000000001</v>
      </c>
      <c r="E2384" s="4">
        <v>569.20249999999999</v>
      </c>
      <c r="F2384" s="4">
        <f>D2384-E2384</f>
        <v>530.22660000000008</v>
      </c>
      <c r="G2384" s="5">
        <f>IF(((D2384)=0),0,(D2384-E2384)/ D2384)</f>
        <v>0.48227448227448233</v>
      </c>
      <c r="H2384" s="2" t="s">
        <v>1657</v>
      </c>
      <c r="I2384" s="6" t="s">
        <v>39</v>
      </c>
      <c r="J2384" s="2" t="s">
        <v>1658</v>
      </c>
      <c r="K2384" s="2" t="s">
        <v>5</v>
      </c>
      <c r="L2384" s="2" t="s">
        <v>28</v>
      </c>
      <c r="M2384" s="2" t="s">
        <v>5</v>
      </c>
      <c r="N2384" s="4">
        <v>1345.73</v>
      </c>
    </row>
    <row r="2385" spans="1:14" x14ac:dyDescent="0.25">
      <c r="A2385" s="2" t="s">
        <v>1296</v>
      </c>
      <c r="B2385" s="2" t="s">
        <v>1297</v>
      </c>
      <c r="C2385" s="3">
        <v>61.59</v>
      </c>
      <c r="D2385" s="4">
        <v>1754.6991</v>
      </c>
      <c r="E2385" s="4">
        <v>908.45249999999999</v>
      </c>
      <c r="F2385" s="4">
        <f>D2385-E2385</f>
        <v>846.24660000000006</v>
      </c>
      <c r="G2385" s="5">
        <f>IF(((D2385)=0),0,(D2385-E2385)/ D2385)</f>
        <v>0.48227448227448227</v>
      </c>
      <c r="H2385" s="2" t="s">
        <v>1655</v>
      </c>
      <c r="I2385" s="6" t="s">
        <v>74</v>
      </c>
      <c r="J2385" s="2" t="s">
        <v>1656</v>
      </c>
      <c r="K2385" s="2" t="s">
        <v>5</v>
      </c>
      <c r="L2385" s="2" t="s">
        <v>28</v>
      </c>
      <c r="M2385" s="2" t="s">
        <v>5</v>
      </c>
      <c r="N2385" s="4">
        <v>2253.54</v>
      </c>
    </row>
    <row r="2387" spans="1:14" x14ac:dyDescent="0.25">
      <c r="A2387" s="13" t="s">
        <v>59</v>
      </c>
      <c r="B2387" s="21"/>
      <c r="C2387" s="22">
        <f>SUM(C2378:C2386)</f>
        <v>145.56</v>
      </c>
      <c r="D2387" s="23">
        <f>SUM(D2378:D2386)</f>
        <v>3599.2678000000001</v>
      </c>
      <c r="E2387" s="23">
        <f>SUM(E2378:E2386)</f>
        <v>1790.777</v>
      </c>
      <c r="F2387" s="23">
        <f>D2387-E2387</f>
        <v>1808.4908</v>
      </c>
      <c r="G2387" s="24">
        <f>IF(((D2387)=0),0,(D2387-E2387)/ D2387)</f>
        <v>0.50246075048930783</v>
      </c>
      <c r="H2387" s="21"/>
      <c r="I2387" s="21"/>
      <c r="J2387" s="21"/>
      <c r="K2387" s="21"/>
      <c r="L2387" s="21"/>
      <c r="M2387" s="21"/>
      <c r="N2387" s="21"/>
    </row>
    <row r="2389" spans="1:14" s="17" customFormat="1" ht="18.75" x14ac:dyDescent="0.3"/>
    <row r="2390" spans="1:14" s="7" customFormat="1" x14ac:dyDescent="0.25">
      <c r="A2390" s="13" t="s">
        <v>1659</v>
      </c>
      <c r="B2390" s="18" t="s">
        <v>1660</v>
      </c>
      <c r="C2390" s="19"/>
      <c r="D2390" s="20" t="s">
        <v>5</v>
      </c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</row>
    <row r="2392" spans="1:14" x14ac:dyDescent="0.25">
      <c r="A2392" s="2" t="s">
        <v>1661</v>
      </c>
      <c r="B2392" s="2" t="s">
        <v>1662</v>
      </c>
      <c r="C2392" s="3">
        <v>4.1459999999999999</v>
      </c>
      <c r="D2392" s="4">
        <v>50.82996</v>
      </c>
      <c r="E2392" s="4">
        <v>50.581200000000003</v>
      </c>
      <c r="F2392" s="4">
        <f t="shared" ref="F2392:F2404" si="161">D2392-E2392</f>
        <v>0.24875999999999721</v>
      </c>
      <c r="G2392" s="5">
        <f t="shared" ref="G2392:G2404" si="162">IF(((D2392)=0),0,(D2392-E2392)/ D2392)</f>
        <v>4.8939641109297981E-3</v>
      </c>
      <c r="H2392" s="2" t="s">
        <v>1663</v>
      </c>
      <c r="I2392" s="6" t="s">
        <v>39</v>
      </c>
      <c r="J2392" s="2" t="s">
        <v>1664</v>
      </c>
      <c r="K2392" s="2" t="s">
        <v>5</v>
      </c>
      <c r="L2392" s="2" t="s">
        <v>28</v>
      </c>
      <c r="M2392" s="2" t="s">
        <v>5</v>
      </c>
      <c r="N2392" s="4">
        <v>1857.94</v>
      </c>
    </row>
    <row r="2393" spans="1:14" x14ac:dyDescent="0.25">
      <c r="A2393" s="2" t="s">
        <v>1665</v>
      </c>
      <c r="B2393" s="2" t="s">
        <v>1666</v>
      </c>
      <c r="C2393" s="3">
        <v>4.26</v>
      </c>
      <c r="D2393" s="4">
        <v>38.638199999999998</v>
      </c>
      <c r="E2393" s="4">
        <v>31.097999999999999</v>
      </c>
      <c r="F2393" s="4">
        <f t="shared" si="161"/>
        <v>7.5401999999999987</v>
      </c>
      <c r="G2393" s="5">
        <f t="shared" si="162"/>
        <v>0.19514884233737595</v>
      </c>
      <c r="H2393" s="2" t="s">
        <v>1667</v>
      </c>
      <c r="I2393" s="6" t="s">
        <v>25</v>
      </c>
      <c r="J2393" s="2" t="s">
        <v>1668</v>
      </c>
      <c r="K2393" s="2" t="s">
        <v>5</v>
      </c>
      <c r="L2393" s="2" t="s">
        <v>28</v>
      </c>
      <c r="M2393" s="2" t="s">
        <v>5</v>
      </c>
      <c r="N2393" s="4">
        <v>1025.29</v>
      </c>
    </row>
    <row r="2394" spans="1:14" x14ac:dyDescent="0.25">
      <c r="A2394" s="2" t="s">
        <v>540</v>
      </c>
      <c r="B2394" s="2" t="s">
        <v>541</v>
      </c>
      <c r="C2394" s="3">
        <v>4.2699999999999996</v>
      </c>
      <c r="D2394" s="4">
        <v>195.566</v>
      </c>
      <c r="E2394" s="4">
        <v>119.56</v>
      </c>
      <c r="F2394" s="4">
        <f t="shared" si="161"/>
        <v>76.006</v>
      </c>
      <c r="G2394" s="5">
        <f t="shared" si="162"/>
        <v>0.388646288209607</v>
      </c>
      <c r="H2394" s="2" t="s">
        <v>1667</v>
      </c>
      <c r="I2394" s="6" t="s">
        <v>25</v>
      </c>
      <c r="J2394" s="2" t="s">
        <v>1668</v>
      </c>
      <c r="K2394" s="2" t="s">
        <v>5</v>
      </c>
      <c r="L2394" s="2" t="s">
        <v>28</v>
      </c>
      <c r="M2394" s="2" t="s">
        <v>5</v>
      </c>
      <c r="N2394" s="4">
        <v>1025.29</v>
      </c>
    </row>
    <row r="2395" spans="1:14" x14ac:dyDescent="0.25">
      <c r="A2395" s="2" t="s">
        <v>542</v>
      </c>
      <c r="B2395" s="2" t="s">
        <v>543</v>
      </c>
      <c r="C2395" s="3">
        <v>4</v>
      </c>
      <c r="D2395" s="4">
        <v>57.6</v>
      </c>
      <c r="E2395" s="4">
        <v>40</v>
      </c>
      <c r="F2395" s="4">
        <f t="shared" si="161"/>
        <v>17.600000000000001</v>
      </c>
      <c r="G2395" s="5">
        <f t="shared" si="162"/>
        <v>0.30555555555555558</v>
      </c>
      <c r="H2395" s="2" t="s">
        <v>1663</v>
      </c>
      <c r="I2395" s="6" t="s">
        <v>39</v>
      </c>
      <c r="J2395" s="2" t="s">
        <v>1664</v>
      </c>
      <c r="K2395" s="2" t="s">
        <v>5</v>
      </c>
      <c r="L2395" s="2" t="s">
        <v>28</v>
      </c>
      <c r="M2395" s="2" t="s">
        <v>5</v>
      </c>
      <c r="N2395" s="4">
        <v>1857.94</v>
      </c>
    </row>
    <row r="2396" spans="1:14" x14ac:dyDescent="0.25">
      <c r="A2396" s="2" t="s">
        <v>542</v>
      </c>
      <c r="B2396" s="2" t="s">
        <v>543</v>
      </c>
      <c r="C2396" s="3">
        <v>4</v>
      </c>
      <c r="D2396" s="4">
        <v>57.6</v>
      </c>
      <c r="E2396" s="4">
        <v>40</v>
      </c>
      <c r="F2396" s="4">
        <f t="shared" si="161"/>
        <v>17.600000000000001</v>
      </c>
      <c r="G2396" s="5">
        <f t="shared" si="162"/>
        <v>0.30555555555555558</v>
      </c>
      <c r="H2396" s="2" t="s">
        <v>1667</v>
      </c>
      <c r="I2396" s="6" t="s">
        <v>25</v>
      </c>
      <c r="J2396" s="2" t="s">
        <v>1668</v>
      </c>
      <c r="K2396" s="2" t="s">
        <v>5</v>
      </c>
      <c r="L2396" s="2" t="s">
        <v>28</v>
      </c>
      <c r="M2396" s="2" t="s">
        <v>5</v>
      </c>
      <c r="N2396" s="4">
        <v>1025.29</v>
      </c>
    </row>
    <row r="2397" spans="1:14" x14ac:dyDescent="0.25">
      <c r="A2397" s="2" t="s">
        <v>1669</v>
      </c>
      <c r="B2397" s="2" t="s">
        <v>1670</v>
      </c>
      <c r="C2397" s="3">
        <v>4</v>
      </c>
      <c r="D2397" s="4">
        <v>42.44</v>
      </c>
      <c r="E2397" s="4">
        <v>28.4</v>
      </c>
      <c r="F2397" s="4">
        <f t="shared" si="161"/>
        <v>14.04</v>
      </c>
      <c r="G2397" s="5">
        <f t="shared" si="162"/>
        <v>0.33081998114985861</v>
      </c>
      <c r="H2397" s="2" t="s">
        <v>1663</v>
      </c>
      <c r="I2397" s="6" t="s">
        <v>39</v>
      </c>
      <c r="J2397" s="2" t="s">
        <v>1664</v>
      </c>
      <c r="K2397" s="2" t="s">
        <v>5</v>
      </c>
      <c r="L2397" s="2" t="s">
        <v>28</v>
      </c>
      <c r="M2397" s="2" t="s">
        <v>5</v>
      </c>
      <c r="N2397" s="4">
        <v>1857.94</v>
      </c>
    </row>
    <row r="2398" spans="1:14" x14ac:dyDescent="0.25">
      <c r="A2398" s="2" t="s">
        <v>544</v>
      </c>
      <c r="B2398" s="2" t="s">
        <v>545</v>
      </c>
      <c r="C2398" s="3">
        <v>6.1550000000000002</v>
      </c>
      <c r="D2398" s="4">
        <v>268.78885000000002</v>
      </c>
      <c r="E2398" s="4">
        <v>190.80500000000001</v>
      </c>
      <c r="F2398" s="4">
        <f t="shared" si="161"/>
        <v>77.983850000000018</v>
      </c>
      <c r="G2398" s="5">
        <f t="shared" si="162"/>
        <v>0.29013052438745141</v>
      </c>
      <c r="H2398" s="2" t="s">
        <v>1663</v>
      </c>
      <c r="I2398" s="6" t="s">
        <v>39</v>
      </c>
      <c r="J2398" s="2" t="s">
        <v>1664</v>
      </c>
      <c r="K2398" s="2" t="s">
        <v>5</v>
      </c>
      <c r="L2398" s="2" t="s">
        <v>28</v>
      </c>
      <c r="M2398" s="2" t="s">
        <v>5</v>
      </c>
      <c r="N2398" s="4">
        <v>1857.94</v>
      </c>
    </row>
    <row r="2399" spans="1:14" x14ac:dyDescent="0.25">
      <c r="A2399" s="2" t="s">
        <v>544</v>
      </c>
      <c r="B2399" s="2" t="s">
        <v>545</v>
      </c>
      <c r="C2399" s="3">
        <v>6.0750000000000002</v>
      </c>
      <c r="D2399" s="4">
        <v>265.29525000000001</v>
      </c>
      <c r="E2399" s="4">
        <v>188.32499999999999</v>
      </c>
      <c r="F2399" s="4">
        <f t="shared" si="161"/>
        <v>76.970250000000021</v>
      </c>
      <c r="G2399" s="5">
        <f t="shared" si="162"/>
        <v>0.29013052438745141</v>
      </c>
      <c r="H2399" s="2" t="s">
        <v>1667</v>
      </c>
      <c r="I2399" s="6" t="s">
        <v>25</v>
      </c>
      <c r="J2399" s="2" t="s">
        <v>1668</v>
      </c>
      <c r="K2399" s="2" t="s">
        <v>5</v>
      </c>
      <c r="L2399" s="2" t="s">
        <v>28</v>
      </c>
      <c r="M2399" s="2" t="s">
        <v>5</v>
      </c>
      <c r="N2399" s="4">
        <v>1025.29</v>
      </c>
    </row>
    <row r="2400" spans="1:14" x14ac:dyDescent="0.25">
      <c r="A2400" s="2" t="s">
        <v>1486</v>
      </c>
      <c r="B2400" s="2" t="s">
        <v>1487</v>
      </c>
      <c r="C2400" s="3">
        <v>16.373999999999999</v>
      </c>
      <c r="D2400" s="4">
        <v>396.41453999999999</v>
      </c>
      <c r="E2400" s="4">
        <v>229.23599999999999</v>
      </c>
      <c r="F2400" s="4">
        <f t="shared" si="161"/>
        <v>167.17854</v>
      </c>
      <c r="G2400" s="5">
        <f t="shared" si="162"/>
        <v>0.42172655927302766</v>
      </c>
      <c r="H2400" s="2" t="s">
        <v>1663</v>
      </c>
      <c r="I2400" s="6" t="s">
        <v>39</v>
      </c>
      <c r="J2400" s="2" t="s">
        <v>1664</v>
      </c>
      <c r="K2400" s="2" t="s">
        <v>5</v>
      </c>
      <c r="L2400" s="2" t="s">
        <v>28</v>
      </c>
      <c r="M2400" s="2" t="s">
        <v>5</v>
      </c>
      <c r="N2400" s="4">
        <v>1857.94</v>
      </c>
    </row>
    <row r="2401" spans="1:14" x14ac:dyDescent="0.25">
      <c r="A2401" s="2" t="s">
        <v>546</v>
      </c>
      <c r="B2401" s="2" t="s">
        <v>547</v>
      </c>
      <c r="C2401" s="3">
        <v>31.54</v>
      </c>
      <c r="D2401" s="4">
        <v>790.39239999999995</v>
      </c>
      <c r="E2401" s="4">
        <v>457.33</v>
      </c>
      <c r="F2401" s="4">
        <f t="shared" si="161"/>
        <v>333.06239999999997</v>
      </c>
      <c r="G2401" s="5">
        <f t="shared" si="162"/>
        <v>0.42138866719872303</v>
      </c>
      <c r="H2401" s="2" t="s">
        <v>1663</v>
      </c>
      <c r="I2401" s="6" t="s">
        <v>39</v>
      </c>
      <c r="J2401" s="2" t="s">
        <v>1664</v>
      </c>
      <c r="K2401" s="2" t="s">
        <v>5</v>
      </c>
      <c r="L2401" s="2" t="s">
        <v>28</v>
      </c>
      <c r="M2401" s="2" t="s">
        <v>5</v>
      </c>
      <c r="N2401" s="4">
        <v>1857.94</v>
      </c>
    </row>
    <row r="2402" spans="1:14" x14ac:dyDescent="0.25">
      <c r="A2402" s="2" t="s">
        <v>546</v>
      </c>
      <c r="B2402" s="2" t="s">
        <v>547</v>
      </c>
      <c r="C2402" s="3">
        <v>10.77</v>
      </c>
      <c r="D2402" s="4">
        <v>269.89620000000002</v>
      </c>
      <c r="E2402" s="4">
        <v>156.16499999999999</v>
      </c>
      <c r="F2402" s="4">
        <f t="shared" si="161"/>
        <v>113.73120000000003</v>
      </c>
      <c r="G2402" s="5">
        <f t="shared" si="162"/>
        <v>0.42138866719872314</v>
      </c>
      <c r="H2402" s="2" t="s">
        <v>1667</v>
      </c>
      <c r="I2402" s="6" t="s">
        <v>25</v>
      </c>
      <c r="J2402" s="2" t="s">
        <v>1668</v>
      </c>
      <c r="K2402" s="2" t="s">
        <v>5</v>
      </c>
      <c r="L2402" s="2" t="s">
        <v>28</v>
      </c>
      <c r="M2402" s="2" t="s">
        <v>5</v>
      </c>
      <c r="N2402" s="4">
        <v>1025.29</v>
      </c>
    </row>
    <row r="2403" spans="1:14" x14ac:dyDescent="0.25">
      <c r="A2403" s="2" t="s">
        <v>1671</v>
      </c>
      <c r="B2403" s="2" t="s">
        <v>1672</v>
      </c>
      <c r="C2403" s="3">
        <v>10.035</v>
      </c>
      <c r="D2403" s="4">
        <v>251.47710000000001</v>
      </c>
      <c r="E2403" s="4">
        <v>145.50749999999999</v>
      </c>
      <c r="F2403" s="4">
        <f t="shared" si="161"/>
        <v>105.96960000000001</v>
      </c>
      <c r="G2403" s="5">
        <f t="shared" si="162"/>
        <v>0.42138866719872309</v>
      </c>
      <c r="H2403" s="2" t="s">
        <v>1663</v>
      </c>
      <c r="I2403" s="6" t="s">
        <v>39</v>
      </c>
      <c r="J2403" s="2" t="s">
        <v>1664</v>
      </c>
      <c r="K2403" s="2" t="s">
        <v>5</v>
      </c>
      <c r="L2403" s="2" t="s">
        <v>28</v>
      </c>
      <c r="M2403" s="2" t="s">
        <v>5</v>
      </c>
      <c r="N2403" s="4">
        <v>1857.94</v>
      </c>
    </row>
    <row r="2404" spans="1:14" x14ac:dyDescent="0.25">
      <c r="A2404" s="2" t="s">
        <v>1673</v>
      </c>
      <c r="B2404" s="2" t="s">
        <v>1674</v>
      </c>
      <c r="C2404" s="3">
        <v>12.44</v>
      </c>
      <c r="D2404" s="4">
        <v>198.2936</v>
      </c>
      <c r="E2404" s="4">
        <v>155.5</v>
      </c>
      <c r="F2404" s="4">
        <f t="shared" si="161"/>
        <v>42.793599999999998</v>
      </c>
      <c r="G2404" s="5">
        <f t="shared" si="162"/>
        <v>0.21580928481806774</v>
      </c>
      <c r="H2404" s="2" t="s">
        <v>1667</v>
      </c>
      <c r="I2404" s="6" t="s">
        <v>25</v>
      </c>
      <c r="J2404" s="2" t="s">
        <v>1668</v>
      </c>
      <c r="K2404" s="2" t="s">
        <v>5</v>
      </c>
      <c r="L2404" s="2" t="s">
        <v>28</v>
      </c>
      <c r="M2404" s="2" t="s">
        <v>5</v>
      </c>
      <c r="N2404" s="4">
        <v>1025.29</v>
      </c>
    </row>
    <row r="2406" spans="1:14" x14ac:dyDescent="0.25">
      <c r="A2406" s="13" t="s">
        <v>59</v>
      </c>
      <c r="B2406" s="21"/>
      <c r="C2406" s="22">
        <f>SUM(C2389:C2405)</f>
        <v>118.06499999999998</v>
      </c>
      <c r="D2406" s="23">
        <f>SUM(D2389:D2405)</f>
        <v>2883.2321000000002</v>
      </c>
      <c r="E2406" s="23">
        <f>SUM(E2389:E2405)</f>
        <v>1832.5076999999999</v>
      </c>
      <c r="F2406" s="23">
        <f>D2406-E2406</f>
        <v>1050.7244000000003</v>
      </c>
      <c r="G2406" s="24">
        <f>IF(((D2406)=0),0,(D2406-E2406)/ D2406)</f>
        <v>0.36442588163471135</v>
      </c>
      <c r="H2406" s="21"/>
      <c r="I2406" s="21"/>
      <c r="J2406" s="21"/>
      <c r="K2406" s="21"/>
      <c r="L2406" s="21"/>
      <c r="M2406" s="21"/>
      <c r="N2406" s="21"/>
    </row>
    <row r="2408" spans="1:14" s="17" customFormat="1" ht="18.75" x14ac:dyDescent="0.3"/>
    <row r="2409" spans="1:14" s="7" customFormat="1" x14ac:dyDescent="0.25">
      <c r="A2409" s="13" t="s">
        <v>1675</v>
      </c>
      <c r="B2409" s="18" t="s">
        <v>1676</v>
      </c>
      <c r="C2409" s="19"/>
      <c r="D2409" s="20" t="s">
        <v>5</v>
      </c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</row>
    <row r="2411" spans="1:14" x14ac:dyDescent="0.25">
      <c r="A2411" s="2" t="s">
        <v>1677</v>
      </c>
      <c r="B2411" s="2" t="s">
        <v>1678</v>
      </c>
      <c r="C2411" s="3">
        <v>72</v>
      </c>
      <c r="D2411" s="4">
        <v>11887.92</v>
      </c>
      <c r="E2411" s="4">
        <v>7560</v>
      </c>
      <c r="F2411" s="4">
        <f>D2411-E2411</f>
        <v>4327.92</v>
      </c>
      <c r="G2411" s="5">
        <f>IF(((D2411)=0),0,(D2411-E2411)/ D2411)</f>
        <v>0.36406032342074979</v>
      </c>
      <c r="H2411" s="2" t="s">
        <v>1679</v>
      </c>
      <c r="I2411" s="6" t="s">
        <v>69</v>
      </c>
      <c r="J2411" s="2" t="s">
        <v>1680</v>
      </c>
      <c r="K2411" s="2" t="s">
        <v>1681</v>
      </c>
      <c r="L2411" s="2" t="s">
        <v>28</v>
      </c>
      <c r="M2411" s="2" t="s">
        <v>5</v>
      </c>
      <c r="N2411" s="4">
        <v>11887.92</v>
      </c>
    </row>
    <row r="2413" spans="1:14" x14ac:dyDescent="0.25">
      <c r="A2413" s="13" t="s">
        <v>59</v>
      </c>
      <c r="B2413" s="21"/>
      <c r="C2413" s="22">
        <f>SUM(C2408:C2412)</f>
        <v>72</v>
      </c>
      <c r="D2413" s="23">
        <f>SUM(D2408:D2412)</f>
        <v>11887.92</v>
      </c>
      <c r="E2413" s="23">
        <f>SUM(E2408:E2412)</f>
        <v>7560</v>
      </c>
      <c r="F2413" s="23">
        <f>D2413-E2413</f>
        <v>4327.92</v>
      </c>
      <c r="G2413" s="24">
        <f>IF(((D2413)=0),0,(D2413-E2413)/ D2413)</f>
        <v>0.36406032342074979</v>
      </c>
      <c r="H2413" s="21"/>
      <c r="I2413" s="21"/>
      <c r="J2413" s="21"/>
      <c r="K2413" s="21"/>
      <c r="L2413" s="21"/>
      <c r="M2413" s="21"/>
      <c r="N2413" s="21"/>
    </row>
    <row r="2415" spans="1:14" s="17" customFormat="1" ht="18.75" x14ac:dyDescent="0.3"/>
    <row r="2416" spans="1:14" s="7" customFormat="1" x14ac:dyDescent="0.25">
      <c r="A2416" s="13" t="s">
        <v>1682</v>
      </c>
      <c r="B2416" s="18" t="s">
        <v>1683</v>
      </c>
      <c r="C2416" s="19"/>
      <c r="D2416" s="20" t="s">
        <v>5</v>
      </c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</row>
    <row r="2418" spans="1:14" x14ac:dyDescent="0.25">
      <c r="A2418" s="2" t="s">
        <v>566</v>
      </c>
      <c r="B2418" s="2" t="s">
        <v>567</v>
      </c>
      <c r="C2418" s="3">
        <v>22.93</v>
      </c>
      <c r="D2418" s="4">
        <v>367.33859999999999</v>
      </c>
      <c r="E2418" s="4">
        <v>261.40199999999999</v>
      </c>
      <c r="F2418" s="4">
        <f t="shared" ref="F2418:F2435" si="163">D2418-E2418</f>
        <v>105.9366</v>
      </c>
      <c r="G2418" s="5">
        <f t="shared" ref="G2418:G2435" si="164">IF(((D2418)=0),0,(D2418-E2418)/ D2418)</f>
        <v>0.28838951310861421</v>
      </c>
      <c r="H2418" s="2" t="s">
        <v>1684</v>
      </c>
      <c r="I2418" s="6" t="s">
        <v>74</v>
      </c>
      <c r="J2418" s="2" t="s">
        <v>1685</v>
      </c>
      <c r="K2418" s="2" t="s">
        <v>1686</v>
      </c>
      <c r="L2418" s="2" t="s">
        <v>28</v>
      </c>
      <c r="M2418" s="2" t="s">
        <v>5</v>
      </c>
      <c r="N2418" s="4">
        <v>7306.01</v>
      </c>
    </row>
    <row r="2419" spans="1:14" x14ac:dyDescent="0.25">
      <c r="A2419" s="2" t="s">
        <v>29</v>
      </c>
      <c r="B2419" s="2" t="s">
        <v>30</v>
      </c>
      <c r="C2419" s="3">
        <v>20.385000000000002</v>
      </c>
      <c r="D2419" s="4">
        <v>260.928</v>
      </c>
      <c r="E2419" s="4">
        <v>203.85</v>
      </c>
      <c r="F2419" s="4">
        <f t="shared" si="163"/>
        <v>57.078000000000003</v>
      </c>
      <c r="G2419" s="5">
        <f t="shared" si="164"/>
        <v>0.21875</v>
      </c>
      <c r="H2419" s="2" t="s">
        <v>1684</v>
      </c>
      <c r="I2419" s="6" t="s">
        <v>74</v>
      </c>
      <c r="J2419" s="2" t="s">
        <v>1685</v>
      </c>
      <c r="K2419" s="2" t="s">
        <v>1686</v>
      </c>
      <c r="L2419" s="2" t="s">
        <v>28</v>
      </c>
      <c r="M2419" s="2" t="s">
        <v>5</v>
      </c>
      <c r="N2419" s="4">
        <v>7306.01</v>
      </c>
    </row>
    <row r="2420" spans="1:14" x14ac:dyDescent="0.25">
      <c r="A2420" s="2" t="s">
        <v>322</v>
      </c>
      <c r="B2420" s="2" t="s">
        <v>323</v>
      </c>
      <c r="C2420" s="3">
        <v>48.83</v>
      </c>
      <c r="D2420" s="4">
        <v>1036.1726000000001</v>
      </c>
      <c r="E2420" s="4">
        <v>561.54499999999996</v>
      </c>
      <c r="F2420" s="4">
        <f t="shared" si="163"/>
        <v>474.62760000000014</v>
      </c>
      <c r="G2420" s="5">
        <f t="shared" si="164"/>
        <v>0.45805843543826585</v>
      </c>
      <c r="H2420" s="2" t="s">
        <v>1684</v>
      </c>
      <c r="I2420" s="6" t="s">
        <v>74</v>
      </c>
      <c r="J2420" s="2" t="s">
        <v>1685</v>
      </c>
      <c r="K2420" s="2" t="s">
        <v>1686</v>
      </c>
      <c r="L2420" s="2" t="s">
        <v>28</v>
      </c>
      <c r="M2420" s="2" t="s">
        <v>5</v>
      </c>
      <c r="N2420" s="4">
        <v>7306.01</v>
      </c>
    </row>
    <row r="2421" spans="1:14" x14ac:dyDescent="0.25">
      <c r="A2421" s="2" t="s">
        <v>613</v>
      </c>
      <c r="B2421" s="2" t="s">
        <v>614</v>
      </c>
      <c r="C2421" s="3">
        <v>30.456</v>
      </c>
      <c r="D2421" s="4">
        <v>161.41679999999999</v>
      </c>
      <c r="E2421" s="4">
        <v>109.6416</v>
      </c>
      <c r="F2421" s="4">
        <f t="shared" si="163"/>
        <v>51.775199999999998</v>
      </c>
      <c r="G2421" s="5">
        <f t="shared" si="164"/>
        <v>0.32075471698113206</v>
      </c>
      <c r="H2421" s="2" t="s">
        <v>1684</v>
      </c>
      <c r="I2421" s="6" t="s">
        <v>74</v>
      </c>
      <c r="J2421" s="2" t="s">
        <v>1685</v>
      </c>
      <c r="K2421" s="2" t="s">
        <v>1686</v>
      </c>
      <c r="L2421" s="2" t="s">
        <v>28</v>
      </c>
      <c r="M2421" s="2" t="s">
        <v>5</v>
      </c>
      <c r="N2421" s="4">
        <v>7306.01</v>
      </c>
    </row>
    <row r="2422" spans="1:14" x14ac:dyDescent="0.25">
      <c r="A2422" s="2" t="s">
        <v>807</v>
      </c>
      <c r="B2422" s="2" t="s">
        <v>808</v>
      </c>
      <c r="C2422" s="3">
        <v>5</v>
      </c>
      <c r="D2422" s="4">
        <v>40</v>
      </c>
      <c r="E2422" s="4">
        <v>30.45</v>
      </c>
      <c r="F2422" s="4">
        <f t="shared" si="163"/>
        <v>9.5500000000000007</v>
      </c>
      <c r="G2422" s="5">
        <f t="shared" si="164"/>
        <v>0.23875000000000002</v>
      </c>
      <c r="H2422" s="2" t="s">
        <v>1684</v>
      </c>
      <c r="I2422" s="6" t="s">
        <v>74</v>
      </c>
      <c r="J2422" s="2" t="s">
        <v>1685</v>
      </c>
      <c r="K2422" s="2" t="s">
        <v>1686</v>
      </c>
      <c r="L2422" s="2" t="s">
        <v>28</v>
      </c>
      <c r="M2422" s="2" t="s">
        <v>5</v>
      </c>
      <c r="N2422" s="4">
        <v>7306.01</v>
      </c>
    </row>
    <row r="2423" spans="1:14" x14ac:dyDescent="0.25">
      <c r="A2423" s="2" t="s">
        <v>709</v>
      </c>
      <c r="B2423" s="2" t="s">
        <v>710</v>
      </c>
      <c r="C2423" s="3">
        <v>15.6</v>
      </c>
      <c r="D2423" s="4">
        <v>219.33600000000001</v>
      </c>
      <c r="E2423" s="4">
        <v>161.46</v>
      </c>
      <c r="F2423" s="4">
        <f t="shared" si="163"/>
        <v>57.876000000000005</v>
      </c>
      <c r="G2423" s="5">
        <f t="shared" si="164"/>
        <v>0.26386913229018494</v>
      </c>
      <c r="H2423" s="2" t="s">
        <v>1684</v>
      </c>
      <c r="I2423" s="6" t="s">
        <v>74</v>
      </c>
      <c r="J2423" s="2" t="s">
        <v>1685</v>
      </c>
      <c r="K2423" s="2" t="s">
        <v>1686</v>
      </c>
      <c r="L2423" s="2" t="s">
        <v>28</v>
      </c>
      <c r="M2423" s="2" t="s">
        <v>5</v>
      </c>
      <c r="N2423" s="4">
        <v>7306.01</v>
      </c>
    </row>
    <row r="2424" spans="1:14" x14ac:dyDescent="0.25">
      <c r="A2424" s="2" t="s">
        <v>246</v>
      </c>
      <c r="B2424" s="2" t="s">
        <v>247</v>
      </c>
      <c r="C2424" s="3">
        <v>16</v>
      </c>
      <c r="D2424" s="4">
        <v>339.52</v>
      </c>
      <c r="E2424" s="4">
        <v>260</v>
      </c>
      <c r="F2424" s="4">
        <f t="shared" si="163"/>
        <v>79.519999999999982</v>
      </c>
      <c r="G2424" s="5">
        <f t="shared" si="164"/>
        <v>0.23421300659754943</v>
      </c>
      <c r="H2424" s="2" t="s">
        <v>1684</v>
      </c>
      <c r="I2424" s="6" t="s">
        <v>74</v>
      </c>
      <c r="J2424" s="2" t="s">
        <v>1685</v>
      </c>
      <c r="K2424" s="2" t="s">
        <v>1686</v>
      </c>
      <c r="L2424" s="2" t="s">
        <v>28</v>
      </c>
      <c r="M2424" s="2" t="s">
        <v>5</v>
      </c>
      <c r="N2424" s="4">
        <v>7306.01</v>
      </c>
    </row>
    <row r="2425" spans="1:14" x14ac:dyDescent="0.25">
      <c r="A2425" s="2" t="s">
        <v>579</v>
      </c>
      <c r="B2425" s="2" t="s">
        <v>580</v>
      </c>
      <c r="C2425" s="3">
        <v>16</v>
      </c>
      <c r="D2425" s="4">
        <v>256.32</v>
      </c>
      <c r="E2425" s="4">
        <v>148.80000000000001</v>
      </c>
      <c r="F2425" s="4">
        <f t="shared" si="163"/>
        <v>107.51999999999998</v>
      </c>
      <c r="G2425" s="5">
        <f t="shared" si="164"/>
        <v>0.41947565543071152</v>
      </c>
      <c r="H2425" s="2" t="s">
        <v>1684</v>
      </c>
      <c r="I2425" s="6" t="s">
        <v>74</v>
      </c>
      <c r="J2425" s="2" t="s">
        <v>1685</v>
      </c>
      <c r="K2425" s="2" t="s">
        <v>1686</v>
      </c>
      <c r="L2425" s="2" t="s">
        <v>28</v>
      </c>
      <c r="M2425" s="2" t="s">
        <v>5</v>
      </c>
      <c r="N2425" s="4">
        <v>7306.01</v>
      </c>
    </row>
    <row r="2426" spans="1:14" x14ac:dyDescent="0.25">
      <c r="A2426" s="2" t="s">
        <v>603</v>
      </c>
      <c r="B2426" s="2" t="s">
        <v>604</v>
      </c>
      <c r="C2426" s="3">
        <v>28.94</v>
      </c>
      <c r="D2426" s="4">
        <v>523.81399999999996</v>
      </c>
      <c r="E2426" s="4">
        <v>335.70400000000001</v>
      </c>
      <c r="F2426" s="4">
        <f t="shared" si="163"/>
        <v>188.10999999999996</v>
      </c>
      <c r="G2426" s="5">
        <f t="shared" si="164"/>
        <v>0.35911602209944743</v>
      </c>
      <c r="H2426" s="2" t="s">
        <v>1684</v>
      </c>
      <c r="I2426" s="6" t="s">
        <v>74</v>
      </c>
      <c r="J2426" s="2" t="s">
        <v>1685</v>
      </c>
      <c r="K2426" s="2" t="s">
        <v>1686</v>
      </c>
      <c r="L2426" s="2" t="s">
        <v>28</v>
      </c>
      <c r="M2426" s="2" t="s">
        <v>5</v>
      </c>
      <c r="N2426" s="4">
        <v>7306.01</v>
      </c>
    </row>
    <row r="2427" spans="1:14" x14ac:dyDescent="0.25">
      <c r="A2427" s="2" t="s">
        <v>51</v>
      </c>
      <c r="B2427" s="2" t="s">
        <v>52</v>
      </c>
      <c r="C2427" s="3">
        <v>39.86</v>
      </c>
      <c r="D2427" s="4">
        <v>681.20740000000001</v>
      </c>
      <c r="E2427" s="4">
        <v>657.69</v>
      </c>
      <c r="F2427" s="4">
        <f t="shared" si="163"/>
        <v>23.517399999999952</v>
      </c>
      <c r="G2427" s="5">
        <f t="shared" si="164"/>
        <v>3.4523112931538841E-2</v>
      </c>
      <c r="H2427" s="2" t="s">
        <v>1684</v>
      </c>
      <c r="I2427" s="6" t="s">
        <v>74</v>
      </c>
      <c r="J2427" s="2" t="s">
        <v>1685</v>
      </c>
      <c r="K2427" s="2" t="s">
        <v>1686</v>
      </c>
      <c r="L2427" s="2" t="s">
        <v>28</v>
      </c>
      <c r="M2427" s="2" t="s">
        <v>5</v>
      </c>
      <c r="N2427" s="4">
        <v>7306.01</v>
      </c>
    </row>
    <row r="2428" spans="1:14" x14ac:dyDescent="0.25">
      <c r="A2428" s="2" t="s">
        <v>248</v>
      </c>
      <c r="B2428" s="2" t="s">
        <v>249</v>
      </c>
      <c r="C2428" s="3">
        <v>16</v>
      </c>
      <c r="D2428" s="4">
        <v>197.28</v>
      </c>
      <c r="E2428" s="4">
        <v>152</v>
      </c>
      <c r="F2428" s="4">
        <f t="shared" si="163"/>
        <v>45.28</v>
      </c>
      <c r="G2428" s="5">
        <f t="shared" si="164"/>
        <v>0.22952149229521493</v>
      </c>
      <c r="H2428" s="2" t="s">
        <v>1684</v>
      </c>
      <c r="I2428" s="6" t="s">
        <v>74</v>
      </c>
      <c r="J2428" s="2" t="s">
        <v>1685</v>
      </c>
      <c r="K2428" s="2" t="s">
        <v>1686</v>
      </c>
      <c r="L2428" s="2" t="s">
        <v>28</v>
      </c>
      <c r="M2428" s="2" t="s">
        <v>5</v>
      </c>
      <c r="N2428" s="4">
        <v>7306.01</v>
      </c>
    </row>
    <row r="2429" spans="1:14" x14ac:dyDescent="0.25">
      <c r="A2429" s="2" t="s">
        <v>624</v>
      </c>
      <c r="B2429" s="2" t="s">
        <v>625</v>
      </c>
      <c r="C2429" s="3">
        <v>15.13</v>
      </c>
      <c r="D2429" s="4">
        <v>170.3638</v>
      </c>
      <c r="E2429" s="4">
        <v>113.47499999999999</v>
      </c>
      <c r="F2429" s="4">
        <f t="shared" si="163"/>
        <v>56.888800000000003</v>
      </c>
      <c r="G2429" s="5">
        <f t="shared" si="164"/>
        <v>0.33392539964476026</v>
      </c>
      <c r="H2429" s="2" t="s">
        <v>1684</v>
      </c>
      <c r="I2429" s="6" t="s">
        <v>74</v>
      </c>
      <c r="J2429" s="2" t="s">
        <v>1685</v>
      </c>
      <c r="K2429" s="2" t="s">
        <v>1686</v>
      </c>
      <c r="L2429" s="2" t="s">
        <v>28</v>
      </c>
      <c r="M2429" s="2" t="s">
        <v>5</v>
      </c>
      <c r="N2429" s="4">
        <v>7306.01</v>
      </c>
    </row>
    <row r="2430" spans="1:14" x14ac:dyDescent="0.25">
      <c r="A2430" s="2" t="s">
        <v>219</v>
      </c>
      <c r="B2430" s="2" t="s">
        <v>220</v>
      </c>
      <c r="C2430" s="3">
        <v>32.74</v>
      </c>
      <c r="D2430" s="4">
        <v>454.43119999999999</v>
      </c>
      <c r="E2430" s="4">
        <v>311.02999999999997</v>
      </c>
      <c r="F2430" s="4">
        <f t="shared" si="163"/>
        <v>143.40120000000002</v>
      </c>
      <c r="G2430" s="5">
        <f t="shared" si="164"/>
        <v>0.31556195965417871</v>
      </c>
      <c r="H2430" s="2" t="s">
        <v>1684</v>
      </c>
      <c r="I2430" s="6" t="s">
        <v>74</v>
      </c>
      <c r="J2430" s="2" t="s">
        <v>1685</v>
      </c>
      <c r="K2430" s="2" t="s">
        <v>1686</v>
      </c>
      <c r="L2430" s="2" t="s">
        <v>28</v>
      </c>
      <c r="M2430" s="2" t="s">
        <v>5</v>
      </c>
      <c r="N2430" s="4">
        <v>7306.01</v>
      </c>
    </row>
    <row r="2431" spans="1:14" x14ac:dyDescent="0.25">
      <c r="A2431" s="2" t="s">
        <v>53</v>
      </c>
      <c r="B2431" s="2" t="s">
        <v>54</v>
      </c>
      <c r="C2431" s="3">
        <v>28.96</v>
      </c>
      <c r="D2431" s="4">
        <v>262.08800000000002</v>
      </c>
      <c r="E2431" s="4">
        <v>211.40799999999999</v>
      </c>
      <c r="F2431" s="4">
        <f t="shared" si="163"/>
        <v>50.680000000000035</v>
      </c>
      <c r="G2431" s="5">
        <f t="shared" si="164"/>
        <v>0.19337016574585647</v>
      </c>
      <c r="H2431" s="2" t="s">
        <v>1684</v>
      </c>
      <c r="I2431" s="6" t="s">
        <v>74</v>
      </c>
      <c r="J2431" s="2" t="s">
        <v>1685</v>
      </c>
      <c r="K2431" s="2" t="s">
        <v>1686</v>
      </c>
      <c r="L2431" s="2" t="s">
        <v>28</v>
      </c>
      <c r="M2431" s="2" t="s">
        <v>5</v>
      </c>
      <c r="N2431" s="4">
        <v>7306.01</v>
      </c>
    </row>
    <row r="2432" spans="1:14" x14ac:dyDescent="0.25">
      <c r="A2432" s="2" t="s">
        <v>122</v>
      </c>
      <c r="B2432" s="2" t="s">
        <v>123</v>
      </c>
      <c r="C2432" s="3">
        <v>29.25</v>
      </c>
      <c r="D2432" s="4">
        <v>250.38</v>
      </c>
      <c r="E2432" s="4">
        <v>160.875</v>
      </c>
      <c r="F2432" s="4">
        <f t="shared" si="163"/>
        <v>89.504999999999995</v>
      </c>
      <c r="G2432" s="5">
        <f t="shared" si="164"/>
        <v>0.3574766355140187</v>
      </c>
      <c r="H2432" s="2" t="s">
        <v>1684</v>
      </c>
      <c r="I2432" s="6" t="s">
        <v>74</v>
      </c>
      <c r="J2432" s="2" t="s">
        <v>1685</v>
      </c>
      <c r="K2432" s="2" t="s">
        <v>1686</v>
      </c>
      <c r="L2432" s="2" t="s">
        <v>28</v>
      </c>
      <c r="M2432" s="2" t="s">
        <v>5</v>
      </c>
      <c r="N2432" s="4">
        <v>7306.01</v>
      </c>
    </row>
    <row r="2433" spans="1:14" x14ac:dyDescent="0.25">
      <c r="A2433" s="2" t="s">
        <v>589</v>
      </c>
      <c r="B2433" s="2" t="s">
        <v>590</v>
      </c>
      <c r="C2433" s="3">
        <v>30.265000000000001</v>
      </c>
      <c r="D2433" s="4">
        <v>549.61239999999998</v>
      </c>
      <c r="E2433" s="4">
        <v>416.14375000000001</v>
      </c>
      <c r="F2433" s="4">
        <f t="shared" si="163"/>
        <v>133.46864999999997</v>
      </c>
      <c r="G2433" s="5">
        <f t="shared" si="164"/>
        <v>0.2428414096916299</v>
      </c>
      <c r="H2433" s="2" t="s">
        <v>1684</v>
      </c>
      <c r="I2433" s="6" t="s">
        <v>74</v>
      </c>
      <c r="J2433" s="2" t="s">
        <v>1685</v>
      </c>
      <c r="K2433" s="2" t="s">
        <v>1686</v>
      </c>
      <c r="L2433" s="2" t="s">
        <v>28</v>
      </c>
      <c r="M2433" s="2" t="s">
        <v>5</v>
      </c>
      <c r="N2433" s="4">
        <v>7306.01</v>
      </c>
    </row>
    <row r="2434" spans="1:14" x14ac:dyDescent="0.25">
      <c r="A2434" s="2" t="s">
        <v>591</v>
      </c>
      <c r="B2434" s="2" t="s">
        <v>592</v>
      </c>
      <c r="C2434" s="3">
        <v>13.52</v>
      </c>
      <c r="D2434" s="4">
        <v>129.38640000000001</v>
      </c>
      <c r="E2434" s="4">
        <v>78.415999999999997</v>
      </c>
      <c r="F2434" s="4">
        <f t="shared" si="163"/>
        <v>50.970400000000012</v>
      </c>
      <c r="G2434" s="5">
        <f t="shared" si="164"/>
        <v>0.39393939393939403</v>
      </c>
      <c r="H2434" s="2" t="s">
        <v>1684</v>
      </c>
      <c r="I2434" s="6" t="s">
        <v>74</v>
      </c>
      <c r="J2434" s="2" t="s">
        <v>1685</v>
      </c>
      <c r="K2434" s="2" t="s">
        <v>1686</v>
      </c>
      <c r="L2434" s="2" t="s">
        <v>28</v>
      </c>
      <c r="M2434" s="2" t="s">
        <v>5</v>
      </c>
      <c r="N2434" s="4">
        <v>7306.01</v>
      </c>
    </row>
    <row r="2435" spans="1:14" x14ac:dyDescent="0.25">
      <c r="A2435" s="2" t="s">
        <v>1687</v>
      </c>
      <c r="B2435" s="2" t="s">
        <v>1688</v>
      </c>
      <c r="C2435" s="3">
        <v>41.994999999999997</v>
      </c>
      <c r="D2435" s="4">
        <v>1406.41255</v>
      </c>
      <c r="E2435" s="4">
        <v>923.89</v>
      </c>
      <c r="F2435" s="4">
        <f t="shared" si="163"/>
        <v>482.52255000000002</v>
      </c>
      <c r="G2435" s="5">
        <f t="shared" si="164"/>
        <v>0.34308748880262768</v>
      </c>
      <c r="H2435" s="2" t="s">
        <v>1684</v>
      </c>
      <c r="I2435" s="6" t="s">
        <v>74</v>
      </c>
      <c r="J2435" s="2" t="s">
        <v>1685</v>
      </c>
      <c r="K2435" s="2" t="s">
        <v>1686</v>
      </c>
      <c r="L2435" s="2" t="s">
        <v>28</v>
      </c>
      <c r="M2435" s="2" t="s">
        <v>5</v>
      </c>
      <c r="N2435" s="4">
        <v>7306.01</v>
      </c>
    </row>
    <row r="2437" spans="1:14" x14ac:dyDescent="0.25">
      <c r="A2437" s="13" t="s">
        <v>59</v>
      </c>
      <c r="B2437" s="21"/>
      <c r="C2437" s="22">
        <f>SUM(C2415:C2436)</f>
        <v>451.86099999999993</v>
      </c>
      <c r="D2437" s="23">
        <f>SUM(D2415:D2436)</f>
        <v>7306.0077499999998</v>
      </c>
      <c r="E2437" s="23">
        <f>SUM(E2415:E2436)</f>
        <v>5097.78035</v>
      </c>
      <c r="F2437" s="23">
        <f>D2437-E2437</f>
        <v>2208.2273999999998</v>
      </c>
      <c r="G2437" s="24">
        <f>IF(((D2437)=0),0,(D2437-E2437)/ D2437)</f>
        <v>0.30224816008441818</v>
      </c>
      <c r="H2437" s="21"/>
      <c r="I2437" s="21"/>
      <c r="J2437" s="21"/>
      <c r="K2437" s="21"/>
      <c r="L2437" s="21"/>
      <c r="M2437" s="21"/>
      <c r="N2437" s="21"/>
    </row>
    <row r="2439" spans="1:14" s="17" customFormat="1" ht="18.75" x14ac:dyDescent="0.3"/>
    <row r="2440" spans="1:14" s="7" customFormat="1" x14ac:dyDescent="0.25">
      <c r="A2440" s="13" t="s">
        <v>1689</v>
      </c>
      <c r="B2440" s="18" t="s">
        <v>1690</v>
      </c>
      <c r="C2440" s="19"/>
      <c r="D2440" s="20" t="s">
        <v>5</v>
      </c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</row>
    <row r="2442" spans="1:14" x14ac:dyDescent="0.25">
      <c r="A2442" s="2" t="s">
        <v>1691</v>
      </c>
      <c r="B2442" s="2" t="s">
        <v>1692</v>
      </c>
      <c r="C2442" s="3">
        <v>8</v>
      </c>
      <c r="D2442" s="4">
        <v>136.08000000000001</v>
      </c>
      <c r="E2442" s="4">
        <v>64</v>
      </c>
      <c r="F2442" s="4">
        <f>D2442-E2442</f>
        <v>72.080000000000013</v>
      </c>
      <c r="G2442" s="5">
        <f>IF(((D2442)=0),0,(D2442-E2442)/ D2442)</f>
        <v>0.52968841857730753</v>
      </c>
      <c r="H2442" s="2" t="s">
        <v>1693</v>
      </c>
      <c r="I2442" s="6" t="s">
        <v>25</v>
      </c>
      <c r="J2442" s="2" t="s">
        <v>1694</v>
      </c>
      <c r="K2442" s="2" t="s">
        <v>5</v>
      </c>
      <c r="L2442" s="2" t="s">
        <v>28</v>
      </c>
      <c r="M2442" s="2" t="s">
        <v>5</v>
      </c>
      <c r="N2442" s="4">
        <v>2816.48</v>
      </c>
    </row>
    <row r="2443" spans="1:14" x14ac:dyDescent="0.25">
      <c r="A2443" s="2" t="s">
        <v>1695</v>
      </c>
      <c r="B2443" s="2" t="s">
        <v>1696</v>
      </c>
      <c r="C2443" s="3">
        <v>7.2249999999999996</v>
      </c>
      <c r="D2443" s="4">
        <v>80.92</v>
      </c>
      <c r="E2443" s="4">
        <v>52.7425</v>
      </c>
      <c r="F2443" s="4">
        <f>D2443-E2443</f>
        <v>28.177500000000002</v>
      </c>
      <c r="G2443" s="5">
        <f>IF(((D2443)=0),0,(D2443-E2443)/ D2443)</f>
        <v>0.34821428571428575</v>
      </c>
      <c r="H2443" s="2" t="s">
        <v>1693</v>
      </c>
      <c r="I2443" s="6" t="s">
        <v>25</v>
      </c>
      <c r="J2443" s="2" t="s">
        <v>1694</v>
      </c>
      <c r="K2443" s="2" t="s">
        <v>5</v>
      </c>
      <c r="L2443" s="2" t="s">
        <v>28</v>
      </c>
      <c r="M2443" s="2" t="s">
        <v>5</v>
      </c>
      <c r="N2443" s="4">
        <v>2816.48</v>
      </c>
    </row>
    <row r="2444" spans="1:14" x14ac:dyDescent="0.25">
      <c r="A2444" s="2" t="s">
        <v>1486</v>
      </c>
      <c r="B2444" s="2" t="s">
        <v>1487</v>
      </c>
      <c r="C2444" s="3">
        <v>60.075000000000003</v>
      </c>
      <c r="D2444" s="4">
        <v>1454.4157499999999</v>
      </c>
      <c r="E2444" s="4">
        <v>841.05</v>
      </c>
      <c r="F2444" s="4">
        <f>D2444-E2444</f>
        <v>613.36574999999993</v>
      </c>
      <c r="G2444" s="5">
        <f>IF(((D2444)=0),0,(D2444-E2444)/ D2444)</f>
        <v>0.42172655927302766</v>
      </c>
      <c r="H2444" s="2" t="s">
        <v>1693</v>
      </c>
      <c r="I2444" s="6" t="s">
        <v>25</v>
      </c>
      <c r="J2444" s="2" t="s">
        <v>1694</v>
      </c>
      <c r="K2444" s="2" t="s">
        <v>5</v>
      </c>
      <c r="L2444" s="2" t="s">
        <v>28</v>
      </c>
      <c r="M2444" s="2" t="s">
        <v>5</v>
      </c>
      <c r="N2444" s="4">
        <v>2816.48</v>
      </c>
    </row>
    <row r="2445" spans="1:14" x14ac:dyDescent="0.25">
      <c r="A2445" s="2" t="s">
        <v>550</v>
      </c>
      <c r="B2445" s="2" t="s">
        <v>551</v>
      </c>
      <c r="C2445" s="3">
        <v>16.2</v>
      </c>
      <c r="D2445" s="4">
        <v>509.65199999999999</v>
      </c>
      <c r="E2445" s="4">
        <v>380.7</v>
      </c>
      <c r="F2445" s="4">
        <f>D2445-E2445</f>
        <v>128.952</v>
      </c>
      <c r="G2445" s="5">
        <f>IF(((D2445)=0),0,(D2445-E2445)/ D2445)</f>
        <v>0.25301970756516212</v>
      </c>
      <c r="H2445" s="2" t="s">
        <v>1693</v>
      </c>
      <c r="I2445" s="6" t="s">
        <v>25</v>
      </c>
      <c r="J2445" s="2" t="s">
        <v>1694</v>
      </c>
      <c r="K2445" s="2" t="s">
        <v>5</v>
      </c>
      <c r="L2445" s="2" t="s">
        <v>28</v>
      </c>
      <c r="M2445" s="2" t="s">
        <v>5</v>
      </c>
      <c r="N2445" s="4">
        <v>2816.48</v>
      </c>
    </row>
    <row r="2446" spans="1:14" x14ac:dyDescent="0.25">
      <c r="A2446" s="2" t="s">
        <v>1697</v>
      </c>
      <c r="B2446" s="2" t="s">
        <v>1698</v>
      </c>
      <c r="C2446" s="3">
        <v>20.59</v>
      </c>
      <c r="D2446" s="4">
        <v>635.40740000000005</v>
      </c>
      <c r="E2446" s="4">
        <v>422.09500000000003</v>
      </c>
      <c r="F2446" s="4">
        <f>D2446-E2446</f>
        <v>213.31240000000003</v>
      </c>
      <c r="G2446" s="5">
        <f>IF(((D2446)=0),0,(D2446-E2446)/ D2446)</f>
        <v>0.33570965651328583</v>
      </c>
      <c r="H2446" s="2" t="s">
        <v>1693</v>
      </c>
      <c r="I2446" s="6" t="s">
        <v>25</v>
      </c>
      <c r="J2446" s="2" t="s">
        <v>1694</v>
      </c>
      <c r="K2446" s="2" t="s">
        <v>5</v>
      </c>
      <c r="L2446" s="2" t="s">
        <v>28</v>
      </c>
      <c r="M2446" s="2" t="s">
        <v>5</v>
      </c>
      <c r="N2446" s="4">
        <v>2816.48</v>
      </c>
    </row>
    <row r="2448" spans="1:14" x14ac:dyDescent="0.25">
      <c r="A2448" s="13" t="s">
        <v>59</v>
      </c>
      <c r="B2448" s="21"/>
      <c r="C2448" s="22">
        <f>SUM(C2439:C2447)</f>
        <v>112.09</v>
      </c>
      <c r="D2448" s="23">
        <f>SUM(D2439:D2447)</f>
        <v>2816.4751499999998</v>
      </c>
      <c r="E2448" s="23">
        <f>SUM(E2439:E2447)</f>
        <v>1760.5875000000001</v>
      </c>
      <c r="F2448" s="23">
        <f>D2448-E2448</f>
        <v>1055.8876499999997</v>
      </c>
      <c r="G2448" s="24">
        <f>IF(((D2448)=0),0,(D2448-E2448)/ D2448)</f>
        <v>0.37489684579677535</v>
      </c>
      <c r="H2448" s="21"/>
      <c r="I2448" s="21"/>
      <c r="J2448" s="21"/>
      <c r="K2448" s="21"/>
      <c r="L2448" s="21"/>
      <c r="M2448" s="21"/>
      <c r="N2448" s="21"/>
    </row>
    <row r="2450" spans="1:14" s="17" customFormat="1" ht="18.75" x14ac:dyDescent="0.3"/>
    <row r="2451" spans="1:14" s="7" customFormat="1" x14ac:dyDescent="0.25">
      <c r="A2451" s="13" t="s">
        <v>1699</v>
      </c>
      <c r="B2451" s="18" t="s">
        <v>1700</v>
      </c>
      <c r="C2451" s="19"/>
      <c r="D2451" s="20" t="s">
        <v>5</v>
      </c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</row>
    <row r="2453" spans="1:14" x14ac:dyDescent="0.25">
      <c r="A2453" s="2" t="s">
        <v>1701</v>
      </c>
      <c r="B2453" s="2" t="s">
        <v>1702</v>
      </c>
      <c r="C2453" s="3">
        <v>5.44</v>
      </c>
      <c r="D2453" s="4">
        <v>87.4208</v>
      </c>
      <c r="E2453" s="4">
        <v>37.536000000000001</v>
      </c>
      <c r="F2453" s="4">
        <f>D2453-E2453</f>
        <v>49.884799999999998</v>
      </c>
      <c r="G2453" s="5">
        <f>IF(((D2453)=0),0,(D2453-E2453)/ D2453)</f>
        <v>0.57062850031113876</v>
      </c>
      <c r="H2453" s="2" t="s">
        <v>1703</v>
      </c>
      <c r="I2453" s="6" t="s">
        <v>25</v>
      </c>
      <c r="J2453" s="2" t="s">
        <v>1704</v>
      </c>
      <c r="K2453" s="2" t="s">
        <v>5</v>
      </c>
      <c r="L2453" s="2" t="s">
        <v>28</v>
      </c>
      <c r="M2453" s="2" t="s">
        <v>5</v>
      </c>
      <c r="N2453" s="4">
        <v>110.36</v>
      </c>
    </row>
    <row r="2454" spans="1:14" x14ac:dyDescent="0.25">
      <c r="A2454" s="2" t="s">
        <v>538</v>
      </c>
      <c r="B2454" s="2" t="s">
        <v>539</v>
      </c>
      <c r="C2454" s="3">
        <v>4.78</v>
      </c>
      <c r="D2454" s="4">
        <v>22.943999999999999</v>
      </c>
      <c r="E2454" s="4">
        <v>11.95</v>
      </c>
      <c r="F2454" s="4">
        <f>D2454-E2454</f>
        <v>10.994</v>
      </c>
      <c r="G2454" s="5">
        <f>IF(((D2454)=0),0,(D2454-E2454)/ D2454)</f>
        <v>0.47916666666666669</v>
      </c>
      <c r="H2454" s="2" t="s">
        <v>1703</v>
      </c>
      <c r="I2454" s="6" t="s">
        <v>25</v>
      </c>
      <c r="J2454" s="2" t="s">
        <v>1704</v>
      </c>
      <c r="K2454" s="2" t="s">
        <v>5</v>
      </c>
      <c r="L2454" s="2" t="s">
        <v>28</v>
      </c>
      <c r="M2454" s="2" t="s">
        <v>5</v>
      </c>
      <c r="N2454" s="4">
        <v>110.36</v>
      </c>
    </row>
    <row r="2456" spans="1:14" x14ac:dyDescent="0.25">
      <c r="A2456" s="13" t="s">
        <v>59</v>
      </c>
      <c r="B2456" s="21"/>
      <c r="C2456" s="22">
        <f>SUM(C2450:C2455)</f>
        <v>10.220000000000001</v>
      </c>
      <c r="D2456" s="23">
        <f>SUM(D2450:D2455)</f>
        <v>110.3648</v>
      </c>
      <c r="E2456" s="23">
        <f>SUM(E2450:E2455)</f>
        <v>49.486000000000004</v>
      </c>
      <c r="F2456" s="23">
        <f>D2456-E2456</f>
        <v>60.878799999999998</v>
      </c>
      <c r="G2456" s="24">
        <f>IF(((D2456)=0),0,(D2456-E2456)/ D2456)</f>
        <v>0.55161428281481051</v>
      </c>
      <c r="H2456" s="21"/>
      <c r="I2456" s="21"/>
      <c r="J2456" s="21"/>
      <c r="K2456" s="21"/>
      <c r="L2456" s="21"/>
      <c r="M2456" s="21"/>
      <c r="N2456" s="21"/>
    </row>
    <row r="2458" spans="1:14" s="17" customFormat="1" ht="18.75" x14ac:dyDescent="0.3"/>
    <row r="2459" spans="1:14" s="7" customFormat="1" x14ac:dyDescent="0.25">
      <c r="A2459" s="13" t="s">
        <v>1705</v>
      </c>
      <c r="B2459" s="18" t="s">
        <v>1706</v>
      </c>
      <c r="C2459" s="19"/>
      <c r="D2459" s="20" t="s">
        <v>5</v>
      </c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</row>
    <row r="2461" spans="1:14" x14ac:dyDescent="0.25">
      <c r="A2461" s="2" t="s">
        <v>1707</v>
      </c>
      <c r="B2461" s="2" t="s">
        <v>1708</v>
      </c>
      <c r="C2461" s="3">
        <v>19.149999999999999</v>
      </c>
      <c r="D2461" s="4">
        <v>316.54950000000002</v>
      </c>
      <c r="E2461" s="4">
        <v>196.28749999999999</v>
      </c>
      <c r="F2461" s="4">
        <f t="shared" ref="F2461:F2469" si="165">D2461-E2461</f>
        <v>120.26200000000003</v>
      </c>
      <c r="G2461" s="5">
        <f t="shared" ref="G2461:G2469" si="166">IF(((D2461)=0),0,(D2461-E2461)/ D2461)</f>
        <v>0.37991530550514224</v>
      </c>
      <c r="H2461" s="2" t="s">
        <v>1709</v>
      </c>
      <c r="I2461" s="6" t="s">
        <v>25</v>
      </c>
      <c r="J2461" s="2" t="s">
        <v>1710</v>
      </c>
      <c r="K2461" s="2" t="s">
        <v>5</v>
      </c>
      <c r="L2461" s="2" t="s">
        <v>28</v>
      </c>
      <c r="M2461" s="2" t="s">
        <v>5</v>
      </c>
      <c r="N2461" s="4">
        <v>2075.39</v>
      </c>
    </row>
    <row r="2462" spans="1:14" x14ac:dyDescent="0.25">
      <c r="A2462" s="2" t="s">
        <v>536</v>
      </c>
      <c r="B2462" s="2" t="s">
        <v>537</v>
      </c>
      <c r="C2462" s="3">
        <v>5.52</v>
      </c>
      <c r="D2462" s="4">
        <v>85.835999999999999</v>
      </c>
      <c r="E2462" s="4">
        <v>41.4</v>
      </c>
      <c r="F2462" s="4">
        <f t="shared" si="165"/>
        <v>44.436</v>
      </c>
      <c r="G2462" s="5">
        <f t="shared" si="166"/>
        <v>0.51768488745980712</v>
      </c>
      <c r="H2462" s="2" t="s">
        <v>1709</v>
      </c>
      <c r="I2462" s="6" t="s">
        <v>25</v>
      </c>
      <c r="J2462" s="2" t="s">
        <v>1710</v>
      </c>
      <c r="K2462" s="2" t="s">
        <v>5</v>
      </c>
      <c r="L2462" s="2" t="s">
        <v>28</v>
      </c>
      <c r="M2462" s="2" t="s">
        <v>5</v>
      </c>
      <c r="N2462" s="4">
        <v>2075.39</v>
      </c>
    </row>
    <row r="2463" spans="1:14" x14ac:dyDescent="0.25">
      <c r="A2463" s="2" t="s">
        <v>1701</v>
      </c>
      <c r="B2463" s="2" t="s">
        <v>1702</v>
      </c>
      <c r="C2463" s="3">
        <v>5.5</v>
      </c>
      <c r="D2463" s="4">
        <v>88.385000000000005</v>
      </c>
      <c r="E2463" s="4">
        <v>37.950000000000003</v>
      </c>
      <c r="F2463" s="4">
        <f t="shared" si="165"/>
        <v>50.435000000000002</v>
      </c>
      <c r="G2463" s="5">
        <f t="shared" si="166"/>
        <v>0.57062850031113876</v>
      </c>
      <c r="H2463" s="2" t="s">
        <v>1709</v>
      </c>
      <c r="I2463" s="6" t="s">
        <v>25</v>
      </c>
      <c r="J2463" s="2" t="s">
        <v>1710</v>
      </c>
      <c r="K2463" s="2" t="s">
        <v>5</v>
      </c>
      <c r="L2463" s="2" t="s">
        <v>28</v>
      </c>
      <c r="M2463" s="2" t="s">
        <v>5</v>
      </c>
      <c r="N2463" s="4">
        <v>2075.39</v>
      </c>
    </row>
    <row r="2464" spans="1:14" x14ac:dyDescent="0.25">
      <c r="A2464" s="2" t="s">
        <v>538</v>
      </c>
      <c r="B2464" s="2" t="s">
        <v>539</v>
      </c>
      <c r="C2464" s="3">
        <v>10.115</v>
      </c>
      <c r="D2464" s="4">
        <v>48.552</v>
      </c>
      <c r="E2464" s="4">
        <v>25.287500000000001</v>
      </c>
      <c r="F2464" s="4">
        <f t="shared" si="165"/>
        <v>23.264499999999998</v>
      </c>
      <c r="G2464" s="5">
        <f t="shared" si="166"/>
        <v>0.47916666666666663</v>
      </c>
      <c r="H2464" s="2" t="s">
        <v>1709</v>
      </c>
      <c r="I2464" s="6" t="s">
        <v>25</v>
      </c>
      <c r="J2464" s="2" t="s">
        <v>1710</v>
      </c>
      <c r="K2464" s="2" t="s">
        <v>5</v>
      </c>
      <c r="L2464" s="2" t="s">
        <v>28</v>
      </c>
      <c r="M2464" s="2" t="s">
        <v>5</v>
      </c>
      <c r="N2464" s="4">
        <v>2075.39</v>
      </c>
    </row>
    <row r="2465" spans="1:14" x14ac:dyDescent="0.25">
      <c r="A2465" s="2" t="s">
        <v>1711</v>
      </c>
      <c r="B2465" s="2" t="s">
        <v>1712</v>
      </c>
      <c r="C2465" s="3">
        <v>5.1139999999999999</v>
      </c>
      <c r="D2465" s="4">
        <v>234.22120000000001</v>
      </c>
      <c r="E2465" s="4">
        <v>143.19200000000001</v>
      </c>
      <c r="F2465" s="4">
        <f t="shared" si="165"/>
        <v>91.029200000000003</v>
      </c>
      <c r="G2465" s="5">
        <f t="shared" si="166"/>
        <v>0.388646288209607</v>
      </c>
      <c r="H2465" s="2" t="s">
        <v>1709</v>
      </c>
      <c r="I2465" s="6" t="s">
        <v>25</v>
      </c>
      <c r="J2465" s="2" t="s">
        <v>1710</v>
      </c>
      <c r="K2465" s="2" t="s">
        <v>5</v>
      </c>
      <c r="L2465" s="2" t="s">
        <v>28</v>
      </c>
      <c r="M2465" s="2" t="s">
        <v>5</v>
      </c>
      <c r="N2465" s="4">
        <v>2075.39</v>
      </c>
    </row>
    <row r="2466" spans="1:14" x14ac:dyDescent="0.25">
      <c r="A2466" s="2" t="s">
        <v>1713</v>
      </c>
      <c r="B2466" s="2" t="s">
        <v>1714</v>
      </c>
      <c r="C2466" s="3">
        <v>20.32</v>
      </c>
      <c r="D2466" s="4">
        <v>356.20960000000002</v>
      </c>
      <c r="E2466" s="4">
        <v>344.42399999999998</v>
      </c>
      <c r="F2466" s="4">
        <f t="shared" si="165"/>
        <v>11.785600000000045</v>
      </c>
      <c r="G2466" s="5">
        <f t="shared" si="166"/>
        <v>3.3086138049058883E-2</v>
      </c>
      <c r="H2466" s="2" t="s">
        <v>1709</v>
      </c>
      <c r="I2466" s="6" t="s">
        <v>25</v>
      </c>
      <c r="J2466" s="2" t="s">
        <v>1710</v>
      </c>
      <c r="K2466" s="2" t="s">
        <v>5</v>
      </c>
      <c r="L2466" s="2" t="s">
        <v>28</v>
      </c>
      <c r="M2466" s="2" t="s">
        <v>5</v>
      </c>
      <c r="N2466" s="4">
        <v>2075.39</v>
      </c>
    </row>
    <row r="2467" spans="1:14" x14ac:dyDescent="0.25">
      <c r="A2467" s="2" t="s">
        <v>1715</v>
      </c>
      <c r="B2467" s="2" t="s">
        <v>1716</v>
      </c>
      <c r="C2467" s="3">
        <v>30.94</v>
      </c>
      <c r="D2467" s="4">
        <v>597.14200000000005</v>
      </c>
      <c r="E2467" s="4">
        <v>471.83499999999998</v>
      </c>
      <c r="F2467" s="4">
        <f t="shared" si="165"/>
        <v>125.30700000000007</v>
      </c>
      <c r="G2467" s="5">
        <f t="shared" si="166"/>
        <v>0.20984455958549234</v>
      </c>
      <c r="H2467" s="2" t="s">
        <v>1709</v>
      </c>
      <c r="I2467" s="6" t="s">
        <v>25</v>
      </c>
      <c r="J2467" s="2" t="s">
        <v>1710</v>
      </c>
      <c r="K2467" s="2" t="s">
        <v>5</v>
      </c>
      <c r="L2467" s="2" t="s">
        <v>28</v>
      </c>
      <c r="M2467" s="2" t="s">
        <v>5</v>
      </c>
      <c r="N2467" s="4">
        <v>2075.39</v>
      </c>
    </row>
    <row r="2468" spans="1:14" x14ac:dyDescent="0.25">
      <c r="A2468" s="2" t="s">
        <v>550</v>
      </c>
      <c r="B2468" s="2" t="s">
        <v>551</v>
      </c>
      <c r="C2468" s="3">
        <v>4.5199999999999996</v>
      </c>
      <c r="D2468" s="4">
        <v>142.19919999999999</v>
      </c>
      <c r="E2468" s="4">
        <v>106.22</v>
      </c>
      <c r="F2468" s="4">
        <f t="shared" si="165"/>
        <v>35.979199999999992</v>
      </c>
      <c r="G2468" s="5">
        <f t="shared" si="166"/>
        <v>0.25301970756516207</v>
      </c>
      <c r="H2468" s="2" t="s">
        <v>1709</v>
      </c>
      <c r="I2468" s="6" t="s">
        <v>25</v>
      </c>
      <c r="J2468" s="2" t="s">
        <v>1710</v>
      </c>
      <c r="K2468" s="2" t="s">
        <v>5</v>
      </c>
      <c r="L2468" s="2" t="s">
        <v>28</v>
      </c>
      <c r="M2468" s="2" t="s">
        <v>5</v>
      </c>
      <c r="N2468" s="4">
        <v>2075.39</v>
      </c>
    </row>
    <row r="2469" spans="1:14" x14ac:dyDescent="0.25">
      <c r="A2469" s="2" t="s">
        <v>1717</v>
      </c>
      <c r="B2469" s="2" t="s">
        <v>1718</v>
      </c>
      <c r="C2469" s="3">
        <v>6.6849999999999996</v>
      </c>
      <c r="D2469" s="4">
        <v>206.29910000000001</v>
      </c>
      <c r="E2469" s="4">
        <v>137.04249999999999</v>
      </c>
      <c r="F2469" s="4">
        <f t="shared" si="165"/>
        <v>69.25660000000002</v>
      </c>
      <c r="G2469" s="5">
        <f t="shared" si="166"/>
        <v>0.33570965651328588</v>
      </c>
      <c r="H2469" s="2" t="s">
        <v>1709</v>
      </c>
      <c r="I2469" s="6" t="s">
        <v>25</v>
      </c>
      <c r="J2469" s="2" t="s">
        <v>1710</v>
      </c>
      <c r="K2469" s="2" t="s">
        <v>5</v>
      </c>
      <c r="L2469" s="2" t="s">
        <v>28</v>
      </c>
      <c r="M2469" s="2" t="s">
        <v>5</v>
      </c>
      <c r="N2469" s="4">
        <v>2075.39</v>
      </c>
    </row>
    <row r="2471" spans="1:14" x14ac:dyDescent="0.25">
      <c r="A2471" s="13" t="s">
        <v>59</v>
      </c>
      <c r="B2471" s="21"/>
      <c r="C2471" s="22">
        <f>SUM(C2458:C2470)</f>
        <v>107.86399999999999</v>
      </c>
      <c r="D2471" s="23">
        <f>SUM(D2458:D2470)</f>
        <v>2075.3935999999999</v>
      </c>
      <c r="E2471" s="23">
        <f>SUM(E2458:E2470)</f>
        <v>1503.6385</v>
      </c>
      <c r="F2471" s="23">
        <f>D2471-E2471</f>
        <v>571.75509999999986</v>
      </c>
      <c r="G2471" s="24">
        <f>IF(((D2471)=0),0,(D2471-E2471)/ D2471)</f>
        <v>0.27549236925468013</v>
      </c>
      <c r="H2471" s="21"/>
      <c r="I2471" s="21"/>
      <c r="J2471" s="21"/>
      <c r="K2471" s="21"/>
      <c r="L2471" s="21"/>
      <c r="M2471" s="21"/>
      <c r="N2471" s="21"/>
    </row>
    <row r="2473" spans="1:14" s="17" customFormat="1" ht="18.75" x14ac:dyDescent="0.3"/>
    <row r="2474" spans="1:14" s="7" customFormat="1" x14ac:dyDescent="0.25">
      <c r="A2474" s="13" t="s">
        <v>1719</v>
      </c>
      <c r="B2474" s="18" t="s">
        <v>1720</v>
      </c>
      <c r="C2474" s="19"/>
      <c r="D2474" s="20" t="s">
        <v>5</v>
      </c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</row>
    <row r="2476" spans="1:14" x14ac:dyDescent="0.25">
      <c r="A2476" s="2" t="s">
        <v>1721</v>
      </c>
      <c r="B2476" s="2" t="s">
        <v>1722</v>
      </c>
      <c r="C2476" s="3">
        <v>4.09</v>
      </c>
      <c r="D2476" s="4">
        <v>65.194599999999994</v>
      </c>
      <c r="E2476" s="4">
        <v>51.125</v>
      </c>
      <c r="F2476" s="4">
        <f t="shared" ref="F2476:F2490" si="167">D2476-E2476</f>
        <v>14.069599999999994</v>
      </c>
      <c r="G2476" s="5">
        <f t="shared" ref="G2476:G2490" si="168">IF(((D2476)=0),0,(D2476-E2476)/ D2476)</f>
        <v>0.21580928481806769</v>
      </c>
      <c r="H2476" s="2" t="s">
        <v>1723</v>
      </c>
      <c r="I2476" s="6" t="s">
        <v>25</v>
      </c>
      <c r="J2476" s="2" t="s">
        <v>1724</v>
      </c>
      <c r="K2476" s="2" t="s">
        <v>5</v>
      </c>
      <c r="L2476" s="2" t="s">
        <v>28</v>
      </c>
      <c r="M2476" s="2" t="s">
        <v>5</v>
      </c>
      <c r="N2476" s="4">
        <v>3073.85</v>
      </c>
    </row>
    <row r="2477" spans="1:14" x14ac:dyDescent="0.25">
      <c r="A2477" s="2" t="s">
        <v>1725</v>
      </c>
      <c r="B2477" s="2" t="s">
        <v>1726</v>
      </c>
      <c r="C2477" s="3">
        <v>20.54</v>
      </c>
      <c r="D2477" s="4">
        <v>305.4298</v>
      </c>
      <c r="E2477" s="4">
        <v>225.94</v>
      </c>
      <c r="F2477" s="4">
        <f t="shared" si="167"/>
        <v>79.489800000000002</v>
      </c>
      <c r="G2477" s="5">
        <f t="shared" si="168"/>
        <v>0.26025554808338941</v>
      </c>
      <c r="H2477" s="2" t="s">
        <v>1723</v>
      </c>
      <c r="I2477" s="6" t="s">
        <v>25</v>
      </c>
      <c r="J2477" s="2" t="s">
        <v>1724</v>
      </c>
      <c r="K2477" s="2" t="s">
        <v>5</v>
      </c>
      <c r="L2477" s="2" t="s">
        <v>28</v>
      </c>
      <c r="M2477" s="2" t="s">
        <v>5</v>
      </c>
      <c r="N2477" s="4">
        <v>3073.85</v>
      </c>
    </row>
    <row r="2478" spans="1:14" x14ac:dyDescent="0.25">
      <c r="A2478" s="2" t="s">
        <v>1661</v>
      </c>
      <c r="B2478" s="2" t="s">
        <v>1662</v>
      </c>
      <c r="C2478" s="3">
        <v>10.19</v>
      </c>
      <c r="D2478" s="4">
        <v>124.9294</v>
      </c>
      <c r="E2478" s="4">
        <v>124.318</v>
      </c>
      <c r="F2478" s="4">
        <f t="shared" si="167"/>
        <v>0.61140000000000327</v>
      </c>
      <c r="G2478" s="5">
        <f t="shared" si="168"/>
        <v>4.8939641109298796E-3</v>
      </c>
      <c r="H2478" s="2" t="s">
        <v>1723</v>
      </c>
      <c r="I2478" s="6" t="s">
        <v>25</v>
      </c>
      <c r="J2478" s="2" t="s">
        <v>1724</v>
      </c>
      <c r="K2478" s="2" t="s">
        <v>5</v>
      </c>
      <c r="L2478" s="2" t="s">
        <v>28</v>
      </c>
      <c r="M2478" s="2" t="s">
        <v>5</v>
      </c>
      <c r="N2478" s="4">
        <v>3073.85</v>
      </c>
    </row>
    <row r="2479" spans="1:14" x14ac:dyDescent="0.25">
      <c r="A2479" s="2" t="s">
        <v>1727</v>
      </c>
      <c r="B2479" s="2" t="s">
        <v>1728</v>
      </c>
      <c r="C2479" s="3">
        <v>3</v>
      </c>
      <c r="D2479" s="4">
        <v>47.82</v>
      </c>
      <c r="E2479" s="4">
        <v>37.5</v>
      </c>
      <c r="F2479" s="4">
        <f t="shared" si="167"/>
        <v>10.32</v>
      </c>
      <c r="G2479" s="5">
        <f t="shared" si="168"/>
        <v>0.21580928481806777</v>
      </c>
      <c r="H2479" s="2" t="s">
        <v>1723</v>
      </c>
      <c r="I2479" s="6" t="s">
        <v>25</v>
      </c>
      <c r="J2479" s="2" t="s">
        <v>1724</v>
      </c>
      <c r="K2479" s="2" t="s">
        <v>5</v>
      </c>
      <c r="L2479" s="2" t="s">
        <v>28</v>
      </c>
      <c r="M2479" s="2" t="s">
        <v>5</v>
      </c>
      <c r="N2479" s="4">
        <v>3073.85</v>
      </c>
    </row>
    <row r="2480" spans="1:14" x14ac:dyDescent="0.25">
      <c r="A2480" s="2" t="s">
        <v>1729</v>
      </c>
      <c r="B2480" s="2" t="s">
        <v>1730</v>
      </c>
      <c r="C2480" s="3">
        <v>6.0460000000000003</v>
      </c>
      <c r="D2480" s="4">
        <v>98.489339999999999</v>
      </c>
      <c r="E2480" s="4">
        <v>30.23</v>
      </c>
      <c r="F2480" s="4">
        <f t="shared" si="167"/>
        <v>68.259339999999995</v>
      </c>
      <c r="G2480" s="5">
        <f t="shared" si="168"/>
        <v>0.69306322897483119</v>
      </c>
      <c r="H2480" s="2" t="s">
        <v>1723</v>
      </c>
      <c r="I2480" s="6" t="s">
        <v>25</v>
      </c>
      <c r="J2480" s="2" t="s">
        <v>1724</v>
      </c>
      <c r="K2480" s="2" t="s">
        <v>5</v>
      </c>
      <c r="L2480" s="2" t="s">
        <v>28</v>
      </c>
      <c r="M2480" s="2" t="s">
        <v>5</v>
      </c>
      <c r="N2480" s="4">
        <v>3073.85</v>
      </c>
    </row>
    <row r="2481" spans="1:14" x14ac:dyDescent="0.25">
      <c r="A2481" s="2" t="s">
        <v>1731</v>
      </c>
      <c r="B2481" s="2" t="s">
        <v>1732</v>
      </c>
      <c r="C2481" s="3">
        <v>16.170000000000002</v>
      </c>
      <c r="D2481" s="4">
        <v>100.5774</v>
      </c>
      <c r="E2481" s="4">
        <v>56.594999999999999</v>
      </c>
      <c r="F2481" s="4">
        <f t="shared" si="167"/>
        <v>43.982399999999998</v>
      </c>
      <c r="G2481" s="5">
        <f t="shared" si="168"/>
        <v>0.43729903536977494</v>
      </c>
      <c r="H2481" s="2" t="s">
        <v>1723</v>
      </c>
      <c r="I2481" s="6" t="s">
        <v>25</v>
      </c>
      <c r="J2481" s="2" t="s">
        <v>1724</v>
      </c>
      <c r="K2481" s="2" t="s">
        <v>5</v>
      </c>
      <c r="L2481" s="2" t="s">
        <v>28</v>
      </c>
      <c r="M2481" s="2" t="s">
        <v>5</v>
      </c>
      <c r="N2481" s="4">
        <v>3073.85</v>
      </c>
    </row>
    <row r="2482" spans="1:14" x14ac:dyDescent="0.25">
      <c r="A2482" s="2" t="s">
        <v>1733</v>
      </c>
      <c r="B2482" s="2" t="s">
        <v>1734</v>
      </c>
      <c r="C2482" s="3">
        <v>14.92</v>
      </c>
      <c r="D2482" s="4">
        <v>232.006</v>
      </c>
      <c r="E2482" s="4">
        <v>111.9</v>
      </c>
      <c r="F2482" s="4">
        <f t="shared" si="167"/>
        <v>120.10599999999999</v>
      </c>
      <c r="G2482" s="5">
        <f t="shared" si="168"/>
        <v>0.51768488745980701</v>
      </c>
      <c r="H2482" s="2" t="s">
        <v>1723</v>
      </c>
      <c r="I2482" s="6" t="s">
        <v>25</v>
      </c>
      <c r="J2482" s="2" t="s">
        <v>1724</v>
      </c>
      <c r="K2482" s="2" t="s">
        <v>5</v>
      </c>
      <c r="L2482" s="2" t="s">
        <v>28</v>
      </c>
      <c r="M2482" s="2" t="s">
        <v>5</v>
      </c>
      <c r="N2482" s="4">
        <v>3073.85</v>
      </c>
    </row>
    <row r="2483" spans="1:14" x14ac:dyDescent="0.25">
      <c r="A2483" s="2" t="s">
        <v>1735</v>
      </c>
      <c r="B2483" s="2" t="s">
        <v>1736</v>
      </c>
      <c r="C2483" s="3">
        <v>16.059999999999999</v>
      </c>
      <c r="D2483" s="4">
        <v>249.733</v>
      </c>
      <c r="E2483" s="4">
        <v>110.81399999999999</v>
      </c>
      <c r="F2483" s="4">
        <f t="shared" si="167"/>
        <v>138.91900000000001</v>
      </c>
      <c r="G2483" s="5">
        <f t="shared" si="168"/>
        <v>0.5562700964630225</v>
      </c>
      <c r="H2483" s="2" t="s">
        <v>1723</v>
      </c>
      <c r="I2483" s="6" t="s">
        <v>25</v>
      </c>
      <c r="J2483" s="2" t="s">
        <v>1724</v>
      </c>
      <c r="K2483" s="2" t="s">
        <v>5</v>
      </c>
      <c r="L2483" s="2" t="s">
        <v>28</v>
      </c>
      <c r="M2483" s="2" t="s">
        <v>5</v>
      </c>
      <c r="N2483" s="4">
        <v>3073.85</v>
      </c>
    </row>
    <row r="2484" spans="1:14" x14ac:dyDescent="0.25">
      <c r="A2484" s="2" t="s">
        <v>1737</v>
      </c>
      <c r="B2484" s="2" t="s">
        <v>1738</v>
      </c>
      <c r="C2484" s="3">
        <v>3.1</v>
      </c>
      <c r="D2484" s="4">
        <v>69.254000000000005</v>
      </c>
      <c r="E2484" s="4">
        <v>51.15</v>
      </c>
      <c r="F2484" s="4">
        <f t="shared" si="167"/>
        <v>18.104000000000006</v>
      </c>
      <c r="G2484" s="5">
        <f t="shared" si="168"/>
        <v>0.26141450313339309</v>
      </c>
      <c r="H2484" s="2" t="s">
        <v>1723</v>
      </c>
      <c r="I2484" s="6" t="s">
        <v>25</v>
      </c>
      <c r="J2484" s="2" t="s">
        <v>1724</v>
      </c>
      <c r="K2484" s="2" t="s">
        <v>5</v>
      </c>
      <c r="L2484" s="2" t="s">
        <v>28</v>
      </c>
      <c r="M2484" s="2" t="s">
        <v>5</v>
      </c>
      <c r="N2484" s="4">
        <v>3073.85</v>
      </c>
    </row>
    <row r="2485" spans="1:14" x14ac:dyDescent="0.25">
      <c r="A2485" s="2" t="s">
        <v>1506</v>
      </c>
      <c r="B2485" s="2" t="s">
        <v>1507</v>
      </c>
      <c r="C2485" s="3">
        <v>17.445</v>
      </c>
      <c r="D2485" s="4">
        <v>315.23115000000001</v>
      </c>
      <c r="E2485" s="4">
        <v>287.84249999999997</v>
      </c>
      <c r="F2485" s="4">
        <f t="shared" si="167"/>
        <v>27.388650000000041</v>
      </c>
      <c r="G2485" s="5">
        <f t="shared" si="168"/>
        <v>8.6884338682899964E-2</v>
      </c>
      <c r="H2485" s="2" t="s">
        <v>1723</v>
      </c>
      <c r="I2485" s="6" t="s">
        <v>25</v>
      </c>
      <c r="J2485" s="2" t="s">
        <v>1724</v>
      </c>
      <c r="K2485" s="2" t="s">
        <v>5</v>
      </c>
      <c r="L2485" s="2" t="s">
        <v>28</v>
      </c>
      <c r="M2485" s="2" t="s">
        <v>5</v>
      </c>
      <c r="N2485" s="4">
        <v>3073.85</v>
      </c>
    </row>
    <row r="2486" spans="1:14" x14ac:dyDescent="0.25">
      <c r="A2486" s="2" t="s">
        <v>1739</v>
      </c>
      <c r="B2486" s="2" t="s">
        <v>1740</v>
      </c>
      <c r="C2486" s="3">
        <v>1.93</v>
      </c>
      <c r="D2486" s="4">
        <v>17.505099999999999</v>
      </c>
      <c r="E2486" s="4">
        <v>13.702999999999999</v>
      </c>
      <c r="F2486" s="4">
        <f t="shared" si="167"/>
        <v>3.8020999999999994</v>
      </c>
      <c r="G2486" s="5">
        <f t="shared" si="168"/>
        <v>0.21719955898566701</v>
      </c>
      <c r="H2486" s="2" t="s">
        <v>1723</v>
      </c>
      <c r="I2486" s="6" t="s">
        <v>25</v>
      </c>
      <c r="J2486" s="2" t="s">
        <v>1724</v>
      </c>
      <c r="K2486" s="2" t="s">
        <v>5</v>
      </c>
      <c r="L2486" s="2" t="s">
        <v>28</v>
      </c>
      <c r="M2486" s="2" t="s">
        <v>5</v>
      </c>
      <c r="N2486" s="4">
        <v>3073.85</v>
      </c>
    </row>
    <row r="2487" spans="1:14" x14ac:dyDescent="0.25">
      <c r="A2487" s="2" t="s">
        <v>1741</v>
      </c>
      <c r="B2487" s="2" t="s">
        <v>1742</v>
      </c>
      <c r="C2487" s="3">
        <v>14.744999999999999</v>
      </c>
      <c r="D2487" s="4">
        <v>612.35985000000005</v>
      </c>
      <c r="E2487" s="4">
        <v>346.50749999999999</v>
      </c>
      <c r="F2487" s="4">
        <f t="shared" si="167"/>
        <v>265.85235000000006</v>
      </c>
      <c r="G2487" s="5">
        <f t="shared" si="168"/>
        <v>0.43414399229472678</v>
      </c>
      <c r="H2487" s="2" t="s">
        <v>1723</v>
      </c>
      <c r="I2487" s="6" t="s">
        <v>25</v>
      </c>
      <c r="J2487" s="2" t="s">
        <v>1724</v>
      </c>
      <c r="K2487" s="2" t="s">
        <v>5</v>
      </c>
      <c r="L2487" s="2" t="s">
        <v>28</v>
      </c>
      <c r="M2487" s="2" t="s">
        <v>5</v>
      </c>
      <c r="N2487" s="4">
        <v>3073.85</v>
      </c>
    </row>
    <row r="2488" spans="1:14" x14ac:dyDescent="0.25">
      <c r="A2488" s="2" t="s">
        <v>1743</v>
      </c>
      <c r="B2488" s="2" t="s">
        <v>1744</v>
      </c>
      <c r="C2488" s="3">
        <v>13.35</v>
      </c>
      <c r="D2488" s="4">
        <v>275.67750000000001</v>
      </c>
      <c r="E2488" s="4">
        <v>217.60499999999999</v>
      </c>
      <c r="F2488" s="4">
        <f t="shared" si="167"/>
        <v>58.072500000000019</v>
      </c>
      <c r="G2488" s="5">
        <f t="shared" si="168"/>
        <v>0.21065375302663444</v>
      </c>
      <c r="H2488" s="2" t="s">
        <v>1723</v>
      </c>
      <c r="I2488" s="6" t="s">
        <v>25</v>
      </c>
      <c r="J2488" s="2" t="s">
        <v>1724</v>
      </c>
      <c r="K2488" s="2" t="s">
        <v>5</v>
      </c>
      <c r="L2488" s="2" t="s">
        <v>28</v>
      </c>
      <c r="M2488" s="2" t="s">
        <v>5</v>
      </c>
      <c r="N2488" s="4">
        <v>3073.85</v>
      </c>
    </row>
    <row r="2489" spans="1:14" x14ac:dyDescent="0.25">
      <c r="A2489" s="2" t="s">
        <v>550</v>
      </c>
      <c r="B2489" s="2" t="s">
        <v>551</v>
      </c>
      <c r="C2489" s="3">
        <v>11.57</v>
      </c>
      <c r="D2489" s="4">
        <v>363.99220000000003</v>
      </c>
      <c r="E2489" s="4">
        <v>271.89499999999998</v>
      </c>
      <c r="F2489" s="4">
        <f t="shared" si="167"/>
        <v>92.097200000000043</v>
      </c>
      <c r="G2489" s="5">
        <f t="shared" si="168"/>
        <v>0.25301970756516223</v>
      </c>
      <c r="H2489" s="2" t="s">
        <v>1723</v>
      </c>
      <c r="I2489" s="6" t="s">
        <v>25</v>
      </c>
      <c r="J2489" s="2" t="s">
        <v>1724</v>
      </c>
      <c r="K2489" s="2" t="s">
        <v>5</v>
      </c>
      <c r="L2489" s="2" t="s">
        <v>28</v>
      </c>
      <c r="M2489" s="2" t="s">
        <v>5</v>
      </c>
      <c r="N2489" s="4">
        <v>3073.85</v>
      </c>
    </row>
    <row r="2490" spans="1:14" x14ac:dyDescent="0.25">
      <c r="A2490" s="2" t="s">
        <v>1745</v>
      </c>
      <c r="B2490" s="2" t="s">
        <v>1746</v>
      </c>
      <c r="C2490" s="3">
        <v>6.34</v>
      </c>
      <c r="D2490" s="4">
        <v>195.6524</v>
      </c>
      <c r="E2490" s="4">
        <v>129.97</v>
      </c>
      <c r="F2490" s="4">
        <f t="shared" si="167"/>
        <v>65.682400000000001</v>
      </c>
      <c r="G2490" s="5">
        <f t="shared" si="168"/>
        <v>0.33570965651328583</v>
      </c>
      <c r="H2490" s="2" t="s">
        <v>1723</v>
      </c>
      <c r="I2490" s="6" t="s">
        <v>25</v>
      </c>
      <c r="J2490" s="2" t="s">
        <v>1724</v>
      </c>
      <c r="K2490" s="2" t="s">
        <v>5</v>
      </c>
      <c r="L2490" s="2" t="s">
        <v>28</v>
      </c>
      <c r="M2490" s="2" t="s">
        <v>5</v>
      </c>
      <c r="N2490" s="4">
        <v>3073.85</v>
      </c>
    </row>
    <row r="2492" spans="1:14" x14ac:dyDescent="0.25">
      <c r="A2492" s="13" t="s">
        <v>59</v>
      </c>
      <c r="B2492" s="21"/>
      <c r="C2492" s="22">
        <f>SUM(C2473:C2491)</f>
        <v>159.49600000000001</v>
      </c>
      <c r="D2492" s="23">
        <f>SUM(D2473:D2491)</f>
        <v>3073.8517399999996</v>
      </c>
      <c r="E2492" s="23">
        <f>SUM(E2473:E2491)</f>
        <v>2067.0949999999998</v>
      </c>
      <c r="F2492" s="23">
        <f>D2492-E2492</f>
        <v>1006.7567399999998</v>
      </c>
      <c r="G2492" s="24">
        <f>IF(((D2492)=0),0,(D2492-E2492)/ D2492)</f>
        <v>0.32752286875098274</v>
      </c>
      <c r="H2492" s="21"/>
      <c r="I2492" s="21"/>
      <c r="J2492" s="21"/>
      <c r="K2492" s="21"/>
      <c r="L2492" s="21"/>
      <c r="M2492" s="21"/>
      <c r="N2492" s="21"/>
    </row>
    <row r="2494" spans="1:14" s="17" customFormat="1" ht="18.75" x14ac:dyDescent="0.3"/>
    <row r="2495" spans="1:14" s="7" customFormat="1" x14ac:dyDescent="0.25">
      <c r="A2495" s="13" t="s">
        <v>1747</v>
      </c>
      <c r="B2495" s="18" t="s">
        <v>1748</v>
      </c>
      <c r="C2495" s="19"/>
      <c r="D2495" s="20" t="s">
        <v>5</v>
      </c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</row>
    <row r="2497" spans="1:14" x14ac:dyDescent="0.25">
      <c r="A2497" s="2" t="s">
        <v>1731</v>
      </c>
      <c r="B2497" s="2" t="s">
        <v>1732</v>
      </c>
      <c r="C2497" s="3">
        <v>9.9700000000000006</v>
      </c>
      <c r="D2497" s="4">
        <v>62.013399999999997</v>
      </c>
      <c r="E2497" s="4">
        <v>34.895000000000003</v>
      </c>
      <c r="F2497" s="4">
        <f>D2497-E2497</f>
        <v>27.118399999999994</v>
      </c>
      <c r="G2497" s="5">
        <f>IF(((D2497)=0),0,(D2497-E2497)/ D2497)</f>
        <v>0.43729903536977482</v>
      </c>
      <c r="H2497" s="2" t="s">
        <v>1749</v>
      </c>
      <c r="I2497" s="6" t="s">
        <v>25</v>
      </c>
      <c r="J2497" s="2" t="s">
        <v>1750</v>
      </c>
      <c r="K2497" s="2" t="s">
        <v>5</v>
      </c>
      <c r="L2497" s="2" t="s">
        <v>28</v>
      </c>
      <c r="M2497" s="2" t="s">
        <v>5</v>
      </c>
      <c r="N2497" s="4">
        <v>894.8</v>
      </c>
    </row>
    <row r="2498" spans="1:14" x14ac:dyDescent="0.25">
      <c r="A2498" s="2" t="s">
        <v>1482</v>
      </c>
      <c r="B2498" s="2" t="s">
        <v>1483</v>
      </c>
      <c r="C2498" s="3">
        <v>56.62</v>
      </c>
      <c r="D2498" s="4">
        <v>591.67899999999997</v>
      </c>
      <c r="E2498" s="4">
        <v>390.678</v>
      </c>
      <c r="F2498" s="4">
        <f>D2498-E2498</f>
        <v>201.00099999999998</v>
      </c>
      <c r="G2498" s="5">
        <f>IF(((D2498)=0),0,(D2498-E2498)/ D2498)</f>
        <v>0.33971291866028708</v>
      </c>
      <c r="H2498" s="2" t="s">
        <v>1749</v>
      </c>
      <c r="I2498" s="6" t="s">
        <v>25</v>
      </c>
      <c r="J2498" s="2" t="s">
        <v>1750</v>
      </c>
      <c r="K2498" s="2" t="s">
        <v>5</v>
      </c>
      <c r="L2498" s="2" t="s">
        <v>28</v>
      </c>
      <c r="M2498" s="2" t="s">
        <v>5</v>
      </c>
      <c r="N2498" s="4">
        <v>894.8</v>
      </c>
    </row>
    <row r="2499" spans="1:14" x14ac:dyDescent="0.25">
      <c r="A2499" s="2" t="s">
        <v>1751</v>
      </c>
      <c r="B2499" s="2" t="s">
        <v>1752</v>
      </c>
      <c r="C2499" s="3">
        <v>5.59</v>
      </c>
      <c r="D2499" s="4">
        <v>113.5329</v>
      </c>
      <c r="E2499" s="4">
        <v>75.465000000000003</v>
      </c>
      <c r="F2499" s="4">
        <f>D2499-E2499</f>
        <v>38.067899999999995</v>
      </c>
      <c r="G2499" s="5">
        <f>IF(((D2499)=0),0,(D2499-E2499)/ D2499)</f>
        <v>0.33530280649926142</v>
      </c>
      <c r="H2499" s="2" t="s">
        <v>1749</v>
      </c>
      <c r="I2499" s="6" t="s">
        <v>25</v>
      </c>
      <c r="J2499" s="2" t="s">
        <v>1750</v>
      </c>
      <c r="K2499" s="2" t="s">
        <v>5</v>
      </c>
      <c r="L2499" s="2" t="s">
        <v>28</v>
      </c>
      <c r="M2499" s="2" t="s">
        <v>5</v>
      </c>
      <c r="N2499" s="4">
        <v>894.8</v>
      </c>
    </row>
    <row r="2500" spans="1:14" x14ac:dyDescent="0.25">
      <c r="A2500" s="2" t="s">
        <v>1717</v>
      </c>
      <c r="B2500" s="2" t="s">
        <v>1718</v>
      </c>
      <c r="C2500" s="3">
        <v>4.1340000000000003</v>
      </c>
      <c r="D2500" s="4">
        <v>127.57523999999999</v>
      </c>
      <c r="E2500" s="4">
        <v>84.747</v>
      </c>
      <c r="F2500" s="4">
        <f>D2500-E2500</f>
        <v>42.828239999999994</v>
      </c>
      <c r="G2500" s="5">
        <f>IF(((D2500)=0),0,(D2500-E2500)/ D2500)</f>
        <v>0.33570965651328577</v>
      </c>
      <c r="H2500" s="2" t="s">
        <v>1749</v>
      </c>
      <c r="I2500" s="6" t="s">
        <v>25</v>
      </c>
      <c r="J2500" s="2" t="s">
        <v>1750</v>
      </c>
      <c r="K2500" s="2" t="s">
        <v>5</v>
      </c>
      <c r="L2500" s="2" t="s">
        <v>28</v>
      </c>
      <c r="M2500" s="2" t="s">
        <v>5</v>
      </c>
      <c r="N2500" s="4">
        <v>894.8</v>
      </c>
    </row>
    <row r="2502" spans="1:14" x14ac:dyDescent="0.25">
      <c r="A2502" s="13" t="s">
        <v>59</v>
      </c>
      <c r="B2502" s="21"/>
      <c r="C2502" s="22">
        <f>SUM(C2494:C2501)</f>
        <v>76.314000000000007</v>
      </c>
      <c r="D2502" s="23">
        <f>SUM(D2494:D2501)</f>
        <v>894.80054000000007</v>
      </c>
      <c r="E2502" s="23">
        <f>SUM(E2494:E2501)</f>
        <v>585.78499999999997</v>
      </c>
      <c r="F2502" s="23">
        <f>D2502-E2502</f>
        <v>309.0155400000001</v>
      </c>
      <c r="G2502" s="24">
        <f>IF(((D2502)=0),0,(D2502-E2502)/ D2502)</f>
        <v>0.34534572364026522</v>
      </c>
      <c r="H2502" s="21"/>
      <c r="I2502" s="21"/>
      <c r="J2502" s="21"/>
      <c r="K2502" s="21"/>
      <c r="L2502" s="21"/>
      <c r="M2502" s="21"/>
      <c r="N2502" s="21"/>
    </row>
    <row r="2504" spans="1:14" s="17" customFormat="1" ht="18.75" x14ac:dyDescent="0.3"/>
    <row r="2505" spans="1:14" s="7" customFormat="1" x14ac:dyDescent="0.25">
      <c r="A2505" s="13" t="s">
        <v>1753</v>
      </c>
      <c r="B2505" s="18" t="s">
        <v>1754</v>
      </c>
      <c r="C2505" s="19"/>
      <c r="D2505" s="20" t="s">
        <v>5</v>
      </c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</row>
    <row r="2507" spans="1:14" x14ac:dyDescent="0.25">
      <c r="A2507" s="2" t="s">
        <v>22</v>
      </c>
      <c r="B2507" s="2" t="s">
        <v>23</v>
      </c>
      <c r="C2507" s="3">
        <v>14.52</v>
      </c>
      <c r="D2507" s="4">
        <v>222.44640000000001</v>
      </c>
      <c r="E2507" s="4">
        <v>159.72</v>
      </c>
      <c r="F2507" s="4">
        <f t="shared" ref="F2507:F2516" si="169">D2507-E2507</f>
        <v>62.726400000000012</v>
      </c>
      <c r="G2507" s="5">
        <f t="shared" ref="G2507:G2516" si="170">IF(((D2507)=0),0,(D2507-E2507)/ D2507)</f>
        <v>0.28198433420365537</v>
      </c>
      <c r="H2507" s="2" t="s">
        <v>1755</v>
      </c>
      <c r="I2507" s="6" t="s">
        <v>74</v>
      </c>
      <c r="J2507" s="2" t="s">
        <v>1756</v>
      </c>
      <c r="K2507" s="2" t="s">
        <v>5</v>
      </c>
      <c r="L2507" s="2" t="s">
        <v>28</v>
      </c>
      <c r="M2507" s="2" t="s">
        <v>5</v>
      </c>
      <c r="N2507" s="4">
        <v>0</v>
      </c>
    </row>
    <row r="2508" spans="1:14" x14ac:dyDescent="0.25">
      <c r="A2508" s="2" t="s">
        <v>29</v>
      </c>
      <c r="B2508" s="2" t="s">
        <v>30</v>
      </c>
      <c r="C2508" s="3">
        <v>5.07</v>
      </c>
      <c r="D2508" s="4">
        <v>77.672399999999996</v>
      </c>
      <c r="E2508" s="4">
        <v>50.7</v>
      </c>
      <c r="F2508" s="4">
        <f t="shared" si="169"/>
        <v>26.972399999999993</v>
      </c>
      <c r="G2508" s="5">
        <f t="shared" si="170"/>
        <v>0.34725848563968659</v>
      </c>
      <c r="H2508" s="2" t="s">
        <v>1755</v>
      </c>
      <c r="I2508" s="6" t="s">
        <v>74</v>
      </c>
      <c r="J2508" s="2" t="s">
        <v>1756</v>
      </c>
      <c r="K2508" s="2" t="s">
        <v>5</v>
      </c>
      <c r="L2508" s="2" t="s">
        <v>28</v>
      </c>
      <c r="M2508" s="2" t="s">
        <v>5</v>
      </c>
      <c r="N2508" s="4">
        <v>0</v>
      </c>
    </row>
    <row r="2509" spans="1:14" x14ac:dyDescent="0.25">
      <c r="A2509" s="2" t="s">
        <v>41</v>
      </c>
      <c r="B2509" s="2" t="s">
        <v>42</v>
      </c>
      <c r="C2509" s="3">
        <v>4.016</v>
      </c>
      <c r="D2509" s="4">
        <v>70.320160000000001</v>
      </c>
      <c r="E2509" s="4">
        <v>47.188000000000002</v>
      </c>
      <c r="F2509" s="4">
        <f t="shared" si="169"/>
        <v>23.132159999999999</v>
      </c>
      <c r="G2509" s="5">
        <f t="shared" si="170"/>
        <v>0.3289548829240434</v>
      </c>
      <c r="H2509" s="2" t="s">
        <v>1755</v>
      </c>
      <c r="I2509" s="6" t="s">
        <v>74</v>
      </c>
      <c r="J2509" s="2" t="s">
        <v>1756</v>
      </c>
      <c r="K2509" s="2" t="s">
        <v>5</v>
      </c>
      <c r="L2509" s="2" t="s">
        <v>28</v>
      </c>
      <c r="M2509" s="2" t="s">
        <v>5</v>
      </c>
      <c r="N2509" s="4">
        <v>0</v>
      </c>
    </row>
    <row r="2510" spans="1:14" x14ac:dyDescent="0.25">
      <c r="A2510" s="2" t="s">
        <v>152</v>
      </c>
      <c r="B2510" s="2" t="s">
        <v>153</v>
      </c>
      <c r="C2510" s="3">
        <v>19.16</v>
      </c>
      <c r="D2510" s="4">
        <v>314.60719999999998</v>
      </c>
      <c r="E2510" s="4">
        <v>132.20400000000001</v>
      </c>
      <c r="F2510" s="4">
        <f t="shared" si="169"/>
        <v>182.40319999999997</v>
      </c>
      <c r="G2510" s="5">
        <f t="shared" si="170"/>
        <v>0.57978075517661387</v>
      </c>
      <c r="H2510" s="2" t="s">
        <v>1755</v>
      </c>
      <c r="I2510" s="6" t="s">
        <v>74</v>
      </c>
      <c r="J2510" s="2" t="s">
        <v>1756</v>
      </c>
      <c r="K2510" s="2" t="s">
        <v>5</v>
      </c>
      <c r="L2510" s="2" t="s">
        <v>28</v>
      </c>
      <c r="M2510" s="2" t="s">
        <v>5</v>
      </c>
      <c r="N2510" s="4">
        <v>0</v>
      </c>
    </row>
    <row r="2511" spans="1:14" x14ac:dyDescent="0.25">
      <c r="A2511" s="2" t="s">
        <v>211</v>
      </c>
      <c r="B2511" s="2" t="s">
        <v>212</v>
      </c>
      <c r="C2511" s="3">
        <v>5.79</v>
      </c>
      <c r="D2511" s="4">
        <v>29.065799999999999</v>
      </c>
      <c r="E2511" s="4">
        <v>14.475</v>
      </c>
      <c r="F2511" s="4">
        <f t="shared" si="169"/>
        <v>14.5908</v>
      </c>
      <c r="G2511" s="5">
        <f t="shared" si="170"/>
        <v>0.50199203187250996</v>
      </c>
      <c r="H2511" s="2" t="s">
        <v>1755</v>
      </c>
      <c r="I2511" s="6" t="s">
        <v>74</v>
      </c>
      <c r="J2511" s="2" t="s">
        <v>1756</v>
      </c>
      <c r="K2511" s="2" t="s">
        <v>5</v>
      </c>
      <c r="L2511" s="2" t="s">
        <v>28</v>
      </c>
      <c r="M2511" s="2" t="s">
        <v>5</v>
      </c>
      <c r="N2511" s="4">
        <v>0</v>
      </c>
    </row>
    <row r="2512" spans="1:14" x14ac:dyDescent="0.25">
      <c r="A2512" s="2" t="s">
        <v>579</v>
      </c>
      <c r="B2512" s="2" t="s">
        <v>580</v>
      </c>
      <c r="C2512" s="3">
        <v>5</v>
      </c>
      <c r="D2512" s="4">
        <v>98</v>
      </c>
      <c r="E2512" s="4">
        <v>46.5</v>
      </c>
      <c r="F2512" s="4">
        <f t="shared" si="169"/>
        <v>51.5</v>
      </c>
      <c r="G2512" s="5">
        <f t="shared" si="170"/>
        <v>0.52551020408163263</v>
      </c>
      <c r="H2512" s="2" t="s">
        <v>1755</v>
      </c>
      <c r="I2512" s="6" t="s">
        <v>74</v>
      </c>
      <c r="J2512" s="2" t="s">
        <v>1756</v>
      </c>
      <c r="K2512" s="2" t="s">
        <v>5</v>
      </c>
      <c r="L2512" s="2" t="s">
        <v>28</v>
      </c>
      <c r="M2512" s="2" t="s">
        <v>5</v>
      </c>
      <c r="N2512" s="4">
        <v>0</v>
      </c>
    </row>
    <row r="2513" spans="1:14" x14ac:dyDescent="0.25">
      <c r="A2513" s="2" t="s">
        <v>219</v>
      </c>
      <c r="B2513" s="2" t="s">
        <v>220</v>
      </c>
      <c r="C2513" s="3">
        <v>5.0579999999999998</v>
      </c>
      <c r="D2513" s="4">
        <v>77.690880000000007</v>
      </c>
      <c r="E2513" s="4">
        <v>48.051000000000002</v>
      </c>
      <c r="F2513" s="4">
        <f t="shared" si="169"/>
        <v>29.639880000000005</v>
      </c>
      <c r="G2513" s="5">
        <f t="shared" si="170"/>
        <v>0.38151041666666669</v>
      </c>
      <c r="H2513" s="2" t="s">
        <v>1755</v>
      </c>
      <c r="I2513" s="6" t="s">
        <v>74</v>
      </c>
      <c r="J2513" s="2" t="s">
        <v>1756</v>
      </c>
      <c r="K2513" s="2" t="s">
        <v>5</v>
      </c>
      <c r="L2513" s="2" t="s">
        <v>28</v>
      </c>
      <c r="M2513" s="2" t="s">
        <v>5</v>
      </c>
      <c r="N2513" s="4">
        <v>0</v>
      </c>
    </row>
    <row r="2514" spans="1:14" x14ac:dyDescent="0.25">
      <c r="A2514" s="2" t="s">
        <v>690</v>
      </c>
      <c r="B2514" s="2" t="s">
        <v>691</v>
      </c>
      <c r="C2514" s="3">
        <v>6.9749999999999996</v>
      </c>
      <c r="D2514" s="4">
        <v>122.13225</v>
      </c>
      <c r="E2514" s="4">
        <v>40.454999999999998</v>
      </c>
      <c r="F2514" s="4">
        <f t="shared" si="169"/>
        <v>81.677250000000001</v>
      </c>
      <c r="G2514" s="5">
        <f t="shared" si="170"/>
        <v>0.66876070816676181</v>
      </c>
      <c r="H2514" s="2" t="s">
        <v>1755</v>
      </c>
      <c r="I2514" s="6" t="s">
        <v>74</v>
      </c>
      <c r="J2514" s="2" t="s">
        <v>1756</v>
      </c>
      <c r="K2514" s="2" t="s">
        <v>5</v>
      </c>
      <c r="L2514" s="2" t="s">
        <v>28</v>
      </c>
      <c r="M2514" s="2" t="s">
        <v>5</v>
      </c>
      <c r="N2514" s="4">
        <v>0</v>
      </c>
    </row>
    <row r="2515" spans="1:14" x14ac:dyDescent="0.25">
      <c r="A2515" s="2" t="s">
        <v>692</v>
      </c>
      <c r="B2515" s="2" t="s">
        <v>693</v>
      </c>
      <c r="C2515" s="3">
        <v>31.87</v>
      </c>
      <c r="D2515" s="4">
        <v>768.06700000000001</v>
      </c>
      <c r="E2515" s="4">
        <v>398.375</v>
      </c>
      <c r="F2515" s="4">
        <f t="shared" si="169"/>
        <v>369.69200000000001</v>
      </c>
      <c r="G2515" s="5">
        <f t="shared" si="170"/>
        <v>0.48132780082987553</v>
      </c>
      <c r="H2515" s="2" t="s">
        <v>1755</v>
      </c>
      <c r="I2515" s="6" t="s">
        <v>74</v>
      </c>
      <c r="J2515" s="2" t="s">
        <v>1756</v>
      </c>
      <c r="K2515" s="2" t="s">
        <v>5</v>
      </c>
      <c r="L2515" s="2" t="s">
        <v>28</v>
      </c>
      <c r="M2515" s="2" t="s">
        <v>5</v>
      </c>
      <c r="N2515" s="4">
        <v>0</v>
      </c>
    </row>
    <row r="2516" spans="1:14" x14ac:dyDescent="0.25">
      <c r="A2516" s="2" t="s">
        <v>593</v>
      </c>
      <c r="B2516" s="2" t="s">
        <v>594</v>
      </c>
      <c r="C2516" s="3">
        <v>20.87</v>
      </c>
      <c r="D2516" s="4">
        <v>217.67410000000001</v>
      </c>
      <c r="E2516" s="4">
        <v>121.04600000000001</v>
      </c>
      <c r="F2516" s="4">
        <f t="shared" si="169"/>
        <v>96.628100000000003</v>
      </c>
      <c r="G2516" s="5">
        <f t="shared" si="170"/>
        <v>0.44391179290508148</v>
      </c>
      <c r="H2516" s="2" t="s">
        <v>1755</v>
      </c>
      <c r="I2516" s="6" t="s">
        <v>74</v>
      </c>
      <c r="J2516" s="2" t="s">
        <v>1756</v>
      </c>
      <c r="K2516" s="2" t="s">
        <v>5</v>
      </c>
      <c r="L2516" s="2" t="s">
        <v>28</v>
      </c>
      <c r="M2516" s="2" t="s">
        <v>5</v>
      </c>
      <c r="N2516" s="4">
        <v>0</v>
      </c>
    </row>
    <row r="2518" spans="1:14" x14ac:dyDescent="0.25">
      <c r="A2518" s="13" t="s">
        <v>59</v>
      </c>
      <c r="B2518" s="21"/>
      <c r="C2518" s="22">
        <f>SUM(C2504:C2517)</f>
        <v>118.32900000000001</v>
      </c>
      <c r="D2518" s="23">
        <f>SUM(D2504:D2517)</f>
        <v>1997.6761899999999</v>
      </c>
      <c r="E2518" s="23">
        <f>SUM(E2504:E2517)</f>
        <v>1058.7139999999999</v>
      </c>
      <c r="F2518" s="23">
        <f>D2518-E2518</f>
        <v>938.96218999999996</v>
      </c>
      <c r="G2518" s="24">
        <f>IF(((D2518)=0),0,(D2518-E2518)/ D2518)</f>
        <v>0.47002722197935393</v>
      </c>
      <c r="H2518" s="21"/>
      <c r="I2518" s="21"/>
      <c r="J2518" s="21"/>
      <c r="K2518" s="21"/>
      <c r="L2518" s="21"/>
      <c r="M2518" s="21"/>
      <c r="N2518" s="21"/>
    </row>
    <row r="2520" spans="1:14" s="17" customFormat="1" ht="18.75" x14ac:dyDescent="0.3"/>
    <row r="2521" spans="1:14" s="7" customFormat="1" x14ac:dyDescent="0.25">
      <c r="A2521" s="13" t="s">
        <v>1757</v>
      </c>
      <c r="B2521" s="18" t="s">
        <v>1758</v>
      </c>
      <c r="C2521" s="19"/>
      <c r="D2521" s="20" t="s">
        <v>5</v>
      </c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</row>
    <row r="2523" spans="1:14" x14ac:dyDescent="0.25">
      <c r="A2523" s="2" t="s">
        <v>1759</v>
      </c>
      <c r="B2523" s="2" t="s">
        <v>1760</v>
      </c>
      <c r="C2523" s="3">
        <v>12</v>
      </c>
      <c r="D2523" s="4">
        <v>129.12</v>
      </c>
      <c r="E2523" s="4">
        <v>109.08</v>
      </c>
      <c r="F2523" s="4">
        <f t="shared" ref="F2523:F2540" si="171">D2523-E2523</f>
        <v>20.040000000000006</v>
      </c>
      <c r="G2523" s="5">
        <f t="shared" ref="G2523:G2540" si="172">IF(((D2523)=0),0,(D2523-E2523)/ D2523)</f>
        <v>0.15520446096654281</v>
      </c>
      <c r="H2523" s="2" t="s">
        <v>1761</v>
      </c>
      <c r="I2523" s="6" t="s">
        <v>25</v>
      </c>
      <c r="J2523" s="2" t="s">
        <v>1762</v>
      </c>
      <c r="K2523" s="2" t="s">
        <v>1763</v>
      </c>
      <c r="L2523" s="2" t="s">
        <v>28</v>
      </c>
      <c r="M2523" s="2" t="s">
        <v>5</v>
      </c>
      <c r="N2523" s="4">
        <v>17174.8</v>
      </c>
    </row>
    <row r="2524" spans="1:14" x14ac:dyDescent="0.25">
      <c r="A2524" s="2" t="s">
        <v>128</v>
      </c>
      <c r="B2524" s="2" t="s">
        <v>129</v>
      </c>
      <c r="C2524" s="3">
        <v>150</v>
      </c>
      <c r="D2524" s="4">
        <v>1942.5</v>
      </c>
      <c r="E2524" s="4">
        <v>1647</v>
      </c>
      <c r="F2524" s="4">
        <f t="shared" si="171"/>
        <v>295.5</v>
      </c>
      <c r="G2524" s="5">
        <f t="shared" si="172"/>
        <v>0.15212355212355214</v>
      </c>
      <c r="H2524" s="2" t="s">
        <v>1761</v>
      </c>
      <c r="I2524" s="6" t="s">
        <v>25</v>
      </c>
      <c r="J2524" s="2" t="s">
        <v>1762</v>
      </c>
      <c r="K2524" s="2" t="s">
        <v>1763</v>
      </c>
      <c r="L2524" s="2" t="s">
        <v>28</v>
      </c>
      <c r="M2524" s="2" t="s">
        <v>5</v>
      </c>
      <c r="N2524" s="4">
        <v>17174.8</v>
      </c>
    </row>
    <row r="2525" spans="1:14" x14ac:dyDescent="0.25">
      <c r="A2525" s="2" t="s">
        <v>41</v>
      </c>
      <c r="B2525" s="2" t="s">
        <v>42</v>
      </c>
      <c r="C2525" s="3">
        <v>15.36</v>
      </c>
      <c r="D2525" s="4">
        <v>251.28960000000001</v>
      </c>
      <c r="E2525" s="4">
        <v>180.48</v>
      </c>
      <c r="F2525" s="4">
        <f t="shared" si="171"/>
        <v>70.809600000000017</v>
      </c>
      <c r="G2525" s="5">
        <f t="shared" si="172"/>
        <v>0.28178484107579466</v>
      </c>
      <c r="H2525" s="2" t="s">
        <v>1761</v>
      </c>
      <c r="I2525" s="6" t="s">
        <v>25</v>
      </c>
      <c r="J2525" s="2" t="s">
        <v>1762</v>
      </c>
      <c r="K2525" s="2" t="s">
        <v>1763</v>
      </c>
      <c r="L2525" s="2" t="s">
        <v>28</v>
      </c>
      <c r="M2525" s="2" t="s">
        <v>5</v>
      </c>
      <c r="N2525" s="4">
        <v>17174.8</v>
      </c>
    </row>
    <row r="2526" spans="1:14" x14ac:dyDescent="0.25">
      <c r="A2526" s="2" t="s">
        <v>703</v>
      </c>
      <c r="B2526" s="2" t="s">
        <v>704</v>
      </c>
      <c r="C2526" s="3">
        <v>72</v>
      </c>
      <c r="D2526" s="4">
        <v>446.4</v>
      </c>
      <c r="E2526" s="4">
        <v>342</v>
      </c>
      <c r="F2526" s="4">
        <f t="shared" si="171"/>
        <v>104.39999999999998</v>
      </c>
      <c r="G2526" s="5">
        <f t="shared" si="172"/>
        <v>0.23387096774193544</v>
      </c>
      <c r="H2526" s="2" t="s">
        <v>1761</v>
      </c>
      <c r="I2526" s="6" t="s">
        <v>25</v>
      </c>
      <c r="J2526" s="2" t="s">
        <v>1762</v>
      </c>
      <c r="K2526" s="2" t="s">
        <v>1763</v>
      </c>
      <c r="L2526" s="2" t="s">
        <v>28</v>
      </c>
      <c r="M2526" s="2" t="s">
        <v>5</v>
      </c>
      <c r="N2526" s="4">
        <v>17174.8</v>
      </c>
    </row>
    <row r="2527" spans="1:14" x14ac:dyDescent="0.25">
      <c r="A2527" s="2" t="s">
        <v>1216</v>
      </c>
      <c r="B2527" s="2" t="s">
        <v>1217</v>
      </c>
      <c r="C2527" s="3">
        <v>30.48</v>
      </c>
      <c r="D2527" s="4">
        <v>137.16</v>
      </c>
      <c r="E2527" s="4">
        <v>106.68</v>
      </c>
      <c r="F2527" s="4">
        <f t="shared" si="171"/>
        <v>30.47999999999999</v>
      </c>
      <c r="G2527" s="5">
        <f t="shared" si="172"/>
        <v>0.22222222222222215</v>
      </c>
      <c r="H2527" s="2" t="s">
        <v>1761</v>
      </c>
      <c r="I2527" s="6" t="s">
        <v>25</v>
      </c>
      <c r="J2527" s="2" t="s">
        <v>1762</v>
      </c>
      <c r="K2527" s="2" t="s">
        <v>1763</v>
      </c>
      <c r="L2527" s="2" t="s">
        <v>28</v>
      </c>
      <c r="M2527" s="2" t="s">
        <v>5</v>
      </c>
      <c r="N2527" s="4">
        <v>17174.8</v>
      </c>
    </row>
    <row r="2528" spans="1:14" x14ac:dyDescent="0.25">
      <c r="A2528" s="2" t="s">
        <v>203</v>
      </c>
      <c r="B2528" s="2" t="s">
        <v>204</v>
      </c>
      <c r="C2528" s="3">
        <v>79.14</v>
      </c>
      <c r="D2528" s="4">
        <v>1028.82</v>
      </c>
      <c r="E2528" s="4">
        <v>395.7</v>
      </c>
      <c r="F2528" s="4">
        <f t="shared" si="171"/>
        <v>633.11999999999989</v>
      </c>
      <c r="G2528" s="5">
        <f t="shared" si="172"/>
        <v>0.61538461538461531</v>
      </c>
      <c r="H2528" s="2" t="s">
        <v>1761</v>
      </c>
      <c r="I2528" s="6" t="s">
        <v>25</v>
      </c>
      <c r="J2528" s="2" t="s">
        <v>1762</v>
      </c>
      <c r="K2528" s="2" t="s">
        <v>1763</v>
      </c>
      <c r="L2528" s="2" t="s">
        <v>28</v>
      </c>
      <c r="M2528" s="2" t="s">
        <v>5</v>
      </c>
      <c r="N2528" s="4">
        <v>17174.8</v>
      </c>
    </row>
    <row r="2529" spans="1:14" x14ac:dyDescent="0.25">
      <c r="A2529" s="2" t="s">
        <v>118</v>
      </c>
      <c r="B2529" s="2" t="s">
        <v>119</v>
      </c>
      <c r="C2529" s="3">
        <v>96</v>
      </c>
      <c r="D2529" s="4">
        <v>1008</v>
      </c>
      <c r="E2529" s="4">
        <v>720</v>
      </c>
      <c r="F2529" s="4">
        <f t="shared" si="171"/>
        <v>288</v>
      </c>
      <c r="G2529" s="5">
        <f t="shared" si="172"/>
        <v>0.2857142857142857</v>
      </c>
      <c r="H2529" s="2" t="s">
        <v>1761</v>
      </c>
      <c r="I2529" s="6" t="s">
        <v>25</v>
      </c>
      <c r="J2529" s="2" t="s">
        <v>1762</v>
      </c>
      <c r="K2529" s="2" t="s">
        <v>1763</v>
      </c>
      <c r="L2529" s="2" t="s">
        <v>28</v>
      </c>
      <c r="M2529" s="2" t="s">
        <v>5</v>
      </c>
      <c r="N2529" s="4">
        <v>17174.8</v>
      </c>
    </row>
    <row r="2530" spans="1:14" x14ac:dyDescent="0.25">
      <c r="A2530" s="2" t="s">
        <v>620</v>
      </c>
      <c r="B2530" s="2" t="s">
        <v>621</v>
      </c>
      <c r="C2530" s="3">
        <v>63.05</v>
      </c>
      <c r="D2530" s="4">
        <v>586.36500000000001</v>
      </c>
      <c r="E2530" s="4">
        <v>630.5</v>
      </c>
      <c r="F2530" s="4">
        <f t="shared" si="171"/>
        <v>-44.134999999999991</v>
      </c>
      <c r="G2530" s="5">
        <f t="shared" si="172"/>
        <v>-7.5268817204301064E-2</v>
      </c>
      <c r="H2530" s="2" t="s">
        <v>1761</v>
      </c>
      <c r="I2530" s="6" t="s">
        <v>25</v>
      </c>
      <c r="J2530" s="2" t="s">
        <v>1762</v>
      </c>
      <c r="K2530" s="2" t="s">
        <v>1763</v>
      </c>
      <c r="L2530" s="2" t="s">
        <v>28</v>
      </c>
      <c r="M2530" s="2" t="s">
        <v>5</v>
      </c>
      <c r="N2530" s="4">
        <v>17174.8</v>
      </c>
    </row>
    <row r="2531" spans="1:14" x14ac:dyDescent="0.25">
      <c r="A2531" s="2" t="s">
        <v>211</v>
      </c>
      <c r="B2531" s="2" t="s">
        <v>212</v>
      </c>
      <c r="C2531" s="3">
        <v>44.67</v>
      </c>
      <c r="D2531" s="4">
        <v>178.23330000000001</v>
      </c>
      <c r="E2531" s="4">
        <v>111.675</v>
      </c>
      <c r="F2531" s="4">
        <f t="shared" si="171"/>
        <v>66.558300000000017</v>
      </c>
      <c r="G2531" s="5">
        <f t="shared" si="172"/>
        <v>0.37343358395989984</v>
      </c>
      <c r="H2531" s="2" t="s">
        <v>1761</v>
      </c>
      <c r="I2531" s="6" t="s">
        <v>25</v>
      </c>
      <c r="J2531" s="2" t="s">
        <v>1762</v>
      </c>
      <c r="K2531" s="2" t="s">
        <v>1763</v>
      </c>
      <c r="L2531" s="2" t="s">
        <v>28</v>
      </c>
      <c r="M2531" s="2" t="s">
        <v>5</v>
      </c>
      <c r="N2531" s="4">
        <v>17174.8</v>
      </c>
    </row>
    <row r="2532" spans="1:14" x14ac:dyDescent="0.25">
      <c r="A2532" s="2" t="s">
        <v>622</v>
      </c>
      <c r="B2532" s="2" t="s">
        <v>623</v>
      </c>
      <c r="C2532" s="3">
        <v>32</v>
      </c>
      <c r="D2532" s="4">
        <v>593.6</v>
      </c>
      <c r="E2532" s="4">
        <v>448</v>
      </c>
      <c r="F2532" s="4">
        <f t="shared" si="171"/>
        <v>145.60000000000002</v>
      </c>
      <c r="G2532" s="5">
        <f t="shared" si="172"/>
        <v>0.24528301886792456</v>
      </c>
      <c r="H2532" s="2" t="s">
        <v>1761</v>
      </c>
      <c r="I2532" s="6" t="s">
        <v>25</v>
      </c>
      <c r="J2532" s="2" t="s">
        <v>1762</v>
      </c>
      <c r="K2532" s="2" t="s">
        <v>1763</v>
      </c>
      <c r="L2532" s="2" t="s">
        <v>28</v>
      </c>
      <c r="M2532" s="2" t="s">
        <v>5</v>
      </c>
      <c r="N2532" s="4">
        <v>17174.8</v>
      </c>
    </row>
    <row r="2533" spans="1:14" x14ac:dyDescent="0.25">
      <c r="A2533" s="2" t="s">
        <v>579</v>
      </c>
      <c r="B2533" s="2" t="s">
        <v>580</v>
      </c>
      <c r="C2533" s="3">
        <v>104.1</v>
      </c>
      <c r="D2533" s="4">
        <v>1582.32</v>
      </c>
      <c r="E2533" s="4">
        <v>968.13</v>
      </c>
      <c r="F2533" s="4">
        <f t="shared" si="171"/>
        <v>614.18999999999994</v>
      </c>
      <c r="G2533" s="5">
        <f t="shared" si="172"/>
        <v>0.38815789473684209</v>
      </c>
      <c r="H2533" s="2" t="s">
        <v>1761</v>
      </c>
      <c r="I2533" s="6" t="s">
        <v>25</v>
      </c>
      <c r="J2533" s="2" t="s">
        <v>1762</v>
      </c>
      <c r="K2533" s="2" t="s">
        <v>1763</v>
      </c>
      <c r="L2533" s="2" t="s">
        <v>28</v>
      </c>
      <c r="M2533" s="2" t="s">
        <v>5</v>
      </c>
      <c r="N2533" s="4">
        <v>17174.8</v>
      </c>
    </row>
    <row r="2534" spans="1:14" x14ac:dyDescent="0.25">
      <c r="A2534" s="2" t="s">
        <v>581</v>
      </c>
      <c r="B2534" s="2" t="s">
        <v>582</v>
      </c>
      <c r="C2534" s="3">
        <v>127.94</v>
      </c>
      <c r="D2534" s="4">
        <v>1774.5278000000001</v>
      </c>
      <c r="E2534" s="4">
        <v>1113.078</v>
      </c>
      <c r="F2534" s="4">
        <f t="shared" si="171"/>
        <v>661.4498000000001</v>
      </c>
      <c r="G2534" s="5">
        <f t="shared" si="172"/>
        <v>0.37274693583273255</v>
      </c>
      <c r="H2534" s="2" t="s">
        <v>1761</v>
      </c>
      <c r="I2534" s="6" t="s">
        <v>25</v>
      </c>
      <c r="J2534" s="2" t="s">
        <v>1762</v>
      </c>
      <c r="K2534" s="2" t="s">
        <v>1763</v>
      </c>
      <c r="L2534" s="2" t="s">
        <v>28</v>
      </c>
      <c r="M2534" s="2" t="s">
        <v>5</v>
      </c>
      <c r="N2534" s="4">
        <v>17174.8</v>
      </c>
    </row>
    <row r="2535" spans="1:14" x14ac:dyDescent="0.25">
      <c r="A2535" s="2" t="s">
        <v>624</v>
      </c>
      <c r="B2535" s="2" t="s">
        <v>625</v>
      </c>
      <c r="C2535" s="3">
        <v>66.185000000000002</v>
      </c>
      <c r="D2535" s="4">
        <v>793.55814999999996</v>
      </c>
      <c r="E2535" s="4">
        <v>496.38749999999999</v>
      </c>
      <c r="F2535" s="4">
        <f t="shared" si="171"/>
        <v>297.17064999999997</v>
      </c>
      <c r="G2535" s="5">
        <f t="shared" si="172"/>
        <v>0.37447873227689737</v>
      </c>
      <c r="H2535" s="2" t="s">
        <v>1761</v>
      </c>
      <c r="I2535" s="6" t="s">
        <v>25</v>
      </c>
      <c r="J2535" s="2" t="s">
        <v>1762</v>
      </c>
      <c r="K2535" s="2" t="s">
        <v>1763</v>
      </c>
      <c r="L2535" s="2" t="s">
        <v>28</v>
      </c>
      <c r="M2535" s="2" t="s">
        <v>5</v>
      </c>
      <c r="N2535" s="4">
        <v>17174.8</v>
      </c>
    </row>
    <row r="2536" spans="1:14" x14ac:dyDescent="0.25">
      <c r="A2536" s="2" t="s">
        <v>53</v>
      </c>
      <c r="B2536" s="2" t="s">
        <v>54</v>
      </c>
      <c r="C2536" s="3">
        <v>103.3</v>
      </c>
      <c r="D2536" s="4">
        <v>878.05</v>
      </c>
      <c r="E2536" s="4">
        <v>754.09</v>
      </c>
      <c r="F2536" s="4">
        <f t="shared" si="171"/>
        <v>123.95999999999992</v>
      </c>
      <c r="G2536" s="5">
        <f t="shared" si="172"/>
        <v>0.14117647058823521</v>
      </c>
      <c r="H2536" s="2" t="s">
        <v>1761</v>
      </c>
      <c r="I2536" s="6" t="s">
        <v>25</v>
      </c>
      <c r="J2536" s="2" t="s">
        <v>1762</v>
      </c>
      <c r="K2536" s="2" t="s">
        <v>1763</v>
      </c>
      <c r="L2536" s="2" t="s">
        <v>28</v>
      </c>
      <c r="M2536" s="2" t="s">
        <v>5</v>
      </c>
      <c r="N2536" s="4">
        <v>17174.8</v>
      </c>
    </row>
    <row r="2537" spans="1:14" x14ac:dyDescent="0.25">
      <c r="A2537" s="2" t="s">
        <v>589</v>
      </c>
      <c r="B2537" s="2" t="s">
        <v>590</v>
      </c>
      <c r="C2537" s="3">
        <v>241.65</v>
      </c>
      <c r="D2537" s="4">
        <v>4100.8005000000003</v>
      </c>
      <c r="E2537" s="4">
        <v>3322.6875</v>
      </c>
      <c r="F2537" s="4">
        <f t="shared" si="171"/>
        <v>778.11300000000028</v>
      </c>
      <c r="G2537" s="5">
        <f t="shared" si="172"/>
        <v>0.18974661166764883</v>
      </c>
      <c r="H2537" s="2" t="s">
        <v>1761</v>
      </c>
      <c r="I2537" s="6" t="s">
        <v>25</v>
      </c>
      <c r="J2537" s="2" t="s">
        <v>1762</v>
      </c>
      <c r="K2537" s="2" t="s">
        <v>1763</v>
      </c>
      <c r="L2537" s="2" t="s">
        <v>28</v>
      </c>
      <c r="M2537" s="2" t="s">
        <v>5</v>
      </c>
      <c r="N2537" s="4">
        <v>17174.8</v>
      </c>
    </row>
    <row r="2538" spans="1:14" x14ac:dyDescent="0.25">
      <c r="A2538" s="2" t="s">
        <v>1764</v>
      </c>
      <c r="B2538" s="2" t="s">
        <v>1765</v>
      </c>
      <c r="C2538" s="3">
        <v>69.7</v>
      </c>
      <c r="D2538" s="4">
        <v>1063.6220000000001</v>
      </c>
      <c r="E2538" s="4">
        <v>871.25</v>
      </c>
      <c r="F2538" s="4">
        <f t="shared" si="171"/>
        <v>192.37200000000007</v>
      </c>
      <c r="G2538" s="5">
        <f t="shared" si="172"/>
        <v>0.18086500655307999</v>
      </c>
      <c r="H2538" s="2" t="s">
        <v>1761</v>
      </c>
      <c r="I2538" s="6" t="s">
        <v>25</v>
      </c>
      <c r="J2538" s="2" t="s">
        <v>1762</v>
      </c>
      <c r="K2538" s="2" t="s">
        <v>1763</v>
      </c>
      <c r="L2538" s="2" t="s">
        <v>28</v>
      </c>
      <c r="M2538" s="2" t="s">
        <v>5</v>
      </c>
      <c r="N2538" s="4">
        <v>17174.8</v>
      </c>
    </row>
    <row r="2539" spans="1:14" x14ac:dyDescent="0.25">
      <c r="A2539" s="2" t="s">
        <v>591</v>
      </c>
      <c r="B2539" s="2" t="s">
        <v>592</v>
      </c>
      <c r="C2539" s="3">
        <v>44.875</v>
      </c>
      <c r="D2539" s="4">
        <v>417.33749999999998</v>
      </c>
      <c r="E2539" s="4">
        <v>260.27499999999998</v>
      </c>
      <c r="F2539" s="4">
        <f t="shared" si="171"/>
        <v>157.0625</v>
      </c>
      <c r="G2539" s="5">
        <f t="shared" si="172"/>
        <v>0.37634408602150538</v>
      </c>
      <c r="H2539" s="2" t="s">
        <v>1761</v>
      </c>
      <c r="I2539" s="6" t="s">
        <v>25</v>
      </c>
      <c r="J2539" s="2" t="s">
        <v>1762</v>
      </c>
      <c r="K2539" s="2" t="s">
        <v>1763</v>
      </c>
      <c r="L2539" s="2" t="s">
        <v>28</v>
      </c>
      <c r="M2539" s="2" t="s">
        <v>5</v>
      </c>
      <c r="N2539" s="4">
        <v>17174.8</v>
      </c>
    </row>
    <row r="2540" spans="1:14" x14ac:dyDescent="0.25">
      <c r="A2540" s="2" t="s">
        <v>593</v>
      </c>
      <c r="B2540" s="2" t="s">
        <v>594</v>
      </c>
      <c r="C2540" s="3">
        <v>28.29</v>
      </c>
      <c r="D2540" s="4">
        <v>263.09699999999998</v>
      </c>
      <c r="E2540" s="4">
        <v>164.08199999999999</v>
      </c>
      <c r="F2540" s="4">
        <f t="shared" si="171"/>
        <v>99.014999999999986</v>
      </c>
      <c r="G2540" s="5">
        <f t="shared" si="172"/>
        <v>0.37634408602150538</v>
      </c>
      <c r="H2540" s="2" t="s">
        <v>1761</v>
      </c>
      <c r="I2540" s="6" t="s">
        <v>25</v>
      </c>
      <c r="J2540" s="2" t="s">
        <v>1762</v>
      </c>
      <c r="K2540" s="2" t="s">
        <v>1763</v>
      </c>
      <c r="L2540" s="2" t="s">
        <v>28</v>
      </c>
      <c r="M2540" s="2" t="s">
        <v>5</v>
      </c>
      <c r="N2540" s="4">
        <v>17174.8</v>
      </c>
    </row>
    <row r="2542" spans="1:14" x14ac:dyDescent="0.25">
      <c r="A2542" s="13" t="s">
        <v>59</v>
      </c>
      <c r="B2542" s="21"/>
      <c r="C2542" s="22">
        <f>SUM(C2520:C2541)</f>
        <v>1380.74</v>
      </c>
      <c r="D2542" s="23">
        <f>SUM(D2520:D2541)</f>
        <v>17174.800850000003</v>
      </c>
      <c r="E2542" s="23">
        <f>SUM(E2520:E2541)</f>
        <v>12641.095000000001</v>
      </c>
      <c r="F2542" s="23">
        <f>D2542-E2542</f>
        <v>4533.7058500000021</v>
      </c>
      <c r="G2542" s="24">
        <f>IF(((D2542)=0),0,(D2542-E2542)/ D2542)</f>
        <v>0.26397428940202244</v>
      </c>
      <c r="H2542" s="21"/>
      <c r="I2542" s="21"/>
      <c r="J2542" s="21"/>
      <c r="K2542" s="21"/>
      <c r="L2542" s="21"/>
      <c r="M2542" s="21"/>
      <c r="N2542" s="21"/>
    </row>
    <row r="2544" spans="1:14" s="17" customFormat="1" ht="18.75" x14ac:dyDescent="0.3"/>
    <row r="2545" spans="1:14" s="7" customFormat="1" x14ac:dyDescent="0.25">
      <c r="A2545" s="13" t="s">
        <v>1766</v>
      </c>
      <c r="B2545" s="18" t="s">
        <v>1767</v>
      </c>
      <c r="C2545" s="19"/>
      <c r="D2545" s="20" t="s">
        <v>5</v>
      </c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</row>
    <row r="2547" spans="1:14" x14ac:dyDescent="0.25">
      <c r="A2547" s="2" t="s">
        <v>1768</v>
      </c>
      <c r="B2547" s="2" t="s">
        <v>1769</v>
      </c>
      <c r="C2547" s="3">
        <v>728.97500000000002</v>
      </c>
      <c r="D2547" s="4">
        <v>4468.6167500000001</v>
      </c>
      <c r="E2547" s="4">
        <v>2915.9</v>
      </c>
      <c r="F2547" s="4">
        <f>D2547-E2547</f>
        <v>1552.71675</v>
      </c>
      <c r="G2547" s="5">
        <f>IF(((D2547)=0),0,(D2547-E2547)/ D2547)</f>
        <v>0.34747145187601958</v>
      </c>
      <c r="H2547" s="2" t="s">
        <v>1770</v>
      </c>
      <c r="I2547" s="6" t="s">
        <v>74</v>
      </c>
      <c r="J2547" s="2" t="s">
        <v>1771</v>
      </c>
      <c r="K2547" s="2" t="s">
        <v>1772</v>
      </c>
      <c r="L2547" s="2" t="s">
        <v>28</v>
      </c>
      <c r="M2547" s="2" t="s">
        <v>5</v>
      </c>
      <c r="N2547" s="4">
        <v>5068.2</v>
      </c>
    </row>
    <row r="2548" spans="1:14" x14ac:dyDescent="0.25">
      <c r="A2548" s="2" t="s">
        <v>1773</v>
      </c>
      <c r="B2548" s="2" t="s">
        <v>1774</v>
      </c>
      <c r="C2548" s="3">
        <v>370.11500000000001</v>
      </c>
      <c r="D2548" s="4">
        <v>599.58630000000005</v>
      </c>
      <c r="E2548" s="4">
        <v>55.517249999999997</v>
      </c>
      <c r="F2548" s="4">
        <f>D2548-E2548</f>
        <v>544.06905000000006</v>
      </c>
      <c r="G2548" s="5">
        <f>IF(((D2548)=0),0,(D2548-E2548)/ D2548)</f>
        <v>0.90740740740740744</v>
      </c>
      <c r="H2548" s="2" t="s">
        <v>1770</v>
      </c>
      <c r="I2548" s="6" t="s">
        <v>74</v>
      </c>
      <c r="J2548" s="2" t="s">
        <v>1771</v>
      </c>
      <c r="K2548" s="2" t="s">
        <v>1772</v>
      </c>
      <c r="L2548" s="2" t="s">
        <v>28</v>
      </c>
      <c r="M2548" s="2" t="s">
        <v>5</v>
      </c>
      <c r="N2548" s="4">
        <v>5068.2</v>
      </c>
    </row>
    <row r="2550" spans="1:14" x14ac:dyDescent="0.25">
      <c r="A2550" s="13" t="s">
        <v>59</v>
      </c>
      <c r="B2550" s="21"/>
      <c r="C2550" s="22">
        <f>SUM(C2544:C2549)</f>
        <v>1099.0900000000001</v>
      </c>
      <c r="D2550" s="23">
        <f>SUM(D2544:D2549)</f>
        <v>5068.2030500000001</v>
      </c>
      <c r="E2550" s="23">
        <f>SUM(E2544:E2549)</f>
        <v>2971.41725</v>
      </c>
      <c r="F2550" s="23">
        <f>D2550-E2550</f>
        <v>2096.7858000000001</v>
      </c>
      <c r="G2550" s="24">
        <f>IF(((D2550)=0),0,(D2550-E2550)/ D2550)</f>
        <v>0.41371385071085504</v>
      </c>
      <c r="H2550" s="21"/>
      <c r="I2550" s="21"/>
      <c r="J2550" s="21"/>
      <c r="K2550" s="21"/>
      <c r="L2550" s="21"/>
      <c r="M2550" s="21"/>
      <c r="N2550" s="21"/>
    </row>
    <row r="2552" spans="1:14" s="17" customFormat="1" ht="18.75" x14ac:dyDescent="0.3"/>
    <row r="2553" spans="1:14" s="7" customFormat="1" x14ac:dyDescent="0.25">
      <c r="A2553" s="13" t="s">
        <v>1775</v>
      </c>
      <c r="B2553" s="18" t="s">
        <v>1776</v>
      </c>
      <c r="C2553" s="19"/>
      <c r="D2553" s="20" t="s">
        <v>5</v>
      </c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</row>
    <row r="2555" spans="1:14" x14ac:dyDescent="0.25">
      <c r="A2555" s="2" t="s">
        <v>731</v>
      </c>
      <c r="B2555" s="2" t="s">
        <v>732</v>
      </c>
      <c r="C2555" s="3">
        <v>4.09</v>
      </c>
      <c r="D2555" s="4">
        <v>197.3425</v>
      </c>
      <c r="E2555" s="4">
        <v>114.52</v>
      </c>
      <c r="F2555" s="4">
        <f>D2555-E2555</f>
        <v>82.822500000000005</v>
      </c>
      <c r="G2555" s="5">
        <f>IF(((D2555)=0),0,(D2555-E2555)/ D2555)</f>
        <v>0.4196891191709845</v>
      </c>
      <c r="H2555" s="2" t="s">
        <v>1777</v>
      </c>
      <c r="I2555" s="6" t="s">
        <v>69</v>
      </c>
      <c r="J2555" s="2" t="s">
        <v>1778</v>
      </c>
      <c r="K2555" s="2" t="s">
        <v>5</v>
      </c>
      <c r="L2555" s="2" t="s">
        <v>28</v>
      </c>
      <c r="M2555" s="2" t="s">
        <v>5</v>
      </c>
      <c r="N2555" s="4">
        <v>468.34</v>
      </c>
    </row>
    <row r="2556" spans="1:14" x14ac:dyDescent="0.25">
      <c r="A2556" s="2" t="s">
        <v>334</v>
      </c>
      <c r="B2556" s="2" t="s">
        <v>335</v>
      </c>
      <c r="C2556" s="3">
        <v>13.3</v>
      </c>
      <c r="D2556" s="4">
        <v>229.15899999999999</v>
      </c>
      <c r="E2556" s="4">
        <v>196.84</v>
      </c>
      <c r="F2556" s="4">
        <f>D2556-E2556</f>
        <v>32.318999999999988</v>
      </c>
      <c r="G2556" s="5">
        <f>IF(((D2556)=0),0,(D2556-E2556)/ D2556)</f>
        <v>0.14103308183401039</v>
      </c>
      <c r="H2556" s="2" t="s">
        <v>1777</v>
      </c>
      <c r="I2556" s="6" t="s">
        <v>69</v>
      </c>
      <c r="J2556" s="2" t="s">
        <v>1778</v>
      </c>
      <c r="K2556" s="2" t="s">
        <v>5</v>
      </c>
      <c r="L2556" s="2" t="s">
        <v>28</v>
      </c>
      <c r="M2556" s="2" t="s">
        <v>5</v>
      </c>
      <c r="N2556" s="4">
        <v>468.34</v>
      </c>
    </row>
    <row r="2557" spans="1:14" x14ac:dyDescent="0.25">
      <c r="A2557" s="2" t="s">
        <v>316</v>
      </c>
      <c r="B2557" s="2" t="s">
        <v>317</v>
      </c>
      <c r="C2557" s="3">
        <v>1.8819999999999999</v>
      </c>
      <c r="D2557" s="4">
        <v>41.836860000000001</v>
      </c>
      <c r="E2557" s="4">
        <v>28.418199999999999</v>
      </c>
      <c r="F2557" s="4">
        <f>D2557-E2557</f>
        <v>13.418660000000003</v>
      </c>
      <c r="G2557" s="5">
        <f>IF(((D2557)=0),0,(D2557-E2557)/ D2557)</f>
        <v>0.3207377417903734</v>
      </c>
      <c r="H2557" s="2" t="s">
        <v>1777</v>
      </c>
      <c r="I2557" s="6" t="s">
        <v>69</v>
      </c>
      <c r="J2557" s="2" t="s">
        <v>1778</v>
      </c>
      <c r="K2557" s="2" t="s">
        <v>5</v>
      </c>
      <c r="L2557" s="2" t="s">
        <v>28</v>
      </c>
      <c r="M2557" s="2" t="s">
        <v>5</v>
      </c>
      <c r="N2557" s="4">
        <v>468.34</v>
      </c>
    </row>
    <row r="2559" spans="1:14" x14ac:dyDescent="0.25">
      <c r="A2559" s="13" t="s">
        <v>59</v>
      </c>
      <c r="B2559" s="21"/>
      <c r="C2559" s="22">
        <f>SUM(C2552:C2558)</f>
        <v>19.272000000000002</v>
      </c>
      <c r="D2559" s="23">
        <f>SUM(D2552:D2558)</f>
        <v>468.33835999999997</v>
      </c>
      <c r="E2559" s="23">
        <f>SUM(E2552:E2558)</f>
        <v>339.77820000000003</v>
      </c>
      <c r="F2559" s="23">
        <f>D2559-E2559</f>
        <v>128.56015999999994</v>
      </c>
      <c r="G2559" s="24">
        <f>IF(((D2559)=0),0,(D2559-E2559)/ D2559)</f>
        <v>0.27450273345108855</v>
      </c>
      <c r="H2559" s="21"/>
      <c r="I2559" s="21"/>
      <c r="J2559" s="21"/>
      <c r="K2559" s="21"/>
      <c r="L2559" s="21"/>
      <c r="M2559" s="21"/>
      <c r="N2559" s="21"/>
    </row>
    <row r="2561" spans="1:14" s="17" customFormat="1" ht="18.75" x14ac:dyDescent="0.3"/>
    <row r="2562" spans="1:14" s="7" customFormat="1" x14ac:dyDescent="0.25">
      <c r="A2562" s="13" t="s">
        <v>1779</v>
      </c>
      <c r="B2562" s="18" t="s">
        <v>1780</v>
      </c>
      <c r="C2562" s="19"/>
      <c r="D2562" s="20" t="s">
        <v>5</v>
      </c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</row>
    <row r="2564" spans="1:14" x14ac:dyDescent="0.25">
      <c r="A2564" s="2" t="s">
        <v>29</v>
      </c>
      <c r="B2564" s="2" t="s">
        <v>30</v>
      </c>
      <c r="C2564" s="3">
        <v>2.04</v>
      </c>
      <c r="D2564" s="4">
        <v>31.252800000000001</v>
      </c>
      <c r="E2564" s="4">
        <v>20.399999999999999</v>
      </c>
      <c r="F2564" s="4">
        <f t="shared" ref="F2564:F2570" si="173">D2564-E2564</f>
        <v>10.852800000000002</v>
      </c>
      <c r="G2564" s="5">
        <f t="shared" ref="G2564:G2570" si="174">IF(((D2564)=0),0,(D2564-E2564)/ D2564)</f>
        <v>0.34725848563968675</v>
      </c>
      <c r="H2564" s="2" t="s">
        <v>1781</v>
      </c>
      <c r="I2564" s="6" t="s">
        <v>74</v>
      </c>
      <c r="J2564" s="2" t="s">
        <v>1782</v>
      </c>
      <c r="K2564" s="2" t="s">
        <v>5</v>
      </c>
      <c r="L2564" s="2" t="s">
        <v>28</v>
      </c>
      <c r="M2564" s="2" t="s">
        <v>5</v>
      </c>
      <c r="N2564" s="4">
        <v>297.83999999999997</v>
      </c>
    </row>
    <row r="2565" spans="1:14" x14ac:dyDescent="0.25">
      <c r="A2565" s="2" t="s">
        <v>797</v>
      </c>
      <c r="B2565" s="2" t="s">
        <v>798</v>
      </c>
      <c r="C2565" s="3">
        <v>3.0619999999999998</v>
      </c>
      <c r="D2565" s="4">
        <v>29.242100000000001</v>
      </c>
      <c r="E2565" s="4">
        <v>16.841000000000001</v>
      </c>
      <c r="F2565" s="4">
        <f t="shared" si="173"/>
        <v>12.4011</v>
      </c>
      <c r="G2565" s="5">
        <f t="shared" si="174"/>
        <v>0.42408376963350786</v>
      </c>
      <c r="H2565" s="2" t="s">
        <v>1781</v>
      </c>
      <c r="I2565" s="6" t="s">
        <v>74</v>
      </c>
      <c r="J2565" s="2" t="s">
        <v>1782</v>
      </c>
      <c r="K2565" s="2" t="s">
        <v>5</v>
      </c>
      <c r="L2565" s="2" t="s">
        <v>28</v>
      </c>
      <c r="M2565" s="2" t="s">
        <v>5</v>
      </c>
      <c r="N2565" s="4">
        <v>297.83999999999997</v>
      </c>
    </row>
    <row r="2566" spans="1:14" x14ac:dyDescent="0.25">
      <c r="A2566" s="2" t="s">
        <v>41</v>
      </c>
      <c r="B2566" s="2" t="s">
        <v>42</v>
      </c>
      <c r="C2566" s="3">
        <v>2.024</v>
      </c>
      <c r="D2566" s="4">
        <v>35.440240000000003</v>
      </c>
      <c r="E2566" s="4">
        <v>23.782</v>
      </c>
      <c r="F2566" s="4">
        <f t="shared" si="173"/>
        <v>11.658240000000003</v>
      </c>
      <c r="G2566" s="5">
        <f t="shared" si="174"/>
        <v>0.32895488292404346</v>
      </c>
      <c r="H2566" s="2" t="s">
        <v>1781</v>
      </c>
      <c r="I2566" s="6" t="s">
        <v>74</v>
      </c>
      <c r="J2566" s="2" t="s">
        <v>1782</v>
      </c>
      <c r="K2566" s="2" t="s">
        <v>5</v>
      </c>
      <c r="L2566" s="2" t="s">
        <v>28</v>
      </c>
      <c r="M2566" s="2" t="s">
        <v>5</v>
      </c>
      <c r="N2566" s="4">
        <v>297.83999999999997</v>
      </c>
    </row>
    <row r="2567" spans="1:14" x14ac:dyDescent="0.25">
      <c r="A2567" s="2" t="s">
        <v>150</v>
      </c>
      <c r="B2567" s="2" t="s">
        <v>151</v>
      </c>
      <c r="C2567" s="3">
        <v>2.052</v>
      </c>
      <c r="D2567" s="4">
        <v>34.69932</v>
      </c>
      <c r="E2567" s="4">
        <v>20.1096</v>
      </c>
      <c r="F2567" s="4">
        <f t="shared" si="173"/>
        <v>14.58972</v>
      </c>
      <c r="G2567" s="5">
        <f t="shared" si="174"/>
        <v>0.42046126552335894</v>
      </c>
      <c r="H2567" s="2" t="s">
        <v>1781</v>
      </c>
      <c r="I2567" s="6" t="s">
        <v>74</v>
      </c>
      <c r="J2567" s="2" t="s">
        <v>1782</v>
      </c>
      <c r="K2567" s="2" t="s">
        <v>5</v>
      </c>
      <c r="L2567" s="2" t="s">
        <v>28</v>
      </c>
      <c r="M2567" s="2" t="s">
        <v>5</v>
      </c>
      <c r="N2567" s="4">
        <v>297.83999999999997</v>
      </c>
    </row>
    <row r="2568" spans="1:14" x14ac:dyDescent="0.25">
      <c r="A2568" s="2" t="s">
        <v>53</v>
      </c>
      <c r="B2568" s="2" t="s">
        <v>54</v>
      </c>
      <c r="C2568" s="3">
        <v>4.1500000000000004</v>
      </c>
      <c r="D2568" s="4">
        <v>49.924500000000002</v>
      </c>
      <c r="E2568" s="4">
        <v>30.295000000000002</v>
      </c>
      <c r="F2568" s="4">
        <f t="shared" si="173"/>
        <v>19.6295</v>
      </c>
      <c r="G2568" s="5">
        <f t="shared" si="174"/>
        <v>0.39318370739817121</v>
      </c>
      <c r="H2568" s="2" t="s">
        <v>1781</v>
      </c>
      <c r="I2568" s="6" t="s">
        <v>74</v>
      </c>
      <c r="J2568" s="2" t="s">
        <v>1782</v>
      </c>
      <c r="K2568" s="2" t="s">
        <v>5</v>
      </c>
      <c r="L2568" s="2" t="s">
        <v>28</v>
      </c>
      <c r="M2568" s="2" t="s">
        <v>5</v>
      </c>
      <c r="N2568" s="4">
        <v>297.83999999999997</v>
      </c>
    </row>
    <row r="2569" spans="1:14" x14ac:dyDescent="0.25">
      <c r="A2569" s="2" t="s">
        <v>134</v>
      </c>
      <c r="B2569" s="2" t="s">
        <v>135</v>
      </c>
      <c r="C2569" s="3">
        <v>2.08</v>
      </c>
      <c r="D2569" s="4">
        <v>26.374400000000001</v>
      </c>
      <c r="E2569" s="4">
        <v>14.768000000000001</v>
      </c>
      <c r="F2569" s="4">
        <f t="shared" si="173"/>
        <v>11.606400000000001</v>
      </c>
      <c r="G2569" s="5">
        <f t="shared" si="174"/>
        <v>0.44006309148264983</v>
      </c>
      <c r="H2569" s="2" t="s">
        <v>1781</v>
      </c>
      <c r="I2569" s="6" t="s">
        <v>74</v>
      </c>
      <c r="J2569" s="2" t="s">
        <v>1782</v>
      </c>
      <c r="K2569" s="2" t="s">
        <v>5</v>
      </c>
      <c r="L2569" s="2" t="s">
        <v>28</v>
      </c>
      <c r="M2569" s="2" t="s">
        <v>5</v>
      </c>
      <c r="N2569" s="4">
        <v>297.83999999999997</v>
      </c>
    </row>
    <row r="2570" spans="1:14" x14ac:dyDescent="0.25">
      <c r="A2570" s="2" t="s">
        <v>122</v>
      </c>
      <c r="B2570" s="2" t="s">
        <v>123</v>
      </c>
      <c r="C2570" s="3">
        <v>7.9950000000000001</v>
      </c>
      <c r="D2570" s="4">
        <v>90.903149999999997</v>
      </c>
      <c r="E2570" s="4">
        <v>43.972499999999997</v>
      </c>
      <c r="F2570" s="4">
        <f t="shared" si="173"/>
        <v>46.93065</v>
      </c>
      <c r="G2570" s="5">
        <f t="shared" si="174"/>
        <v>0.51627088830255063</v>
      </c>
      <c r="H2570" s="2" t="s">
        <v>1781</v>
      </c>
      <c r="I2570" s="6" t="s">
        <v>74</v>
      </c>
      <c r="J2570" s="2" t="s">
        <v>1782</v>
      </c>
      <c r="K2570" s="2" t="s">
        <v>5</v>
      </c>
      <c r="L2570" s="2" t="s">
        <v>28</v>
      </c>
      <c r="M2570" s="2" t="s">
        <v>5</v>
      </c>
      <c r="N2570" s="4">
        <v>297.83999999999997</v>
      </c>
    </row>
    <row r="2572" spans="1:14" x14ac:dyDescent="0.25">
      <c r="A2572" s="13" t="s">
        <v>59</v>
      </c>
      <c r="B2572" s="21"/>
      <c r="C2572" s="22">
        <f>SUM(C2561:C2571)</f>
        <v>23.403000000000002</v>
      </c>
      <c r="D2572" s="23">
        <f>SUM(D2561:D2571)</f>
        <v>297.83650999999998</v>
      </c>
      <c r="E2572" s="23">
        <f>SUM(E2561:E2571)</f>
        <v>170.16809999999998</v>
      </c>
      <c r="F2572" s="23">
        <f>D2572-E2572</f>
        <v>127.66840999999999</v>
      </c>
      <c r="G2572" s="24">
        <f>IF(((D2572)=0),0,(D2572-E2572)/ D2572)</f>
        <v>0.42865265242330436</v>
      </c>
      <c r="H2572" s="21"/>
      <c r="I2572" s="21"/>
      <c r="J2572" s="21"/>
      <c r="K2572" s="21"/>
      <c r="L2572" s="21"/>
      <c r="M2572" s="21"/>
      <c r="N2572" s="21"/>
    </row>
    <row r="2574" spans="1:14" s="17" customFormat="1" ht="18.75" x14ac:dyDescent="0.3"/>
    <row r="2575" spans="1:14" s="7" customFormat="1" x14ac:dyDescent="0.25">
      <c r="A2575" s="13" t="s">
        <v>1783</v>
      </c>
      <c r="B2575" s="18" t="s">
        <v>1784</v>
      </c>
      <c r="C2575" s="19"/>
      <c r="D2575" s="20" t="s">
        <v>5</v>
      </c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</row>
    <row r="2577" spans="1:14" x14ac:dyDescent="0.25">
      <c r="A2577" s="2" t="s">
        <v>877</v>
      </c>
      <c r="B2577" s="2" t="s">
        <v>878</v>
      </c>
      <c r="C2577" s="3">
        <v>104.605</v>
      </c>
      <c r="D2577" s="4">
        <v>2381.8558499999999</v>
      </c>
      <c r="E2577" s="4">
        <v>1307.5625</v>
      </c>
      <c r="F2577" s="4">
        <f t="shared" ref="F2577:F2599" si="175">D2577-E2577</f>
        <v>1074.2933499999999</v>
      </c>
      <c r="G2577" s="5">
        <f t="shared" ref="G2577:G2599" si="176">IF(((D2577)=0),0,(D2577-E2577)/ D2577)</f>
        <v>0.45103205972771188</v>
      </c>
      <c r="H2577" s="2" t="s">
        <v>1785</v>
      </c>
      <c r="I2577" s="6" t="s">
        <v>25</v>
      </c>
      <c r="J2577" s="2" t="s">
        <v>1786</v>
      </c>
      <c r="K2577" s="2" t="s">
        <v>1787</v>
      </c>
      <c r="L2577" s="2" t="s">
        <v>28</v>
      </c>
      <c r="M2577" s="2" t="s">
        <v>5</v>
      </c>
      <c r="N2577" s="4">
        <v>12616.4</v>
      </c>
    </row>
    <row r="2578" spans="1:14" x14ac:dyDescent="0.25">
      <c r="A2578" s="2" t="s">
        <v>272</v>
      </c>
      <c r="B2578" s="2" t="s">
        <v>273</v>
      </c>
      <c r="C2578" s="3">
        <v>20.46</v>
      </c>
      <c r="D2578" s="4">
        <v>320.81279999999998</v>
      </c>
      <c r="E2578" s="4">
        <v>249.61199999999999</v>
      </c>
      <c r="F2578" s="4">
        <f t="shared" si="175"/>
        <v>71.200799999999987</v>
      </c>
      <c r="G2578" s="5">
        <f t="shared" si="176"/>
        <v>0.22193877551020405</v>
      </c>
      <c r="H2578" s="2" t="s">
        <v>1785</v>
      </c>
      <c r="I2578" s="6" t="s">
        <v>25</v>
      </c>
      <c r="J2578" s="2" t="s">
        <v>1786</v>
      </c>
      <c r="K2578" s="2" t="s">
        <v>1787</v>
      </c>
      <c r="L2578" s="2" t="s">
        <v>28</v>
      </c>
      <c r="M2578" s="2" t="s">
        <v>5</v>
      </c>
      <c r="N2578" s="4">
        <v>12616.4</v>
      </c>
    </row>
    <row r="2579" spans="1:14" x14ac:dyDescent="0.25">
      <c r="A2579" s="2" t="s">
        <v>1788</v>
      </c>
      <c r="B2579" s="2" t="s">
        <v>1789</v>
      </c>
      <c r="C2579" s="3">
        <v>25.05</v>
      </c>
      <c r="D2579" s="4">
        <v>442.13249999999999</v>
      </c>
      <c r="E2579" s="4">
        <v>283.065</v>
      </c>
      <c r="F2579" s="4">
        <f t="shared" si="175"/>
        <v>159.0675</v>
      </c>
      <c r="G2579" s="5">
        <f t="shared" si="176"/>
        <v>0.35977337110481589</v>
      </c>
      <c r="H2579" s="2" t="s">
        <v>1785</v>
      </c>
      <c r="I2579" s="6" t="s">
        <v>25</v>
      </c>
      <c r="J2579" s="2" t="s">
        <v>1786</v>
      </c>
      <c r="K2579" s="2" t="s">
        <v>1787</v>
      </c>
      <c r="L2579" s="2" t="s">
        <v>28</v>
      </c>
      <c r="M2579" s="2" t="s">
        <v>5</v>
      </c>
      <c r="N2579" s="4">
        <v>12616.4</v>
      </c>
    </row>
    <row r="2580" spans="1:14" x14ac:dyDescent="0.25">
      <c r="A2580" s="2" t="s">
        <v>850</v>
      </c>
      <c r="B2580" s="2" t="s">
        <v>851</v>
      </c>
      <c r="C2580" s="3">
        <v>60</v>
      </c>
      <c r="D2580" s="4">
        <v>472.2</v>
      </c>
      <c r="E2580" s="4">
        <v>285</v>
      </c>
      <c r="F2580" s="4">
        <f t="shared" si="175"/>
        <v>187.2</v>
      </c>
      <c r="G2580" s="5">
        <f t="shared" si="176"/>
        <v>0.39644218551461241</v>
      </c>
      <c r="H2580" s="2" t="s">
        <v>1785</v>
      </c>
      <c r="I2580" s="6" t="s">
        <v>25</v>
      </c>
      <c r="J2580" s="2" t="s">
        <v>1786</v>
      </c>
      <c r="K2580" s="2" t="s">
        <v>1787</v>
      </c>
      <c r="L2580" s="2" t="s">
        <v>28</v>
      </c>
      <c r="M2580" s="2" t="s">
        <v>5</v>
      </c>
      <c r="N2580" s="4">
        <v>12616.4</v>
      </c>
    </row>
    <row r="2581" spans="1:14" x14ac:dyDescent="0.25">
      <c r="A2581" s="2" t="s">
        <v>274</v>
      </c>
      <c r="B2581" s="2" t="s">
        <v>275</v>
      </c>
      <c r="C2581" s="3">
        <v>16.399999999999999</v>
      </c>
      <c r="D2581" s="4">
        <v>264.20400000000001</v>
      </c>
      <c r="E2581" s="4">
        <v>59.04</v>
      </c>
      <c r="F2581" s="4">
        <f t="shared" si="175"/>
        <v>205.16400000000002</v>
      </c>
      <c r="G2581" s="5">
        <f t="shared" si="176"/>
        <v>0.77653631284916202</v>
      </c>
      <c r="H2581" s="2" t="s">
        <v>1785</v>
      </c>
      <c r="I2581" s="6" t="s">
        <v>25</v>
      </c>
      <c r="J2581" s="2" t="s">
        <v>1786</v>
      </c>
      <c r="K2581" s="2" t="s">
        <v>1787</v>
      </c>
      <c r="L2581" s="2" t="s">
        <v>28</v>
      </c>
      <c r="M2581" s="2" t="s">
        <v>5</v>
      </c>
      <c r="N2581" s="4">
        <v>12616.4</v>
      </c>
    </row>
    <row r="2582" spans="1:14" x14ac:dyDescent="0.25">
      <c r="A2582" s="2" t="s">
        <v>276</v>
      </c>
      <c r="B2582" s="2" t="s">
        <v>277</v>
      </c>
      <c r="C2582" s="3">
        <v>78.180000000000007</v>
      </c>
      <c r="D2582" s="4">
        <v>1350.9503999999999</v>
      </c>
      <c r="E2582" s="4">
        <v>390.9</v>
      </c>
      <c r="F2582" s="4">
        <f t="shared" si="175"/>
        <v>960.05039999999997</v>
      </c>
      <c r="G2582" s="5">
        <f t="shared" si="176"/>
        <v>0.71064814814814814</v>
      </c>
      <c r="H2582" s="2" t="s">
        <v>1785</v>
      </c>
      <c r="I2582" s="6" t="s">
        <v>25</v>
      </c>
      <c r="J2582" s="2" t="s">
        <v>1786</v>
      </c>
      <c r="K2582" s="2" t="s">
        <v>1787</v>
      </c>
      <c r="L2582" s="2" t="s">
        <v>28</v>
      </c>
      <c r="M2582" s="2" t="s">
        <v>5</v>
      </c>
      <c r="N2582" s="4">
        <v>12616.4</v>
      </c>
    </row>
    <row r="2583" spans="1:14" x14ac:dyDescent="0.25">
      <c r="A2583" s="2" t="s">
        <v>282</v>
      </c>
      <c r="B2583" s="2" t="s">
        <v>283</v>
      </c>
      <c r="C2583" s="3">
        <v>5</v>
      </c>
      <c r="D2583" s="4">
        <v>54.35</v>
      </c>
      <c r="E2583" s="4">
        <v>29.95</v>
      </c>
      <c r="F2583" s="4">
        <f t="shared" si="175"/>
        <v>24.400000000000002</v>
      </c>
      <c r="G2583" s="5">
        <f t="shared" si="176"/>
        <v>0.44894204231830731</v>
      </c>
      <c r="H2583" s="2" t="s">
        <v>1785</v>
      </c>
      <c r="I2583" s="6" t="s">
        <v>25</v>
      </c>
      <c r="J2583" s="2" t="s">
        <v>1786</v>
      </c>
      <c r="K2583" s="2" t="s">
        <v>1787</v>
      </c>
      <c r="L2583" s="2" t="s">
        <v>28</v>
      </c>
      <c r="M2583" s="2" t="s">
        <v>5</v>
      </c>
      <c r="N2583" s="4">
        <v>12616.4</v>
      </c>
    </row>
    <row r="2584" spans="1:14" x14ac:dyDescent="0.25">
      <c r="A2584" s="2" t="s">
        <v>760</v>
      </c>
      <c r="B2584" s="2" t="s">
        <v>761</v>
      </c>
      <c r="C2584" s="3">
        <v>12</v>
      </c>
      <c r="D2584" s="4">
        <v>80.760000000000005</v>
      </c>
      <c r="E2584" s="4">
        <v>43.2</v>
      </c>
      <c r="F2584" s="4">
        <f t="shared" si="175"/>
        <v>37.56</v>
      </c>
      <c r="G2584" s="5">
        <f t="shared" si="176"/>
        <v>0.46508172362555722</v>
      </c>
      <c r="H2584" s="2" t="s">
        <v>1785</v>
      </c>
      <c r="I2584" s="6" t="s">
        <v>25</v>
      </c>
      <c r="J2584" s="2" t="s">
        <v>1786</v>
      </c>
      <c r="K2584" s="2" t="s">
        <v>1787</v>
      </c>
      <c r="L2584" s="2" t="s">
        <v>28</v>
      </c>
      <c r="M2584" s="2" t="s">
        <v>5</v>
      </c>
      <c r="N2584" s="4">
        <v>12616.4</v>
      </c>
    </row>
    <row r="2585" spans="1:14" x14ac:dyDescent="0.25">
      <c r="A2585" s="2" t="s">
        <v>762</v>
      </c>
      <c r="B2585" s="2" t="s">
        <v>763</v>
      </c>
      <c r="C2585" s="3">
        <v>30.02</v>
      </c>
      <c r="D2585" s="4">
        <v>543.66219999999998</v>
      </c>
      <c r="E2585" s="4">
        <v>270.18</v>
      </c>
      <c r="F2585" s="4">
        <f t="shared" si="175"/>
        <v>273.48219999999998</v>
      </c>
      <c r="G2585" s="5">
        <f t="shared" si="176"/>
        <v>0.50303699613473218</v>
      </c>
      <c r="H2585" s="2" t="s">
        <v>1785</v>
      </c>
      <c r="I2585" s="6" t="s">
        <v>25</v>
      </c>
      <c r="J2585" s="2" t="s">
        <v>1786</v>
      </c>
      <c r="K2585" s="2" t="s">
        <v>1787</v>
      </c>
      <c r="L2585" s="2" t="s">
        <v>28</v>
      </c>
      <c r="M2585" s="2" t="s">
        <v>5</v>
      </c>
      <c r="N2585" s="4">
        <v>12616.4</v>
      </c>
    </row>
    <row r="2586" spans="1:14" x14ac:dyDescent="0.25">
      <c r="A2586" s="2" t="s">
        <v>286</v>
      </c>
      <c r="B2586" s="2" t="s">
        <v>287</v>
      </c>
      <c r="C2586" s="3">
        <v>24.454000000000001</v>
      </c>
      <c r="D2586" s="4">
        <v>345.53501999999997</v>
      </c>
      <c r="E2586" s="4">
        <v>202.72366</v>
      </c>
      <c r="F2586" s="4">
        <f t="shared" si="175"/>
        <v>142.81135999999998</v>
      </c>
      <c r="G2586" s="5">
        <f t="shared" si="176"/>
        <v>0.41330502476999287</v>
      </c>
      <c r="H2586" s="2" t="s">
        <v>1785</v>
      </c>
      <c r="I2586" s="6" t="s">
        <v>25</v>
      </c>
      <c r="J2586" s="2" t="s">
        <v>1786</v>
      </c>
      <c r="K2586" s="2" t="s">
        <v>1787</v>
      </c>
      <c r="L2586" s="2" t="s">
        <v>28</v>
      </c>
      <c r="M2586" s="2" t="s">
        <v>5</v>
      </c>
      <c r="N2586" s="4">
        <v>12616.4</v>
      </c>
    </row>
    <row r="2587" spans="1:14" x14ac:dyDescent="0.25">
      <c r="A2587" s="2" t="s">
        <v>884</v>
      </c>
      <c r="B2587" s="2" t="s">
        <v>885</v>
      </c>
      <c r="C2587" s="3">
        <v>8</v>
      </c>
      <c r="D2587" s="4">
        <v>113.92</v>
      </c>
      <c r="E2587" s="4">
        <v>62.96</v>
      </c>
      <c r="F2587" s="4">
        <f t="shared" si="175"/>
        <v>50.96</v>
      </c>
      <c r="G2587" s="5">
        <f t="shared" si="176"/>
        <v>0.4473314606741573</v>
      </c>
      <c r="H2587" s="2" t="s">
        <v>1785</v>
      </c>
      <c r="I2587" s="6" t="s">
        <v>25</v>
      </c>
      <c r="J2587" s="2" t="s">
        <v>1786</v>
      </c>
      <c r="K2587" s="2" t="s">
        <v>1787</v>
      </c>
      <c r="L2587" s="2" t="s">
        <v>28</v>
      </c>
      <c r="M2587" s="2" t="s">
        <v>5</v>
      </c>
      <c r="N2587" s="4">
        <v>12616.4</v>
      </c>
    </row>
    <row r="2588" spans="1:14" x14ac:dyDescent="0.25">
      <c r="A2588" s="2" t="s">
        <v>290</v>
      </c>
      <c r="B2588" s="2" t="s">
        <v>291</v>
      </c>
      <c r="C2588" s="3">
        <v>16</v>
      </c>
      <c r="D2588" s="4">
        <v>370.08</v>
      </c>
      <c r="E2588" s="4">
        <v>260</v>
      </c>
      <c r="F2588" s="4">
        <f t="shared" si="175"/>
        <v>110.07999999999998</v>
      </c>
      <c r="G2588" s="5">
        <f t="shared" si="176"/>
        <v>0.29744920017293552</v>
      </c>
      <c r="H2588" s="2" t="s">
        <v>1785</v>
      </c>
      <c r="I2588" s="6" t="s">
        <v>25</v>
      </c>
      <c r="J2588" s="2" t="s">
        <v>1786</v>
      </c>
      <c r="K2588" s="2" t="s">
        <v>1787</v>
      </c>
      <c r="L2588" s="2" t="s">
        <v>28</v>
      </c>
      <c r="M2588" s="2" t="s">
        <v>5</v>
      </c>
      <c r="N2588" s="4">
        <v>12616.4</v>
      </c>
    </row>
    <row r="2589" spans="1:14" x14ac:dyDescent="0.25">
      <c r="A2589" s="2" t="s">
        <v>949</v>
      </c>
      <c r="B2589" s="2" t="s">
        <v>950</v>
      </c>
      <c r="C2589" s="3">
        <v>15.35</v>
      </c>
      <c r="D2589" s="4">
        <v>281.97949999999997</v>
      </c>
      <c r="E2589" s="4">
        <v>142.755</v>
      </c>
      <c r="F2589" s="4">
        <f t="shared" si="175"/>
        <v>139.22449999999998</v>
      </c>
      <c r="G2589" s="5">
        <f t="shared" si="176"/>
        <v>0.4937397931409907</v>
      </c>
      <c r="H2589" s="2" t="s">
        <v>1785</v>
      </c>
      <c r="I2589" s="6" t="s">
        <v>25</v>
      </c>
      <c r="J2589" s="2" t="s">
        <v>1786</v>
      </c>
      <c r="K2589" s="2" t="s">
        <v>1787</v>
      </c>
      <c r="L2589" s="2" t="s">
        <v>28</v>
      </c>
      <c r="M2589" s="2" t="s">
        <v>5</v>
      </c>
      <c r="N2589" s="4">
        <v>12616.4</v>
      </c>
    </row>
    <row r="2590" spans="1:14" x14ac:dyDescent="0.25">
      <c r="A2590" s="2" t="s">
        <v>292</v>
      </c>
      <c r="B2590" s="2" t="s">
        <v>293</v>
      </c>
      <c r="C2590" s="3">
        <v>66.540000000000006</v>
      </c>
      <c r="D2590" s="4">
        <v>1356.7506000000001</v>
      </c>
      <c r="E2590" s="4">
        <v>1097.9100000000001</v>
      </c>
      <c r="F2590" s="4">
        <f t="shared" si="175"/>
        <v>258.84059999999999</v>
      </c>
      <c r="G2590" s="5">
        <f t="shared" si="176"/>
        <v>0.19077979401667483</v>
      </c>
      <c r="H2590" s="2" t="s">
        <v>1785</v>
      </c>
      <c r="I2590" s="6" t="s">
        <v>25</v>
      </c>
      <c r="J2590" s="2" t="s">
        <v>1786</v>
      </c>
      <c r="K2590" s="2" t="s">
        <v>1787</v>
      </c>
      <c r="L2590" s="2" t="s">
        <v>28</v>
      </c>
      <c r="M2590" s="2" t="s">
        <v>5</v>
      </c>
      <c r="N2590" s="4">
        <v>12616.4</v>
      </c>
    </row>
    <row r="2591" spans="1:14" x14ac:dyDescent="0.25">
      <c r="A2591" s="2" t="s">
        <v>766</v>
      </c>
      <c r="B2591" s="2" t="s">
        <v>767</v>
      </c>
      <c r="C2591" s="3">
        <v>16</v>
      </c>
      <c r="D2591" s="4">
        <v>244.32</v>
      </c>
      <c r="E2591" s="4">
        <v>152</v>
      </c>
      <c r="F2591" s="4">
        <f t="shared" si="175"/>
        <v>92.32</v>
      </c>
      <c r="G2591" s="5">
        <f t="shared" si="176"/>
        <v>0.37786509495743287</v>
      </c>
      <c r="H2591" s="2" t="s">
        <v>1785</v>
      </c>
      <c r="I2591" s="6" t="s">
        <v>25</v>
      </c>
      <c r="J2591" s="2" t="s">
        <v>1786</v>
      </c>
      <c r="K2591" s="2" t="s">
        <v>1787</v>
      </c>
      <c r="L2591" s="2" t="s">
        <v>28</v>
      </c>
      <c r="M2591" s="2" t="s">
        <v>5</v>
      </c>
      <c r="N2591" s="4">
        <v>12616.4</v>
      </c>
    </row>
    <row r="2592" spans="1:14" x14ac:dyDescent="0.25">
      <c r="A2592" s="2" t="s">
        <v>768</v>
      </c>
      <c r="B2592" s="2" t="s">
        <v>769</v>
      </c>
      <c r="C2592" s="3">
        <v>36.67</v>
      </c>
      <c r="D2592" s="4">
        <v>647.22550000000001</v>
      </c>
      <c r="E2592" s="4">
        <v>403.37</v>
      </c>
      <c r="F2592" s="4">
        <f t="shared" si="175"/>
        <v>243.85550000000001</v>
      </c>
      <c r="G2592" s="5">
        <f t="shared" si="176"/>
        <v>0.37677053824362605</v>
      </c>
      <c r="H2592" s="2" t="s">
        <v>1785</v>
      </c>
      <c r="I2592" s="6" t="s">
        <v>25</v>
      </c>
      <c r="J2592" s="2" t="s">
        <v>1786</v>
      </c>
      <c r="K2592" s="2" t="s">
        <v>1787</v>
      </c>
      <c r="L2592" s="2" t="s">
        <v>28</v>
      </c>
      <c r="M2592" s="2" t="s">
        <v>5</v>
      </c>
      <c r="N2592" s="4">
        <v>12616.4</v>
      </c>
    </row>
    <row r="2593" spans="1:14" x14ac:dyDescent="0.25">
      <c r="A2593" s="2" t="s">
        <v>886</v>
      </c>
      <c r="B2593" s="2" t="s">
        <v>887</v>
      </c>
      <c r="C2593" s="3">
        <v>30.1</v>
      </c>
      <c r="D2593" s="4">
        <v>306.71899999999999</v>
      </c>
      <c r="E2593" s="4">
        <v>213.71</v>
      </c>
      <c r="F2593" s="4">
        <f t="shared" si="175"/>
        <v>93.008999999999986</v>
      </c>
      <c r="G2593" s="5">
        <f t="shared" si="176"/>
        <v>0.30323846908734048</v>
      </c>
      <c r="H2593" s="2" t="s">
        <v>1785</v>
      </c>
      <c r="I2593" s="6" t="s">
        <v>25</v>
      </c>
      <c r="J2593" s="2" t="s">
        <v>1786</v>
      </c>
      <c r="K2593" s="2" t="s">
        <v>1787</v>
      </c>
      <c r="L2593" s="2" t="s">
        <v>28</v>
      </c>
      <c r="M2593" s="2" t="s">
        <v>5</v>
      </c>
      <c r="N2593" s="4">
        <v>12616.4</v>
      </c>
    </row>
    <row r="2594" spans="1:14" x14ac:dyDescent="0.25">
      <c r="A2594" s="2" t="s">
        <v>770</v>
      </c>
      <c r="B2594" s="2" t="s">
        <v>771</v>
      </c>
      <c r="C2594" s="3">
        <v>10</v>
      </c>
      <c r="D2594" s="4">
        <v>147.5</v>
      </c>
      <c r="E2594" s="4">
        <v>87.5</v>
      </c>
      <c r="F2594" s="4">
        <f t="shared" si="175"/>
        <v>60</v>
      </c>
      <c r="G2594" s="5">
        <f t="shared" si="176"/>
        <v>0.40677966101694918</v>
      </c>
      <c r="H2594" s="2" t="s">
        <v>1785</v>
      </c>
      <c r="I2594" s="6" t="s">
        <v>25</v>
      </c>
      <c r="J2594" s="2" t="s">
        <v>1786</v>
      </c>
      <c r="K2594" s="2" t="s">
        <v>1787</v>
      </c>
      <c r="L2594" s="2" t="s">
        <v>28</v>
      </c>
      <c r="M2594" s="2" t="s">
        <v>5</v>
      </c>
      <c r="N2594" s="4">
        <v>12616.4</v>
      </c>
    </row>
    <row r="2595" spans="1:14" x14ac:dyDescent="0.25">
      <c r="A2595" s="2" t="s">
        <v>296</v>
      </c>
      <c r="B2595" s="2" t="s">
        <v>297</v>
      </c>
      <c r="C2595" s="3">
        <v>43.05</v>
      </c>
      <c r="D2595" s="4">
        <v>498.9495</v>
      </c>
      <c r="E2595" s="4">
        <v>314.26499999999999</v>
      </c>
      <c r="F2595" s="4">
        <f t="shared" si="175"/>
        <v>184.68450000000001</v>
      </c>
      <c r="G2595" s="5">
        <f t="shared" si="176"/>
        <v>0.37014667817083696</v>
      </c>
      <c r="H2595" s="2" t="s">
        <v>1785</v>
      </c>
      <c r="I2595" s="6" t="s">
        <v>25</v>
      </c>
      <c r="J2595" s="2" t="s">
        <v>1786</v>
      </c>
      <c r="K2595" s="2" t="s">
        <v>1787</v>
      </c>
      <c r="L2595" s="2" t="s">
        <v>28</v>
      </c>
      <c r="M2595" s="2" t="s">
        <v>5</v>
      </c>
      <c r="N2595" s="4">
        <v>12616.4</v>
      </c>
    </row>
    <row r="2596" spans="1:14" x14ac:dyDescent="0.25">
      <c r="A2596" s="2" t="s">
        <v>1790</v>
      </c>
      <c r="B2596" s="2" t="s">
        <v>1791</v>
      </c>
      <c r="C2596" s="3">
        <v>25.48</v>
      </c>
      <c r="D2596" s="4">
        <v>654.07159999999999</v>
      </c>
      <c r="E2596" s="4">
        <v>388.57</v>
      </c>
      <c r="F2596" s="4">
        <f t="shared" si="175"/>
        <v>265.5016</v>
      </c>
      <c r="G2596" s="5">
        <f t="shared" si="176"/>
        <v>0.40592130892091938</v>
      </c>
      <c r="H2596" s="2" t="s">
        <v>1785</v>
      </c>
      <c r="I2596" s="6" t="s">
        <v>25</v>
      </c>
      <c r="J2596" s="2" t="s">
        <v>1786</v>
      </c>
      <c r="K2596" s="2" t="s">
        <v>1787</v>
      </c>
      <c r="L2596" s="2" t="s">
        <v>28</v>
      </c>
      <c r="M2596" s="2" t="s">
        <v>5</v>
      </c>
      <c r="N2596" s="4">
        <v>12616.4</v>
      </c>
    </row>
    <row r="2597" spans="1:14" x14ac:dyDescent="0.25">
      <c r="A2597" s="2" t="s">
        <v>1792</v>
      </c>
      <c r="B2597" s="2" t="s">
        <v>1793</v>
      </c>
      <c r="C2597" s="3">
        <v>10</v>
      </c>
      <c r="D2597" s="4">
        <v>189.9</v>
      </c>
      <c r="E2597" s="4">
        <v>125</v>
      </c>
      <c r="F2597" s="4">
        <f t="shared" si="175"/>
        <v>64.900000000000006</v>
      </c>
      <c r="G2597" s="5">
        <f t="shared" si="176"/>
        <v>0.34175882043180622</v>
      </c>
      <c r="H2597" s="2" t="s">
        <v>1785</v>
      </c>
      <c r="I2597" s="6" t="s">
        <v>25</v>
      </c>
      <c r="J2597" s="2" t="s">
        <v>1786</v>
      </c>
      <c r="K2597" s="2" t="s">
        <v>1787</v>
      </c>
      <c r="L2597" s="2" t="s">
        <v>28</v>
      </c>
      <c r="M2597" s="2" t="s">
        <v>5</v>
      </c>
      <c r="N2597" s="4">
        <v>12616.4</v>
      </c>
    </row>
    <row r="2598" spans="1:14" x14ac:dyDescent="0.25">
      <c r="A2598" s="2" t="s">
        <v>772</v>
      </c>
      <c r="B2598" s="2" t="s">
        <v>773</v>
      </c>
      <c r="C2598" s="3">
        <v>41.2</v>
      </c>
      <c r="D2598" s="4">
        <v>613.88</v>
      </c>
      <c r="E2598" s="4">
        <v>350.2</v>
      </c>
      <c r="F2598" s="4">
        <f t="shared" si="175"/>
        <v>263.68</v>
      </c>
      <c r="G2598" s="5">
        <f t="shared" si="176"/>
        <v>0.42953020134228187</v>
      </c>
      <c r="H2598" s="2" t="s">
        <v>1785</v>
      </c>
      <c r="I2598" s="6" t="s">
        <v>25</v>
      </c>
      <c r="J2598" s="2" t="s">
        <v>1786</v>
      </c>
      <c r="K2598" s="2" t="s">
        <v>1787</v>
      </c>
      <c r="L2598" s="2" t="s">
        <v>28</v>
      </c>
      <c r="M2598" s="2" t="s">
        <v>5</v>
      </c>
      <c r="N2598" s="4">
        <v>12616.4</v>
      </c>
    </row>
    <row r="2599" spans="1:14" x14ac:dyDescent="0.25">
      <c r="A2599" s="2" t="s">
        <v>1794</v>
      </c>
      <c r="B2599" s="2" t="s">
        <v>1795</v>
      </c>
      <c r="C2599" s="3">
        <v>38.18</v>
      </c>
      <c r="D2599" s="4">
        <v>934.64639999999997</v>
      </c>
      <c r="E2599" s="4">
        <v>570.79100000000005</v>
      </c>
      <c r="F2599" s="4">
        <f t="shared" si="175"/>
        <v>363.85539999999992</v>
      </c>
      <c r="G2599" s="5">
        <f t="shared" si="176"/>
        <v>0.38929738562091498</v>
      </c>
      <c r="H2599" s="2" t="s">
        <v>1785</v>
      </c>
      <c r="I2599" s="6" t="s">
        <v>25</v>
      </c>
      <c r="J2599" s="2" t="s">
        <v>1786</v>
      </c>
      <c r="K2599" s="2" t="s">
        <v>1787</v>
      </c>
      <c r="L2599" s="2" t="s">
        <v>28</v>
      </c>
      <c r="M2599" s="2" t="s">
        <v>5</v>
      </c>
      <c r="N2599" s="4">
        <v>12616.4</v>
      </c>
    </row>
    <row r="2601" spans="1:14" x14ac:dyDescent="0.25">
      <c r="A2601" s="13" t="s">
        <v>59</v>
      </c>
      <c r="B2601" s="21"/>
      <c r="C2601" s="22">
        <f>SUM(C2574:C2600)</f>
        <v>732.73900000000003</v>
      </c>
      <c r="D2601" s="23">
        <f>SUM(D2574:D2600)</f>
        <v>12616.404869999998</v>
      </c>
      <c r="E2601" s="23">
        <f>SUM(E2574:E2600)</f>
        <v>7290.2641599999997</v>
      </c>
      <c r="F2601" s="23">
        <f>D2601-E2601</f>
        <v>5326.1407099999988</v>
      </c>
      <c r="G2601" s="24">
        <f>IF(((D2601)=0),0,(D2601-E2601)/ D2601)</f>
        <v>0.42215993897475479</v>
      </c>
      <c r="H2601" s="21"/>
      <c r="I2601" s="21"/>
      <c r="J2601" s="21"/>
      <c r="K2601" s="21"/>
      <c r="L2601" s="21"/>
      <c r="M2601" s="21"/>
      <c r="N2601" s="21"/>
    </row>
    <row r="2603" spans="1:14" s="17" customFormat="1" ht="18.75" x14ac:dyDescent="0.3"/>
    <row r="2604" spans="1:14" s="7" customFormat="1" x14ac:dyDescent="0.25">
      <c r="A2604" s="13" t="s">
        <v>1796</v>
      </c>
      <c r="B2604" s="18" t="s">
        <v>1797</v>
      </c>
      <c r="C2604" s="19"/>
      <c r="D2604" s="20" t="s">
        <v>5</v>
      </c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</row>
    <row r="2606" spans="1:14" x14ac:dyDescent="0.25">
      <c r="A2606" s="2" t="s">
        <v>1798</v>
      </c>
      <c r="B2606" s="2" t="s">
        <v>1799</v>
      </c>
      <c r="C2606" s="3">
        <v>21.22</v>
      </c>
      <c r="D2606" s="4">
        <v>470.65960000000001</v>
      </c>
      <c r="E2606" s="4">
        <v>250.39599999999999</v>
      </c>
      <c r="F2606" s="4">
        <f t="shared" ref="F2606:F2614" si="177">D2606-E2606</f>
        <v>220.26360000000003</v>
      </c>
      <c r="G2606" s="5">
        <f t="shared" ref="G2606:G2614" si="178">IF(((D2606)=0),0,(D2606-E2606)/ D2606)</f>
        <v>0.46798917944093782</v>
      </c>
      <c r="H2606" s="2" t="s">
        <v>1800</v>
      </c>
      <c r="I2606" s="6" t="s">
        <v>25</v>
      </c>
      <c r="J2606" s="2" t="s">
        <v>1801</v>
      </c>
      <c r="K2606" s="2" t="s">
        <v>1802</v>
      </c>
      <c r="L2606" s="2" t="s">
        <v>28</v>
      </c>
      <c r="M2606" s="2" t="s">
        <v>5</v>
      </c>
      <c r="N2606" s="4">
        <v>2776.19</v>
      </c>
    </row>
    <row r="2607" spans="1:14" x14ac:dyDescent="0.25">
      <c r="A2607" s="2" t="s">
        <v>1803</v>
      </c>
      <c r="B2607" s="2" t="s">
        <v>1804</v>
      </c>
      <c r="C2607" s="3">
        <v>35.840000000000003</v>
      </c>
      <c r="D2607" s="4">
        <v>688.4864</v>
      </c>
      <c r="E2607" s="4">
        <v>437.24799999999999</v>
      </c>
      <c r="F2607" s="4">
        <f t="shared" si="177"/>
        <v>251.23840000000001</v>
      </c>
      <c r="G2607" s="5">
        <f t="shared" si="178"/>
        <v>0.36491410723581469</v>
      </c>
      <c r="H2607" s="2" t="s">
        <v>1800</v>
      </c>
      <c r="I2607" s="6" t="s">
        <v>25</v>
      </c>
      <c r="J2607" s="2" t="s">
        <v>1801</v>
      </c>
      <c r="K2607" s="2" t="s">
        <v>1802</v>
      </c>
      <c r="L2607" s="2" t="s">
        <v>28</v>
      </c>
      <c r="M2607" s="2" t="s">
        <v>5</v>
      </c>
      <c r="N2607" s="4">
        <v>2776.19</v>
      </c>
    </row>
    <row r="2608" spans="1:14" x14ac:dyDescent="0.25">
      <c r="A2608" s="2" t="s">
        <v>1803</v>
      </c>
      <c r="B2608" s="2" t="s">
        <v>1804</v>
      </c>
      <c r="C2608" s="3">
        <v>45.49</v>
      </c>
      <c r="D2608" s="4">
        <v>873.86289999999997</v>
      </c>
      <c r="E2608" s="4">
        <v>554.97799999999995</v>
      </c>
      <c r="F2608" s="4">
        <f t="shared" si="177"/>
        <v>318.88490000000002</v>
      </c>
      <c r="G2608" s="5">
        <f t="shared" si="178"/>
        <v>0.36491410723581469</v>
      </c>
      <c r="H2608" s="2" t="s">
        <v>1805</v>
      </c>
      <c r="I2608" s="6" t="s">
        <v>69</v>
      </c>
      <c r="J2608" s="2" t="s">
        <v>1806</v>
      </c>
      <c r="K2608" s="2" t="s">
        <v>1807</v>
      </c>
      <c r="L2608" s="2" t="s">
        <v>28</v>
      </c>
      <c r="M2608" s="2" t="s">
        <v>5</v>
      </c>
      <c r="N2608" s="4">
        <v>1349.98</v>
      </c>
    </row>
    <row r="2609" spans="1:14" x14ac:dyDescent="0.25">
      <c r="A2609" s="2" t="s">
        <v>1808</v>
      </c>
      <c r="B2609" s="2" t="s">
        <v>1809</v>
      </c>
      <c r="C2609" s="3">
        <v>2.21</v>
      </c>
      <c r="D2609" s="4">
        <v>62.145200000000003</v>
      </c>
      <c r="E2609" s="4">
        <v>35.912500000000001</v>
      </c>
      <c r="F2609" s="4">
        <f t="shared" si="177"/>
        <v>26.232700000000001</v>
      </c>
      <c r="G2609" s="5">
        <f t="shared" si="178"/>
        <v>0.42211948790896159</v>
      </c>
      <c r="H2609" s="2" t="s">
        <v>1805</v>
      </c>
      <c r="I2609" s="6" t="s">
        <v>69</v>
      </c>
      <c r="J2609" s="2" t="s">
        <v>1806</v>
      </c>
      <c r="K2609" s="2" t="s">
        <v>1807</v>
      </c>
      <c r="L2609" s="2" t="s">
        <v>28</v>
      </c>
      <c r="M2609" s="2" t="s">
        <v>5</v>
      </c>
      <c r="N2609" s="4">
        <v>1349.98</v>
      </c>
    </row>
    <row r="2610" spans="1:14" x14ac:dyDescent="0.25">
      <c r="A2610" s="2" t="s">
        <v>1810</v>
      </c>
      <c r="B2610" s="2" t="s">
        <v>1811</v>
      </c>
      <c r="C2610" s="3">
        <v>20.350000000000001</v>
      </c>
      <c r="D2610" s="4">
        <v>256.61349999999999</v>
      </c>
      <c r="E2610" s="4">
        <v>144.48500000000001</v>
      </c>
      <c r="F2610" s="4">
        <f t="shared" si="177"/>
        <v>112.12849999999997</v>
      </c>
      <c r="G2610" s="5">
        <f t="shared" si="178"/>
        <v>0.43695479777953999</v>
      </c>
      <c r="H2610" s="2" t="s">
        <v>1800</v>
      </c>
      <c r="I2610" s="6" t="s">
        <v>25</v>
      </c>
      <c r="J2610" s="2" t="s">
        <v>1801</v>
      </c>
      <c r="K2610" s="2" t="s">
        <v>1802</v>
      </c>
      <c r="L2610" s="2" t="s">
        <v>28</v>
      </c>
      <c r="M2610" s="2" t="s">
        <v>5</v>
      </c>
      <c r="N2610" s="4">
        <v>2776.19</v>
      </c>
    </row>
    <row r="2611" spans="1:14" x14ac:dyDescent="0.25">
      <c r="A2611" s="2" t="s">
        <v>1812</v>
      </c>
      <c r="B2611" s="2" t="s">
        <v>1813</v>
      </c>
      <c r="C2611" s="3">
        <v>22.79</v>
      </c>
      <c r="D2611" s="4">
        <v>334.7851</v>
      </c>
      <c r="E2611" s="4">
        <v>184.59899999999999</v>
      </c>
      <c r="F2611" s="4">
        <f t="shared" si="177"/>
        <v>150.18610000000001</v>
      </c>
      <c r="G2611" s="5">
        <f t="shared" si="178"/>
        <v>0.44860449285228049</v>
      </c>
      <c r="H2611" s="2" t="s">
        <v>1800</v>
      </c>
      <c r="I2611" s="6" t="s">
        <v>25</v>
      </c>
      <c r="J2611" s="2" t="s">
        <v>1801</v>
      </c>
      <c r="K2611" s="2" t="s">
        <v>1802</v>
      </c>
      <c r="L2611" s="2" t="s">
        <v>28</v>
      </c>
      <c r="M2611" s="2" t="s">
        <v>5</v>
      </c>
      <c r="N2611" s="4">
        <v>2776.19</v>
      </c>
    </row>
    <row r="2612" spans="1:14" x14ac:dyDescent="0.25">
      <c r="A2612" s="2" t="s">
        <v>1814</v>
      </c>
      <c r="B2612" s="2" t="s">
        <v>1815</v>
      </c>
      <c r="C2612" s="3">
        <v>25.49</v>
      </c>
      <c r="D2612" s="4">
        <v>321.4289</v>
      </c>
      <c r="E2612" s="4">
        <v>180.97900000000001</v>
      </c>
      <c r="F2612" s="4">
        <f t="shared" si="177"/>
        <v>140.44989999999999</v>
      </c>
      <c r="G2612" s="5">
        <f t="shared" si="178"/>
        <v>0.43695479777953999</v>
      </c>
      <c r="H2612" s="2" t="s">
        <v>1800</v>
      </c>
      <c r="I2612" s="6" t="s">
        <v>25</v>
      </c>
      <c r="J2612" s="2" t="s">
        <v>1801</v>
      </c>
      <c r="K2612" s="2" t="s">
        <v>1802</v>
      </c>
      <c r="L2612" s="2" t="s">
        <v>28</v>
      </c>
      <c r="M2612" s="2" t="s">
        <v>5</v>
      </c>
      <c r="N2612" s="4">
        <v>2776.19</v>
      </c>
    </row>
    <row r="2613" spans="1:14" x14ac:dyDescent="0.25">
      <c r="A2613" s="2" t="s">
        <v>1816</v>
      </c>
      <c r="B2613" s="2" t="s">
        <v>1817</v>
      </c>
      <c r="C2613" s="3">
        <v>25.475000000000001</v>
      </c>
      <c r="D2613" s="4">
        <v>413.96875</v>
      </c>
      <c r="E2613" s="4">
        <v>222.90625</v>
      </c>
      <c r="F2613" s="4">
        <f t="shared" si="177"/>
        <v>191.0625</v>
      </c>
      <c r="G2613" s="5">
        <f t="shared" si="178"/>
        <v>0.46153846153846156</v>
      </c>
      <c r="H2613" s="2" t="s">
        <v>1805</v>
      </c>
      <c r="I2613" s="6" t="s">
        <v>69</v>
      </c>
      <c r="J2613" s="2" t="s">
        <v>1806</v>
      </c>
      <c r="K2613" s="2" t="s">
        <v>1807</v>
      </c>
      <c r="L2613" s="2" t="s">
        <v>28</v>
      </c>
      <c r="M2613" s="2" t="s">
        <v>5</v>
      </c>
      <c r="N2613" s="4">
        <v>1349.98</v>
      </c>
    </row>
    <row r="2614" spans="1:14" x14ac:dyDescent="0.25">
      <c r="A2614" s="2" t="s">
        <v>1818</v>
      </c>
      <c r="B2614" s="2" t="s">
        <v>1819</v>
      </c>
      <c r="C2614" s="3">
        <v>34.020000000000003</v>
      </c>
      <c r="D2614" s="4">
        <v>704.21400000000006</v>
      </c>
      <c r="E2614" s="4">
        <v>374.22</v>
      </c>
      <c r="F2614" s="4">
        <f t="shared" si="177"/>
        <v>329.99400000000003</v>
      </c>
      <c r="G2614" s="5">
        <f t="shared" si="178"/>
        <v>0.46859903381642515</v>
      </c>
      <c r="H2614" s="2" t="s">
        <v>1800</v>
      </c>
      <c r="I2614" s="6" t="s">
        <v>25</v>
      </c>
      <c r="J2614" s="2" t="s">
        <v>1801</v>
      </c>
      <c r="K2614" s="2" t="s">
        <v>1802</v>
      </c>
      <c r="L2614" s="2" t="s">
        <v>28</v>
      </c>
      <c r="M2614" s="2" t="s">
        <v>5</v>
      </c>
      <c r="N2614" s="4">
        <v>2776.19</v>
      </c>
    </row>
    <row r="2616" spans="1:14" x14ac:dyDescent="0.25">
      <c r="A2616" s="13" t="s">
        <v>59</v>
      </c>
      <c r="B2616" s="21"/>
      <c r="C2616" s="22">
        <f>SUM(C2603:C2615)</f>
        <v>232.88500000000002</v>
      </c>
      <c r="D2616" s="23">
        <f>SUM(D2603:D2615)</f>
        <v>4126.16435</v>
      </c>
      <c r="E2616" s="23">
        <f>SUM(E2603:E2615)</f>
        <v>2385.7237500000001</v>
      </c>
      <c r="F2616" s="23">
        <f>D2616-E2616</f>
        <v>1740.4405999999999</v>
      </c>
      <c r="G2616" s="24">
        <f>IF(((D2616)=0),0,(D2616-E2616)/ D2616)</f>
        <v>0.42180593218493584</v>
      </c>
      <c r="H2616" s="21"/>
      <c r="I2616" s="21"/>
      <c r="J2616" s="21"/>
      <c r="K2616" s="21"/>
      <c r="L2616" s="21"/>
      <c r="M2616" s="21"/>
      <c r="N2616" s="21"/>
    </row>
    <row r="2618" spans="1:14" s="17" customFormat="1" ht="18.75" x14ac:dyDescent="0.3"/>
    <row r="2619" spans="1:14" s="7" customFormat="1" x14ac:dyDescent="0.25">
      <c r="A2619" s="13" t="s">
        <v>1820</v>
      </c>
      <c r="B2619" s="18" t="s">
        <v>1821</v>
      </c>
      <c r="C2619" s="19"/>
      <c r="D2619" s="20" t="s">
        <v>5</v>
      </c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</row>
    <row r="2621" spans="1:14" x14ac:dyDescent="0.25">
      <c r="A2621" s="2" t="s">
        <v>1822</v>
      </c>
      <c r="B2621" s="2" t="s">
        <v>1823</v>
      </c>
      <c r="C2621" s="3">
        <v>29.45</v>
      </c>
      <c r="D2621" s="4">
        <v>609.61500000000001</v>
      </c>
      <c r="E2621" s="4">
        <v>347.51</v>
      </c>
      <c r="F2621" s="4">
        <f t="shared" ref="F2621:F2627" si="179">D2621-E2621</f>
        <v>262.10500000000002</v>
      </c>
      <c r="G2621" s="5">
        <f t="shared" ref="G2621:G2627" si="180">IF(((D2621)=0),0,(D2621-E2621)/ D2621)</f>
        <v>0.42995169082125606</v>
      </c>
      <c r="H2621" s="2" t="s">
        <v>1824</v>
      </c>
      <c r="I2621" s="6" t="s">
        <v>25</v>
      </c>
      <c r="J2621" s="2" t="s">
        <v>1825</v>
      </c>
      <c r="K2621" s="2" t="s">
        <v>1826</v>
      </c>
      <c r="L2621" s="2" t="s">
        <v>28</v>
      </c>
      <c r="M2621" s="2" t="s">
        <v>5</v>
      </c>
      <c r="N2621" s="4">
        <v>3306.37</v>
      </c>
    </row>
    <row r="2622" spans="1:14" x14ac:dyDescent="0.25">
      <c r="A2622" s="2" t="s">
        <v>1803</v>
      </c>
      <c r="B2622" s="2" t="s">
        <v>1804</v>
      </c>
      <c r="C2622" s="3">
        <v>25.545000000000002</v>
      </c>
      <c r="D2622" s="4">
        <v>490.71944999999999</v>
      </c>
      <c r="E2622" s="4">
        <v>311.649</v>
      </c>
      <c r="F2622" s="4">
        <f t="shared" si="179"/>
        <v>179.07044999999999</v>
      </c>
      <c r="G2622" s="5">
        <f t="shared" si="180"/>
        <v>0.36491410723581469</v>
      </c>
      <c r="H2622" s="2" t="s">
        <v>1824</v>
      </c>
      <c r="I2622" s="6" t="s">
        <v>25</v>
      </c>
      <c r="J2622" s="2" t="s">
        <v>1825</v>
      </c>
      <c r="K2622" s="2" t="s">
        <v>1826</v>
      </c>
      <c r="L2622" s="2" t="s">
        <v>28</v>
      </c>
      <c r="M2622" s="2" t="s">
        <v>5</v>
      </c>
      <c r="N2622" s="4">
        <v>3306.37</v>
      </c>
    </row>
    <row r="2623" spans="1:14" x14ac:dyDescent="0.25">
      <c r="A2623" s="2" t="s">
        <v>1827</v>
      </c>
      <c r="B2623" s="2" t="s">
        <v>1828</v>
      </c>
      <c r="C2623" s="3">
        <v>23.7</v>
      </c>
      <c r="D2623" s="4">
        <v>560.26800000000003</v>
      </c>
      <c r="E2623" s="4">
        <v>189.6</v>
      </c>
      <c r="F2623" s="4">
        <f t="shared" si="179"/>
        <v>370.66800000000001</v>
      </c>
      <c r="G2623" s="5">
        <f t="shared" si="180"/>
        <v>0.66159052453468692</v>
      </c>
      <c r="H2623" s="2" t="s">
        <v>1824</v>
      </c>
      <c r="I2623" s="6" t="s">
        <v>25</v>
      </c>
      <c r="J2623" s="2" t="s">
        <v>1825</v>
      </c>
      <c r="K2623" s="2" t="s">
        <v>1826</v>
      </c>
      <c r="L2623" s="2" t="s">
        <v>28</v>
      </c>
      <c r="M2623" s="2" t="s">
        <v>5</v>
      </c>
      <c r="N2623" s="4">
        <v>3306.37</v>
      </c>
    </row>
    <row r="2624" spans="1:14" x14ac:dyDescent="0.25">
      <c r="A2624" s="2" t="s">
        <v>1829</v>
      </c>
      <c r="B2624" s="2" t="s">
        <v>1830</v>
      </c>
      <c r="C2624" s="3">
        <v>18.850000000000001</v>
      </c>
      <c r="D2624" s="4">
        <v>334.21050000000002</v>
      </c>
      <c r="E2624" s="4">
        <v>213.005</v>
      </c>
      <c r="F2624" s="4">
        <f t="shared" si="179"/>
        <v>121.20550000000003</v>
      </c>
      <c r="G2624" s="5">
        <f t="shared" si="180"/>
        <v>0.36266215454032719</v>
      </c>
      <c r="H2624" s="2" t="s">
        <v>1824</v>
      </c>
      <c r="I2624" s="6" t="s">
        <v>25</v>
      </c>
      <c r="J2624" s="2" t="s">
        <v>1825</v>
      </c>
      <c r="K2624" s="2" t="s">
        <v>1826</v>
      </c>
      <c r="L2624" s="2" t="s">
        <v>28</v>
      </c>
      <c r="M2624" s="2" t="s">
        <v>5</v>
      </c>
      <c r="N2624" s="4">
        <v>3306.37</v>
      </c>
    </row>
    <row r="2625" spans="1:14" x14ac:dyDescent="0.25">
      <c r="A2625" s="2" t="s">
        <v>1831</v>
      </c>
      <c r="B2625" s="2" t="s">
        <v>1832</v>
      </c>
      <c r="C2625" s="3">
        <v>20.34</v>
      </c>
      <c r="D2625" s="4">
        <v>451.14120000000003</v>
      </c>
      <c r="E2625" s="4">
        <v>254.25</v>
      </c>
      <c r="F2625" s="4">
        <f t="shared" si="179"/>
        <v>196.89120000000003</v>
      </c>
      <c r="G2625" s="5">
        <f t="shared" si="180"/>
        <v>0.436429215509468</v>
      </c>
      <c r="H2625" s="2" t="s">
        <v>1824</v>
      </c>
      <c r="I2625" s="6" t="s">
        <v>25</v>
      </c>
      <c r="J2625" s="2" t="s">
        <v>1825</v>
      </c>
      <c r="K2625" s="2" t="s">
        <v>1826</v>
      </c>
      <c r="L2625" s="2" t="s">
        <v>28</v>
      </c>
      <c r="M2625" s="2" t="s">
        <v>5</v>
      </c>
      <c r="N2625" s="4">
        <v>3306.37</v>
      </c>
    </row>
    <row r="2626" spans="1:14" x14ac:dyDescent="0.25">
      <c r="A2626" s="2" t="s">
        <v>1833</v>
      </c>
      <c r="B2626" s="2" t="s">
        <v>1834</v>
      </c>
      <c r="C2626" s="3">
        <v>19.899999999999999</v>
      </c>
      <c r="D2626" s="4">
        <v>293.72399999999999</v>
      </c>
      <c r="E2626" s="4">
        <v>174.125</v>
      </c>
      <c r="F2626" s="4">
        <f t="shared" si="179"/>
        <v>119.59899999999999</v>
      </c>
      <c r="G2626" s="5">
        <f t="shared" si="180"/>
        <v>0.40718157181571812</v>
      </c>
      <c r="H2626" s="2" t="s">
        <v>1824</v>
      </c>
      <c r="I2626" s="6" t="s">
        <v>25</v>
      </c>
      <c r="J2626" s="2" t="s">
        <v>1825</v>
      </c>
      <c r="K2626" s="2" t="s">
        <v>1826</v>
      </c>
      <c r="L2626" s="2" t="s">
        <v>28</v>
      </c>
      <c r="M2626" s="2" t="s">
        <v>5</v>
      </c>
      <c r="N2626" s="4">
        <v>3306.37</v>
      </c>
    </row>
    <row r="2627" spans="1:14" x14ac:dyDescent="0.25">
      <c r="A2627" s="2" t="s">
        <v>1835</v>
      </c>
      <c r="B2627" s="2" t="s">
        <v>1836</v>
      </c>
      <c r="C2627" s="3">
        <v>29.5</v>
      </c>
      <c r="D2627" s="4">
        <v>566.69500000000005</v>
      </c>
      <c r="E2627" s="4">
        <v>280.25</v>
      </c>
      <c r="F2627" s="4">
        <f t="shared" si="179"/>
        <v>286.44500000000005</v>
      </c>
      <c r="G2627" s="5">
        <f t="shared" si="180"/>
        <v>0.5054659031754295</v>
      </c>
      <c r="H2627" s="2" t="s">
        <v>1824</v>
      </c>
      <c r="I2627" s="6" t="s">
        <v>25</v>
      </c>
      <c r="J2627" s="2" t="s">
        <v>1825</v>
      </c>
      <c r="K2627" s="2" t="s">
        <v>1826</v>
      </c>
      <c r="L2627" s="2" t="s">
        <v>28</v>
      </c>
      <c r="M2627" s="2" t="s">
        <v>5</v>
      </c>
      <c r="N2627" s="4">
        <v>3306.37</v>
      </c>
    </row>
    <row r="2629" spans="1:14" x14ac:dyDescent="0.25">
      <c r="A2629" s="13" t="s">
        <v>59</v>
      </c>
      <c r="B2629" s="21"/>
      <c r="C2629" s="22">
        <f>SUM(C2618:C2628)</f>
        <v>167.28500000000003</v>
      </c>
      <c r="D2629" s="23">
        <f>SUM(D2618:D2628)</f>
        <v>3306.3731500000004</v>
      </c>
      <c r="E2629" s="23">
        <f>SUM(E2618:E2628)</f>
        <v>1770.3890000000001</v>
      </c>
      <c r="F2629" s="23">
        <f>D2629-E2629</f>
        <v>1535.9841500000002</v>
      </c>
      <c r="G2629" s="24">
        <f>IF(((D2629)=0),0,(D2629-E2629)/ D2629)</f>
        <v>0.46455257175071124</v>
      </c>
      <c r="H2629" s="21"/>
      <c r="I2629" s="21"/>
      <c r="J2629" s="21"/>
      <c r="K2629" s="21"/>
      <c r="L2629" s="21"/>
      <c r="M2629" s="21"/>
      <c r="N2629" s="21"/>
    </row>
    <row r="2631" spans="1:14" s="17" customFormat="1" ht="18.75" x14ac:dyDescent="0.3"/>
    <row r="2632" spans="1:14" s="7" customFormat="1" x14ac:dyDescent="0.25">
      <c r="A2632" s="13" t="s">
        <v>1837</v>
      </c>
      <c r="B2632" s="18" t="s">
        <v>1838</v>
      </c>
      <c r="C2632" s="19"/>
      <c r="D2632" s="20" t="s">
        <v>5</v>
      </c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</row>
    <row r="2634" spans="1:14" x14ac:dyDescent="0.25">
      <c r="A2634" s="2" t="s">
        <v>1798</v>
      </c>
      <c r="B2634" s="2" t="s">
        <v>1799</v>
      </c>
      <c r="C2634" s="3">
        <v>40.86</v>
      </c>
      <c r="D2634" s="4">
        <v>906.27480000000003</v>
      </c>
      <c r="E2634" s="4">
        <v>482.14800000000002</v>
      </c>
      <c r="F2634" s="4">
        <f t="shared" ref="F2634:F2646" si="181">D2634-E2634</f>
        <v>424.1268</v>
      </c>
      <c r="G2634" s="5">
        <f t="shared" ref="G2634:G2646" si="182">IF(((D2634)=0),0,(D2634-E2634)/ D2634)</f>
        <v>0.46798917944093776</v>
      </c>
      <c r="H2634" s="2" t="s">
        <v>1839</v>
      </c>
      <c r="I2634" s="6" t="s">
        <v>25</v>
      </c>
      <c r="J2634" s="2" t="s">
        <v>1840</v>
      </c>
      <c r="K2634" s="2" t="s">
        <v>1841</v>
      </c>
      <c r="L2634" s="2" t="s">
        <v>28</v>
      </c>
      <c r="M2634" s="2" t="s">
        <v>5</v>
      </c>
      <c r="N2634" s="4">
        <v>4058.79</v>
      </c>
    </row>
    <row r="2635" spans="1:14" x14ac:dyDescent="0.25">
      <c r="A2635" s="2" t="s">
        <v>1803</v>
      </c>
      <c r="B2635" s="2" t="s">
        <v>1804</v>
      </c>
      <c r="C2635" s="3">
        <v>15.31</v>
      </c>
      <c r="D2635" s="4">
        <v>294.10509999999999</v>
      </c>
      <c r="E2635" s="4">
        <v>186.78200000000001</v>
      </c>
      <c r="F2635" s="4">
        <f t="shared" si="181"/>
        <v>107.32309999999998</v>
      </c>
      <c r="G2635" s="5">
        <f t="shared" si="182"/>
        <v>0.36491410723581463</v>
      </c>
      <c r="H2635" s="2" t="s">
        <v>1839</v>
      </c>
      <c r="I2635" s="6" t="s">
        <v>25</v>
      </c>
      <c r="J2635" s="2" t="s">
        <v>1840</v>
      </c>
      <c r="K2635" s="2" t="s">
        <v>1841</v>
      </c>
      <c r="L2635" s="2" t="s">
        <v>28</v>
      </c>
      <c r="M2635" s="2" t="s">
        <v>5</v>
      </c>
      <c r="N2635" s="4">
        <v>4058.79</v>
      </c>
    </row>
    <row r="2636" spans="1:14" x14ac:dyDescent="0.25">
      <c r="A2636" s="2" t="s">
        <v>1842</v>
      </c>
      <c r="B2636" s="2" t="s">
        <v>1843</v>
      </c>
      <c r="C2636" s="3">
        <v>39.909999999999997</v>
      </c>
      <c r="D2636" s="4">
        <v>766.67110000000002</v>
      </c>
      <c r="E2636" s="4">
        <v>379.14499999999998</v>
      </c>
      <c r="F2636" s="4">
        <f t="shared" si="181"/>
        <v>387.52610000000004</v>
      </c>
      <c r="G2636" s="5">
        <f t="shared" si="182"/>
        <v>0.5054659031754295</v>
      </c>
      <c r="H2636" s="2" t="s">
        <v>1844</v>
      </c>
      <c r="I2636" s="6" t="s">
        <v>69</v>
      </c>
      <c r="J2636" s="2" t="s">
        <v>1845</v>
      </c>
      <c r="K2636" s="2" t="s">
        <v>1846</v>
      </c>
      <c r="L2636" s="2" t="s">
        <v>28</v>
      </c>
      <c r="M2636" s="2" t="s">
        <v>5</v>
      </c>
      <c r="N2636" s="4">
        <v>766.67</v>
      </c>
    </row>
    <row r="2637" spans="1:14" x14ac:dyDescent="0.25">
      <c r="A2637" s="2" t="s">
        <v>1842</v>
      </c>
      <c r="B2637" s="2" t="s">
        <v>1843</v>
      </c>
      <c r="C2637" s="3">
        <v>16</v>
      </c>
      <c r="D2637" s="4">
        <v>307.36</v>
      </c>
      <c r="E2637" s="4">
        <v>152</v>
      </c>
      <c r="F2637" s="4">
        <f t="shared" si="181"/>
        <v>155.36000000000001</v>
      </c>
      <c r="G2637" s="5">
        <f t="shared" si="182"/>
        <v>0.5054659031754295</v>
      </c>
      <c r="H2637" s="2" t="s">
        <v>1839</v>
      </c>
      <c r="I2637" s="6" t="s">
        <v>25</v>
      </c>
      <c r="J2637" s="2" t="s">
        <v>1840</v>
      </c>
      <c r="K2637" s="2" t="s">
        <v>1841</v>
      </c>
      <c r="L2637" s="2" t="s">
        <v>28</v>
      </c>
      <c r="M2637" s="2" t="s">
        <v>5</v>
      </c>
      <c r="N2637" s="4">
        <v>4058.79</v>
      </c>
    </row>
    <row r="2638" spans="1:14" x14ac:dyDescent="0.25">
      <c r="A2638" s="2" t="s">
        <v>1847</v>
      </c>
      <c r="B2638" s="2" t="s">
        <v>1848</v>
      </c>
      <c r="C2638" s="3">
        <v>31</v>
      </c>
      <c r="D2638" s="4">
        <v>779.65</v>
      </c>
      <c r="E2638" s="4">
        <v>472.75</v>
      </c>
      <c r="F2638" s="4">
        <f t="shared" si="181"/>
        <v>306.89999999999998</v>
      </c>
      <c r="G2638" s="5">
        <f t="shared" si="182"/>
        <v>0.39363817097415504</v>
      </c>
      <c r="H2638" s="2" t="s">
        <v>1849</v>
      </c>
      <c r="I2638" s="6" t="s">
        <v>25</v>
      </c>
      <c r="J2638" s="2" t="s">
        <v>1850</v>
      </c>
      <c r="K2638" s="2" t="s">
        <v>1851</v>
      </c>
      <c r="L2638" s="2" t="s">
        <v>28</v>
      </c>
      <c r="M2638" s="2" t="s">
        <v>5</v>
      </c>
      <c r="N2638" s="4">
        <v>367.97</v>
      </c>
    </row>
    <row r="2639" spans="1:14" x14ac:dyDescent="0.25">
      <c r="A2639" s="2" t="s">
        <v>1847</v>
      </c>
      <c r="B2639" s="2" t="s">
        <v>1848</v>
      </c>
      <c r="C2639" s="3">
        <v>29.04</v>
      </c>
      <c r="D2639" s="4">
        <v>730.35599999999999</v>
      </c>
      <c r="E2639" s="4">
        <v>442.86</v>
      </c>
      <c r="F2639" s="4">
        <f t="shared" si="181"/>
        <v>287.49599999999998</v>
      </c>
      <c r="G2639" s="5">
        <f t="shared" si="182"/>
        <v>0.39363817097415504</v>
      </c>
      <c r="H2639" s="2" t="s">
        <v>1839</v>
      </c>
      <c r="I2639" s="6" t="s">
        <v>25</v>
      </c>
      <c r="J2639" s="2" t="s">
        <v>1840</v>
      </c>
      <c r="K2639" s="2" t="s">
        <v>1841</v>
      </c>
      <c r="L2639" s="2" t="s">
        <v>28</v>
      </c>
      <c r="M2639" s="2" t="s">
        <v>5</v>
      </c>
      <c r="N2639" s="4">
        <v>4058.79</v>
      </c>
    </row>
    <row r="2640" spans="1:14" x14ac:dyDescent="0.25">
      <c r="A2640" s="2" t="s">
        <v>1852</v>
      </c>
      <c r="B2640" s="2" t="s">
        <v>1853</v>
      </c>
      <c r="C2640" s="3">
        <v>15.28</v>
      </c>
      <c r="D2640" s="4">
        <v>248.3</v>
      </c>
      <c r="E2640" s="4">
        <v>123.768</v>
      </c>
      <c r="F2640" s="4">
        <f t="shared" si="181"/>
        <v>124.53200000000001</v>
      </c>
      <c r="G2640" s="5">
        <f t="shared" si="182"/>
        <v>0.5015384615384616</v>
      </c>
      <c r="H2640" s="2" t="s">
        <v>1839</v>
      </c>
      <c r="I2640" s="6" t="s">
        <v>25</v>
      </c>
      <c r="J2640" s="2" t="s">
        <v>1840</v>
      </c>
      <c r="K2640" s="2" t="s">
        <v>1841</v>
      </c>
      <c r="L2640" s="2" t="s">
        <v>28</v>
      </c>
      <c r="M2640" s="2" t="s">
        <v>5</v>
      </c>
      <c r="N2640" s="4">
        <v>4058.79</v>
      </c>
    </row>
    <row r="2641" spans="1:14" x14ac:dyDescent="0.25">
      <c r="A2641" s="2" t="s">
        <v>1854</v>
      </c>
      <c r="B2641" s="2" t="s">
        <v>1855</v>
      </c>
      <c r="C2641" s="3">
        <v>-31</v>
      </c>
      <c r="D2641" s="4">
        <v>-411.68</v>
      </c>
      <c r="E2641" s="4">
        <v>-226.3</v>
      </c>
      <c r="F2641" s="4">
        <f t="shared" si="181"/>
        <v>-185.38</v>
      </c>
      <c r="G2641" s="5">
        <f t="shared" si="182"/>
        <v>0.4503012048192771</v>
      </c>
      <c r="H2641" s="2" t="s">
        <v>1849</v>
      </c>
      <c r="I2641" s="6" t="s">
        <v>25</v>
      </c>
      <c r="J2641" s="2" t="s">
        <v>1850</v>
      </c>
      <c r="K2641" s="2" t="s">
        <v>1851</v>
      </c>
      <c r="L2641" s="2" t="s">
        <v>28</v>
      </c>
      <c r="M2641" s="2" t="s">
        <v>5</v>
      </c>
      <c r="N2641" s="4">
        <v>367.97</v>
      </c>
    </row>
    <row r="2642" spans="1:14" x14ac:dyDescent="0.25">
      <c r="A2642" s="2" t="s">
        <v>1854</v>
      </c>
      <c r="B2642" s="2" t="s">
        <v>1855</v>
      </c>
      <c r="C2642" s="3">
        <v>13.27</v>
      </c>
      <c r="D2642" s="4">
        <v>176.22559999999999</v>
      </c>
      <c r="E2642" s="4">
        <v>96.870999999999995</v>
      </c>
      <c r="F2642" s="4">
        <f t="shared" si="181"/>
        <v>79.354599999999991</v>
      </c>
      <c r="G2642" s="5">
        <f t="shared" si="182"/>
        <v>0.4503012048192771</v>
      </c>
      <c r="H2642" s="2" t="s">
        <v>1839</v>
      </c>
      <c r="I2642" s="6" t="s">
        <v>25</v>
      </c>
      <c r="J2642" s="2" t="s">
        <v>1840</v>
      </c>
      <c r="K2642" s="2" t="s">
        <v>1841</v>
      </c>
      <c r="L2642" s="2" t="s">
        <v>28</v>
      </c>
      <c r="M2642" s="2" t="s">
        <v>5</v>
      </c>
      <c r="N2642" s="4">
        <v>4058.79</v>
      </c>
    </row>
    <row r="2643" spans="1:14" x14ac:dyDescent="0.25">
      <c r="A2643" s="2" t="s">
        <v>1810</v>
      </c>
      <c r="B2643" s="2" t="s">
        <v>1811</v>
      </c>
      <c r="C2643" s="3">
        <v>10.404999999999999</v>
      </c>
      <c r="D2643" s="4">
        <v>131.20705000000001</v>
      </c>
      <c r="E2643" s="4">
        <v>73.875500000000002</v>
      </c>
      <c r="F2643" s="4">
        <f t="shared" si="181"/>
        <v>57.331550000000007</v>
      </c>
      <c r="G2643" s="5">
        <f t="shared" si="182"/>
        <v>0.43695479777954005</v>
      </c>
      <c r="H2643" s="2" t="s">
        <v>1839</v>
      </c>
      <c r="I2643" s="6" t="s">
        <v>25</v>
      </c>
      <c r="J2643" s="2" t="s">
        <v>1840</v>
      </c>
      <c r="K2643" s="2" t="s">
        <v>1841</v>
      </c>
      <c r="L2643" s="2" t="s">
        <v>28</v>
      </c>
      <c r="M2643" s="2" t="s">
        <v>5</v>
      </c>
      <c r="N2643" s="4">
        <v>4058.79</v>
      </c>
    </row>
    <row r="2644" spans="1:14" x14ac:dyDescent="0.25">
      <c r="A2644" s="2" t="s">
        <v>1812</v>
      </c>
      <c r="B2644" s="2" t="s">
        <v>1813</v>
      </c>
      <c r="C2644" s="3">
        <v>21.52</v>
      </c>
      <c r="D2644" s="4">
        <v>316.12880000000001</v>
      </c>
      <c r="E2644" s="4">
        <v>174.31200000000001</v>
      </c>
      <c r="F2644" s="4">
        <f t="shared" si="181"/>
        <v>141.8168</v>
      </c>
      <c r="G2644" s="5">
        <f t="shared" si="182"/>
        <v>0.44860449285228043</v>
      </c>
      <c r="H2644" s="2" t="s">
        <v>1839</v>
      </c>
      <c r="I2644" s="6" t="s">
        <v>25</v>
      </c>
      <c r="J2644" s="2" t="s">
        <v>1840</v>
      </c>
      <c r="K2644" s="2" t="s">
        <v>1841</v>
      </c>
      <c r="L2644" s="2" t="s">
        <v>28</v>
      </c>
      <c r="M2644" s="2" t="s">
        <v>5</v>
      </c>
      <c r="N2644" s="4">
        <v>4058.79</v>
      </c>
    </row>
    <row r="2645" spans="1:14" x14ac:dyDescent="0.25">
      <c r="A2645" s="2" t="s">
        <v>1856</v>
      </c>
      <c r="B2645" s="2" t="s">
        <v>1857</v>
      </c>
      <c r="C2645" s="3">
        <v>16.3</v>
      </c>
      <c r="D2645" s="4">
        <v>409.94499999999999</v>
      </c>
      <c r="E2645" s="4">
        <v>224.125</v>
      </c>
      <c r="F2645" s="4">
        <f t="shared" si="181"/>
        <v>185.82</v>
      </c>
      <c r="G2645" s="5">
        <f t="shared" si="182"/>
        <v>0.45328031809145131</v>
      </c>
      <c r="H2645" s="2" t="s">
        <v>1839</v>
      </c>
      <c r="I2645" s="6" t="s">
        <v>25</v>
      </c>
      <c r="J2645" s="2" t="s">
        <v>1840</v>
      </c>
      <c r="K2645" s="2" t="s">
        <v>1841</v>
      </c>
      <c r="L2645" s="2" t="s">
        <v>28</v>
      </c>
      <c r="M2645" s="2" t="s">
        <v>5</v>
      </c>
      <c r="N2645" s="4">
        <v>4058.79</v>
      </c>
    </row>
    <row r="2646" spans="1:14" x14ac:dyDescent="0.25">
      <c r="A2646" s="2" t="s">
        <v>1858</v>
      </c>
      <c r="B2646" s="2" t="s">
        <v>1859</v>
      </c>
      <c r="C2646" s="3">
        <v>42.734999999999999</v>
      </c>
      <c r="D2646" s="4">
        <v>538.88834999999995</v>
      </c>
      <c r="E2646" s="4">
        <v>405.98250000000002</v>
      </c>
      <c r="F2646" s="4">
        <f t="shared" si="181"/>
        <v>132.90584999999993</v>
      </c>
      <c r="G2646" s="5">
        <f t="shared" si="182"/>
        <v>0.24662965900079292</v>
      </c>
      <c r="H2646" s="2" t="s">
        <v>1839</v>
      </c>
      <c r="I2646" s="6" t="s">
        <v>25</v>
      </c>
      <c r="J2646" s="2" t="s">
        <v>1840</v>
      </c>
      <c r="K2646" s="2" t="s">
        <v>1841</v>
      </c>
      <c r="L2646" s="2" t="s">
        <v>28</v>
      </c>
      <c r="M2646" s="2" t="s">
        <v>5</v>
      </c>
      <c r="N2646" s="4">
        <v>4058.79</v>
      </c>
    </row>
    <row r="2648" spans="1:14" x14ac:dyDescent="0.25">
      <c r="A2648" s="13" t="s">
        <v>59</v>
      </c>
      <c r="B2648" s="21"/>
      <c r="C2648" s="22">
        <f>SUM(C2631:C2647)</f>
        <v>260.63</v>
      </c>
      <c r="D2648" s="23">
        <f>SUM(D2631:D2647)</f>
        <v>5193.4318000000012</v>
      </c>
      <c r="E2648" s="23">
        <f>SUM(E2631:E2647)</f>
        <v>2988.319</v>
      </c>
      <c r="F2648" s="23">
        <f>D2648-E2648</f>
        <v>2205.1128000000012</v>
      </c>
      <c r="G2648" s="24">
        <f>IF(((D2648)=0),0,(D2648-E2648)/ D2648)</f>
        <v>0.42459646817736219</v>
      </c>
      <c r="H2648" s="21"/>
      <c r="I2648" s="21"/>
      <c r="J2648" s="21"/>
      <c r="K2648" s="21"/>
      <c r="L2648" s="21"/>
      <c r="M2648" s="21"/>
      <c r="N2648" s="21"/>
    </row>
    <row r="2650" spans="1:14" s="17" customFormat="1" ht="18.75" x14ac:dyDescent="0.3"/>
    <row r="2651" spans="1:14" s="7" customFormat="1" x14ac:dyDescent="0.25">
      <c r="A2651" s="13" t="s">
        <v>1860</v>
      </c>
      <c r="B2651" s="18" t="s">
        <v>1861</v>
      </c>
      <c r="C2651" s="19"/>
      <c r="D2651" s="20" t="s">
        <v>5</v>
      </c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</row>
    <row r="2653" spans="1:14" x14ac:dyDescent="0.25">
      <c r="A2653" s="2" t="s">
        <v>1803</v>
      </c>
      <c r="B2653" s="2" t="s">
        <v>1804</v>
      </c>
      <c r="C2653" s="3">
        <v>30.16</v>
      </c>
      <c r="D2653" s="4">
        <v>579.37360000000001</v>
      </c>
      <c r="E2653" s="4">
        <v>367.952</v>
      </c>
      <c r="F2653" s="4">
        <f>D2653-E2653</f>
        <v>211.42160000000001</v>
      </c>
      <c r="G2653" s="5">
        <f>IF(((D2653)=0),0,(D2653-E2653)/ D2653)</f>
        <v>0.36491410723581469</v>
      </c>
      <c r="H2653" s="2" t="s">
        <v>1862</v>
      </c>
      <c r="I2653" s="6" t="s">
        <v>25</v>
      </c>
      <c r="J2653" s="2" t="s">
        <v>1863</v>
      </c>
      <c r="K2653" s="2" t="s">
        <v>1864</v>
      </c>
      <c r="L2653" s="2" t="s">
        <v>28</v>
      </c>
      <c r="M2653" s="2" t="s">
        <v>5</v>
      </c>
      <c r="N2653" s="4">
        <v>579.37</v>
      </c>
    </row>
    <row r="2654" spans="1:14" x14ac:dyDescent="0.25">
      <c r="A2654" s="2" t="s">
        <v>1865</v>
      </c>
      <c r="B2654" s="2" t="s">
        <v>1866</v>
      </c>
      <c r="C2654" s="3">
        <v>30.85</v>
      </c>
      <c r="D2654" s="4">
        <v>389.01850000000002</v>
      </c>
      <c r="E2654" s="4">
        <v>376.37</v>
      </c>
      <c r="F2654" s="4">
        <f>D2654-E2654</f>
        <v>12.648500000000013</v>
      </c>
      <c r="G2654" s="5">
        <f>IF(((D2654)=0),0,(D2654-E2654)/ D2654)</f>
        <v>3.2513877874702647E-2</v>
      </c>
      <c r="H2654" s="2" t="s">
        <v>1867</v>
      </c>
      <c r="I2654" s="6" t="s">
        <v>69</v>
      </c>
      <c r="J2654" s="2" t="s">
        <v>1868</v>
      </c>
      <c r="K2654" s="2" t="s">
        <v>1869</v>
      </c>
      <c r="L2654" s="2" t="s">
        <v>28</v>
      </c>
      <c r="M2654" s="2" t="s">
        <v>5</v>
      </c>
      <c r="N2654" s="4">
        <v>389.02</v>
      </c>
    </row>
    <row r="2655" spans="1:14" x14ac:dyDescent="0.25">
      <c r="A2655" s="2" t="s">
        <v>1870</v>
      </c>
      <c r="B2655" s="2" t="s">
        <v>1871</v>
      </c>
      <c r="C2655" s="3">
        <v>29.425000000000001</v>
      </c>
      <c r="D2655" s="4">
        <v>347.21499999999997</v>
      </c>
      <c r="E2655" s="4">
        <v>214.80250000000001</v>
      </c>
      <c r="F2655" s="4">
        <f>D2655-E2655</f>
        <v>132.41249999999997</v>
      </c>
      <c r="G2655" s="5">
        <f>IF(((D2655)=0),0,(D2655-E2655)/ D2655)</f>
        <v>0.38135593220338976</v>
      </c>
      <c r="H2655" s="2" t="s">
        <v>1872</v>
      </c>
      <c r="I2655" s="6" t="s">
        <v>69</v>
      </c>
      <c r="J2655" s="2" t="s">
        <v>1873</v>
      </c>
      <c r="K2655" s="2" t="s">
        <v>1874</v>
      </c>
      <c r="L2655" s="2" t="s">
        <v>28</v>
      </c>
      <c r="M2655" s="2" t="s">
        <v>5</v>
      </c>
      <c r="N2655" s="4">
        <v>347.22</v>
      </c>
    </row>
    <row r="2657" spans="1:14" x14ac:dyDescent="0.25">
      <c r="A2657" s="13" t="s">
        <v>59</v>
      </c>
      <c r="B2657" s="21"/>
      <c r="C2657" s="22">
        <f>SUM(C2650:C2656)</f>
        <v>90.435000000000002</v>
      </c>
      <c r="D2657" s="23">
        <f>SUM(D2650:D2656)</f>
        <v>1315.6070999999999</v>
      </c>
      <c r="E2657" s="23">
        <f>SUM(E2650:E2656)</f>
        <v>959.12450000000001</v>
      </c>
      <c r="F2657" s="23">
        <f>D2657-E2657</f>
        <v>356.48259999999993</v>
      </c>
      <c r="G2657" s="24">
        <f>IF(((D2657)=0),0,(D2657-E2657)/ D2657)</f>
        <v>0.27096433274037512</v>
      </c>
      <c r="H2657" s="21"/>
      <c r="I2657" s="21"/>
      <c r="J2657" s="21"/>
      <c r="K2657" s="21"/>
      <c r="L2657" s="21"/>
      <c r="M2657" s="21"/>
      <c r="N2657" s="21"/>
    </row>
    <row r="2659" spans="1:14" s="17" customFormat="1" ht="18.75" x14ac:dyDescent="0.3"/>
    <row r="2660" spans="1:14" s="7" customFormat="1" x14ac:dyDescent="0.25">
      <c r="A2660" s="13" t="s">
        <v>1875</v>
      </c>
      <c r="B2660" s="18" t="s">
        <v>1876</v>
      </c>
      <c r="C2660" s="19"/>
      <c r="D2660" s="20" t="s">
        <v>5</v>
      </c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</row>
    <row r="2662" spans="1:14" x14ac:dyDescent="0.25">
      <c r="A2662" s="2" t="s">
        <v>1877</v>
      </c>
      <c r="B2662" s="2" t="s">
        <v>1878</v>
      </c>
      <c r="C2662" s="3">
        <v>20.34</v>
      </c>
      <c r="D2662" s="4">
        <v>754.41060000000004</v>
      </c>
      <c r="E2662" s="4">
        <v>355.95</v>
      </c>
      <c r="F2662" s="4">
        <f t="shared" ref="F2662:F2667" si="183">D2662-E2662</f>
        <v>398.46060000000006</v>
      </c>
      <c r="G2662" s="5">
        <f t="shared" ref="G2662:G2667" si="184">IF(((D2662)=0),0,(D2662-E2662)/ D2662)</f>
        <v>0.52817471016446482</v>
      </c>
      <c r="H2662" s="2" t="s">
        <v>1879</v>
      </c>
      <c r="I2662" s="6" t="s">
        <v>32</v>
      </c>
      <c r="J2662" s="2" t="s">
        <v>1880</v>
      </c>
      <c r="K2662" s="2" t="s">
        <v>1881</v>
      </c>
      <c r="L2662" s="2" t="s">
        <v>28</v>
      </c>
      <c r="M2662" s="2" t="s">
        <v>5</v>
      </c>
      <c r="N2662" s="4">
        <v>2554.6799999999998</v>
      </c>
    </row>
    <row r="2663" spans="1:14" x14ac:dyDescent="0.25">
      <c r="A2663" s="2" t="s">
        <v>1882</v>
      </c>
      <c r="B2663" s="2" t="s">
        <v>1883</v>
      </c>
      <c r="C2663" s="3">
        <v>59.9</v>
      </c>
      <c r="D2663" s="4">
        <v>973.375</v>
      </c>
      <c r="E2663" s="4">
        <v>404.32499999999999</v>
      </c>
      <c r="F2663" s="4">
        <f t="shared" si="183"/>
        <v>569.04999999999995</v>
      </c>
      <c r="G2663" s="5">
        <f t="shared" si="184"/>
        <v>0.58461538461538454</v>
      </c>
      <c r="H2663" s="2" t="s">
        <v>1884</v>
      </c>
      <c r="I2663" s="6" t="s">
        <v>39</v>
      </c>
      <c r="J2663" s="2" t="s">
        <v>1885</v>
      </c>
      <c r="K2663" s="2" t="s">
        <v>1886</v>
      </c>
      <c r="L2663" s="2" t="s">
        <v>28</v>
      </c>
      <c r="M2663" s="2" t="s">
        <v>5</v>
      </c>
      <c r="N2663" s="4">
        <v>973.38</v>
      </c>
    </row>
    <row r="2664" spans="1:14" x14ac:dyDescent="0.25">
      <c r="A2664" s="2" t="s">
        <v>1887</v>
      </c>
      <c r="B2664" s="2" t="s">
        <v>1888</v>
      </c>
      <c r="C2664" s="3">
        <v>12.49</v>
      </c>
      <c r="D2664" s="4">
        <v>646.35749999999996</v>
      </c>
      <c r="E2664" s="4">
        <v>318.495</v>
      </c>
      <c r="F2664" s="4">
        <f t="shared" si="183"/>
        <v>327.86249999999995</v>
      </c>
      <c r="G2664" s="5">
        <f t="shared" si="184"/>
        <v>0.50724637681159412</v>
      </c>
      <c r="H2664" s="2" t="s">
        <v>1889</v>
      </c>
      <c r="I2664" s="6" t="s">
        <v>39</v>
      </c>
      <c r="J2664" s="2" t="s">
        <v>1890</v>
      </c>
      <c r="K2664" s="2" t="s">
        <v>1891</v>
      </c>
      <c r="L2664" s="2" t="s">
        <v>28</v>
      </c>
      <c r="M2664" s="2" t="s">
        <v>5</v>
      </c>
      <c r="N2664" s="4">
        <v>4629.2299999999996</v>
      </c>
    </row>
    <row r="2665" spans="1:14" x14ac:dyDescent="0.25">
      <c r="A2665" s="2" t="s">
        <v>1892</v>
      </c>
      <c r="B2665" s="2" t="s">
        <v>1893</v>
      </c>
      <c r="C2665" s="3">
        <v>60.82</v>
      </c>
      <c r="D2665" s="4">
        <v>1800.2719999999999</v>
      </c>
      <c r="E2665" s="4">
        <v>760.25</v>
      </c>
      <c r="F2665" s="4">
        <f t="shared" si="183"/>
        <v>1040.0219999999999</v>
      </c>
      <c r="G2665" s="5">
        <f t="shared" si="184"/>
        <v>0.57770270270270274</v>
      </c>
      <c r="H2665" s="2" t="s">
        <v>1879</v>
      </c>
      <c r="I2665" s="6" t="s">
        <v>32</v>
      </c>
      <c r="J2665" s="2" t="s">
        <v>1880</v>
      </c>
      <c r="K2665" s="2" t="s">
        <v>1881</v>
      </c>
      <c r="L2665" s="2" t="s">
        <v>28</v>
      </c>
      <c r="M2665" s="2" t="s">
        <v>5</v>
      </c>
      <c r="N2665" s="4">
        <v>2554.6799999999998</v>
      </c>
    </row>
    <row r="2666" spans="1:14" x14ac:dyDescent="0.25">
      <c r="A2666" s="2" t="s">
        <v>1892</v>
      </c>
      <c r="B2666" s="2" t="s">
        <v>1893</v>
      </c>
      <c r="C2666" s="3">
        <v>121.045</v>
      </c>
      <c r="D2666" s="4">
        <v>3582.9319999999998</v>
      </c>
      <c r="E2666" s="4">
        <v>1513.0625</v>
      </c>
      <c r="F2666" s="4">
        <f t="shared" si="183"/>
        <v>2069.8694999999998</v>
      </c>
      <c r="G2666" s="5">
        <f t="shared" si="184"/>
        <v>0.57770270270270263</v>
      </c>
      <c r="H2666" s="2" t="s">
        <v>1889</v>
      </c>
      <c r="I2666" s="6" t="s">
        <v>39</v>
      </c>
      <c r="J2666" s="2" t="s">
        <v>1890</v>
      </c>
      <c r="K2666" s="2" t="s">
        <v>1891</v>
      </c>
      <c r="L2666" s="2" t="s">
        <v>28</v>
      </c>
      <c r="M2666" s="2" t="s">
        <v>5</v>
      </c>
      <c r="N2666" s="4">
        <v>4629.2299999999996</v>
      </c>
    </row>
    <row r="2667" spans="1:14" x14ac:dyDescent="0.25">
      <c r="A2667" s="2" t="s">
        <v>1894</v>
      </c>
      <c r="B2667" s="2" t="s">
        <v>1895</v>
      </c>
      <c r="C2667" s="3">
        <v>29.625</v>
      </c>
      <c r="D2667" s="4">
        <v>399.9375</v>
      </c>
      <c r="E2667" s="4">
        <v>222.1875</v>
      </c>
      <c r="F2667" s="4">
        <f t="shared" si="183"/>
        <v>177.75</v>
      </c>
      <c r="G2667" s="5">
        <f t="shared" si="184"/>
        <v>0.44444444444444442</v>
      </c>
      <c r="H2667" s="2" t="s">
        <v>1889</v>
      </c>
      <c r="I2667" s="6" t="s">
        <v>39</v>
      </c>
      <c r="J2667" s="2" t="s">
        <v>1890</v>
      </c>
      <c r="K2667" s="2" t="s">
        <v>1891</v>
      </c>
      <c r="L2667" s="2" t="s">
        <v>28</v>
      </c>
      <c r="M2667" s="2" t="s">
        <v>5</v>
      </c>
      <c r="N2667" s="4">
        <v>4629.2299999999996</v>
      </c>
    </row>
    <row r="2669" spans="1:14" x14ac:dyDescent="0.25">
      <c r="A2669" s="13" t="s">
        <v>59</v>
      </c>
      <c r="B2669" s="21"/>
      <c r="C2669" s="22">
        <f>SUM(C2659:C2668)</f>
        <v>304.21999999999997</v>
      </c>
      <c r="D2669" s="23">
        <f>SUM(D2659:D2668)</f>
        <v>8157.2846</v>
      </c>
      <c r="E2669" s="23">
        <f>SUM(E2659:E2668)</f>
        <v>3574.27</v>
      </c>
      <c r="F2669" s="23">
        <f>D2669-E2669</f>
        <v>4583.0146000000004</v>
      </c>
      <c r="G2669" s="24">
        <f>IF(((D2669)=0),0,(D2669-E2669)/ D2669)</f>
        <v>0.56183090632880461</v>
      </c>
      <c r="H2669" s="21"/>
      <c r="I2669" s="21"/>
      <c r="J2669" s="21"/>
      <c r="K2669" s="21"/>
      <c r="L2669" s="21"/>
      <c r="M2669" s="21"/>
      <c r="N2669" s="21"/>
    </row>
    <row r="2671" spans="1:14" s="17" customFormat="1" ht="18.75" x14ac:dyDescent="0.3"/>
    <row r="2672" spans="1:14" s="7" customFormat="1" x14ac:dyDescent="0.25">
      <c r="A2672" s="13" t="s">
        <v>1896</v>
      </c>
      <c r="B2672" s="18" t="s">
        <v>1897</v>
      </c>
      <c r="C2672" s="19"/>
      <c r="D2672" s="20" t="s">
        <v>5</v>
      </c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</row>
    <row r="2674" spans="1:14" x14ac:dyDescent="0.25">
      <c r="A2674" s="2" t="s">
        <v>1808</v>
      </c>
      <c r="B2674" s="2" t="s">
        <v>1809</v>
      </c>
      <c r="C2674" s="3">
        <v>144</v>
      </c>
      <c r="D2674" s="4">
        <v>4049.28</v>
      </c>
      <c r="E2674" s="4">
        <v>2340</v>
      </c>
      <c r="F2674" s="4">
        <f>D2674-E2674</f>
        <v>1709.2800000000002</v>
      </c>
      <c r="G2674" s="5">
        <f>IF(((D2674)=0),0,(D2674-E2674)/ D2674)</f>
        <v>0.42211948790896164</v>
      </c>
      <c r="H2674" s="2" t="s">
        <v>1898</v>
      </c>
      <c r="I2674" s="6" t="s">
        <v>39</v>
      </c>
      <c r="J2674" s="2" t="s">
        <v>1899</v>
      </c>
      <c r="K2674" s="2" t="s">
        <v>1900</v>
      </c>
      <c r="L2674" s="2" t="s">
        <v>28</v>
      </c>
      <c r="M2674" s="2" t="s">
        <v>5</v>
      </c>
      <c r="N2674" s="4">
        <v>8728.75</v>
      </c>
    </row>
    <row r="2675" spans="1:14" x14ac:dyDescent="0.25">
      <c r="A2675" s="2" t="s">
        <v>1901</v>
      </c>
      <c r="B2675" s="2" t="s">
        <v>1902</v>
      </c>
      <c r="C2675" s="3">
        <v>197.78</v>
      </c>
      <c r="D2675" s="4">
        <v>4679.4748</v>
      </c>
      <c r="E2675" s="4">
        <v>3263.37</v>
      </c>
      <c r="F2675" s="4">
        <f>D2675-E2675</f>
        <v>1416.1048000000001</v>
      </c>
      <c r="G2675" s="5">
        <f>IF(((D2675)=0),0,(D2675-E2675)/ D2675)</f>
        <v>0.30262045646661034</v>
      </c>
      <c r="H2675" s="2" t="s">
        <v>1898</v>
      </c>
      <c r="I2675" s="6" t="s">
        <v>39</v>
      </c>
      <c r="J2675" s="2" t="s">
        <v>1899</v>
      </c>
      <c r="K2675" s="2" t="s">
        <v>1900</v>
      </c>
      <c r="L2675" s="2" t="s">
        <v>28</v>
      </c>
      <c r="M2675" s="2" t="s">
        <v>5</v>
      </c>
      <c r="N2675" s="4">
        <v>8728.75</v>
      </c>
    </row>
    <row r="2677" spans="1:14" x14ac:dyDescent="0.25">
      <c r="A2677" s="13" t="s">
        <v>59</v>
      </c>
      <c r="B2677" s="21"/>
      <c r="C2677" s="22">
        <f>SUM(C2671:C2676)</f>
        <v>341.78</v>
      </c>
      <c r="D2677" s="23">
        <f>SUM(D2671:D2676)</f>
        <v>8728.7548000000006</v>
      </c>
      <c r="E2677" s="23">
        <f>SUM(E2671:E2676)</f>
        <v>5603.37</v>
      </c>
      <c r="F2677" s="23">
        <f>D2677-E2677</f>
        <v>3125.3848000000007</v>
      </c>
      <c r="G2677" s="24">
        <f>IF(((D2677)=0),0,(D2677-E2677)/ D2677)</f>
        <v>0.35805620293057155</v>
      </c>
      <c r="H2677" s="21"/>
      <c r="I2677" s="21"/>
      <c r="J2677" s="21"/>
      <c r="K2677" s="21"/>
      <c r="L2677" s="21"/>
      <c r="M2677" s="21"/>
      <c r="N2677" s="21"/>
    </row>
    <row r="2679" spans="1:14" s="17" customFormat="1" ht="18.75" x14ac:dyDescent="0.3"/>
    <row r="2680" spans="1:14" s="7" customFormat="1" x14ac:dyDescent="0.25">
      <c r="A2680" s="13" t="s">
        <v>1903</v>
      </c>
      <c r="B2680" s="18" t="s">
        <v>1904</v>
      </c>
      <c r="C2680" s="19"/>
      <c r="D2680" s="20" t="s">
        <v>5</v>
      </c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</row>
    <row r="2682" spans="1:14" x14ac:dyDescent="0.25">
      <c r="A2682" s="2" t="s">
        <v>1827</v>
      </c>
      <c r="B2682" s="2" t="s">
        <v>1828</v>
      </c>
      <c r="C2682" s="3">
        <v>102.7</v>
      </c>
      <c r="D2682" s="4">
        <v>2427.828</v>
      </c>
      <c r="E2682" s="4">
        <v>770.25</v>
      </c>
      <c r="F2682" s="4">
        <f>D2682-E2682</f>
        <v>1657.578</v>
      </c>
      <c r="G2682" s="5">
        <f>IF(((D2682)=0),0,(D2682-E2682)/ D2682)</f>
        <v>0.68274111675126903</v>
      </c>
      <c r="H2682" s="2" t="s">
        <v>1905</v>
      </c>
      <c r="I2682" s="6" t="s">
        <v>32</v>
      </c>
      <c r="J2682" s="2" t="s">
        <v>1906</v>
      </c>
      <c r="K2682" s="2" t="s">
        <v>1907</v>
      </c>
      <c r="L2682" s="2" t="s">
        <v>28</v>
      </c>
      <c r="M2682" s="2" t="s">
        <v>5</v>
      </c>
      <c r="N2682" s="4">
        <v>3344.7</v>
      </c>
    </row>
    <row r="2683" spans="1:14" x14ac:dyDescent="0.25">
      <c r="A2683" s="2" t="s">
        <v>1827</v>
      </c>
      <c r="B2683" s="2" t="s">
        <v>1828</v>
      </c>
      <c r="C2683" s="3">
        <v>16.3</v>
      </c>
      <c r="D2683" s="4">
        <v>385.33199999999999</v>
      </c>
      <c r="E2683" s="4">
        <v>130.4</v>
      </c>
      <c r="F2683" s="4">
        <f>D2683-E2683</f>
        <v>254.93199999999999</v>
      </c>
      <c r="G2683" s="5">
        <f>IF(((D2683)=0),0,(D2683-E2683)/ D2683)</f>
        <v>0.66159052453468692</v>
      </c>
      <c r="H2683" s="2" t="s">
        <v>1908</v>
      </c>
      <c r="I2683" s="6" t="s">
        <v>74</v>
      </c>
      <c r="J2683" s="2" t="s">
        <v>1909</v>
      </c>
      <c r="K2683" s="2" t="s">
        <v>1910</v>
      </c>
      <c r="L2683" s="2" t="s">
        <v>28</v>
      </c>
      <c r="M2683" s="2" t="s">
        <v>5</v>
      </c>
      <c r="N2683" s="4">
        <v>3750.15</v>
      </c>
    </row>
    <row r="2684" spans="1:14" x14ac:dyDescent="0.25">
      <c r="A2684" s="2" t="s">
        <v>1911</v>
      </c>
      <c r="B2684" s="2" t="s">
        <v>1912</v>
      </c>
      <c r="C2684" s="3">
        <v>60.865000000000002</v>
      </c>
      <c r="D2684" s="4">
        <v>975.05730000000005</v>
      </c>
      <c r="E2684" s="4">
        <v>419.96850000000001</v>
      </c>
      <c r="F2684" s="4">
        <f>D2684-E2684</f>
        <v>555.08879999999999</v>
      </c>
      <c r="G2684" s="5">
        <f>IF(((D2684)=0),0,(D2684-E2684)/ D2684)</f>
        <v>0.56928838951310856</v>
      </c>
      <c r="H2684" s="2" t="s">
        <v>1908</v>
      </c>
      <c r="I2684" s="6" t="s">
        <v>74</v>
      </c>
      <c r="J2684" s="2" t="s">
        <v>1909</v>
      </c>
      <c r="K2684" s="2" t="s">
        <v>1910</v>
      </c>
      <c r="L2684" s="2" t="s">
        <v>28</v>
      </c>
      <c r="M2684" s="2" t="s">
        <v>5</v>
      </c>
      <c r="N2684" s="4">
        <v>3750.15</v>
      </c>
    </row>
    <row r="2685" spans="1:14" x14ac:dyDescent="0.25">
      <c r="A2685" s="2" t="s">
        <v>1913</v>
      </c>
      <c r="B2685" s="2" t="s">
        <v>1914</v>
      </c>
      <c r="C2685" s="3">
        <v>80.734999999999999</v>
      </c>
      <c r="D2685" s="4">
        <v>2389.7559999999999</v>
      </c>
      <c r="E2685" s="4">
        <v>1009.1875</v>
      </c>
      <c r="F2685" s="4">
        <f>D2685-E2685</f>
        <v>1380.5684999999999</v>
      </c>
      <c r="G2685" s="5">
        <f>IF(((D2685)=0),0,(D2685-E2685)/ D2685)</f>
        <v>0.57770270270270263</v>
      </c>
      <c r="H2685" s="2" t="s">
        <v>1908</v>
      </c>
      <c r="I2685" s="6" t="s">
        <v>74</v>
      </c>
      <c r="J2685" s="2" t="s">
        <v>1909</v>
      </c>
      <c r="K2685" s="2" t="s">
        <v>1910</v>
      </c>
      <c r="L2685" s="2" t="s">
        <v>28</v>
      </c>
      <c r="M2685" s="2" t="s">
        <v>5</v>
      </c>
      <c r="N2685" s="4">
        <v>3750.15</v>
      </c>
    </row>
    <row r="2686" spans="1:14" x14ac:dyDescent="0.25">
      <c r="A2686" s="2" t="s">
        <v>1858</v>
      </c>
      <c r="B2686" s="2" t="s">
        <v>1859</v>
      </c>
      <c r="C2686" s="3">
        <v>72.709999999999994</v>
      </c>
      <c r="D2686" s="4">
        <v>916.87310000000002</v>
      </c>
      <c r="E2686" s="4">
        <v>690.745</v>
      </c>
      <c r="F2686" s="4">
        <f>D2686-E2686</f>
        <v>226.12810000000002</v>
      </c>
      <c r="G2686" s="5">
        <f>IF(((D2686)=0),0,(D2686-E2686)/ D2686)</f>
        <v>0.24662965900079303</v>
      </c>
      <c r="H2686" s="2" t="s">
        <v>1905</v>
      </c>
      <c r="I2686" s="6" t="s">
        <v>32</v>
      </c>
      <c r="J2686" s="2" t="s">
        <v>1906</v>
      </c>
      <c r="K2686" s="2" t="s">
        <v>1907</v>
      </c>
      <c r="L2686" s="2" t="s">
        <v>28</v>
      </c>
      <c r="M2686" s="2" t="s">
        <v>5</v>
      </c>
      <c r="N2686" s="4">
        <v>3344.7</v>
      </c>
    </row>
    <row r="2688" spans="1:14" x14ac:dyDescent="0.25">
      <c r="A2688" s="13" t="s">
        <v>59</v>
      </c>
      <c r="B2688" s="21"/>
      <c r="C2688" s="22">
        <f>SUM(C2679:C2687)</f>
        <v>333.31</v>
      </c>
      <c r="D2688" s="23">
        <f>SUM(D2679:D2687)</f>
        <v>7094.8463999999994</v>
      </c>
      <c r="E2688" s="23">
        <f>SUM(E2679:E2687)</f>
        <v>3020.5509999999999</v>
      </c>
      <c r="F2688" s="23">
        <f>D2688-E2688</f>
        <v>4074.2953999999995</v>
      </c>
      <c r="G2688" s="24">
        <f>IF(((D2688)=0),0,(D2688-E2688)/ D2688)</f>
        <v>0.57426125532471006</v>
      </c>
      <c r="H2688" s="21"/>
      <c r="I2688" s="21"/>
      <c r="J2688" s="21"/>
      <c r="K2688" s="21"/>
      <c r="L2688" s="21"/>
      <c r="M2688" s="21"/>
      <c r="N2688" s="21"/>
    </row>
    <row r="2690" spans="1:14" s="17" customFormat="1" ht="18.75" x14ac:dyDescent="0.3"/>
    <row r="2691" spans="1:14" s="7" customFormat="1" x14ac:dyDescent="0.25">
      <c r="A2691" s="13" t="s">
        <v>1915</v>
      </c>
      <c r="B2691" s="18" t="s">
        <v>1916</v>
      </c>
      <c r="C2691" s="19"/>
      <c r="D2691" s="20" t="s">
        <v>5</v>
      </c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</row>
    <row r="2693" spans="1:14" x14ac:dyDescent="0.25">
      <c r="A2693" s="2" t="s">
        <v>29</v>
      </c>
      <c r="B2693" s="2" t="s">
        <v>30</v>
      </c>
      <c r="C2693" s="3">
        <v>4.0999999999999996</v>
      </c>
      <c r="D2693" s="4">
        <v>62.811999999999998</v>
      </c>
      <c r="E2693" s="4">
        <v>41</v>
      </c>
      <c r="F2693" s="4">
        <f>D2693-E2693</f>
        <v>21.811999999999998</v>
      </c>
      <c r="G2693" s="5">
        <f>IF(((D2693)=0),0,(D2693-E2693)/ D2693)</f>
        <v>0.34725848563968664</v>
      </c>
      <c r="H2693" s="2" t="s">
        <v>1917</v>
      </c>
      <c r="I2693" s="6" t="s">
        <v>32</v>
      </c>
      <c r="J2693" s="2" t="s">
        <v>1918</v>
      </c>
      <c r="K2693" s="2" t="s">
        <v>5</v>
      </c>
      <c r="L2693" s="2" t="s">
        <v>28</v>
      </c>
      <c r="M2693" s="2" t="s">
        <v>5</v>
      </c>
      <c r="N2693" s="4">
        <v>366.48</v>
      </c>
    </row>
    <row r="2694" spans="1:14" x14ac:dyDescent="0.25">
      <c r="A2694" s="2" t="s">
        <v>246</v>
      </c>
      <c r="B2694" s="2" t="s">
        <v>247</v>
      </c>
      <c r="C2694" s="3">
        <v>5.65</v>
      </c>
      <c r="D2694" s="4">
        <v>129.94999999999999</v>
      </c>
      <c r="E2694" s="4">
        <v>91.8125</v>
      </c>
      <c r="F2694" s="4">
        <f>D2694-E2694</f>
        <v>38.137499999999989</v>
      </c>
      <c r="G2694" s="5">
        <f>IF(((D2694)=0),0,(D2694-E2694)/ D2694)</f>
        <v>0.29347826086956513</v>
      </c>
      <c r="H2694" s="2" t="s">
        <v>1917</v>
      </c>
      <c r="I2694" s="6" t="s">
        <v>32</v>
      </c>
      <c r="J2694" s="2" t="s">
        <v>1918</v>
      </c>
      <c r="K2694" s="2" t="s">
        <v>5</v>
      </c>
      <c r="L2694" s="2" t="s">
        <v>28</v>
      </c>
      <c r="M2694" s="2" t="s">
        <v>5</v>
      </c>
      <c r="N2694" s="4">
        <v>366.48</v>
      </c>
    </row>
    <row r="2695" spans="1:14" x14ac:dyDescent="0.25">
      <c r="A2695" s="2" t="s">
        <v>248</v>
      </c>
      <c r="B2695" s="2" t="s">
        <v>249</v>
      </c>
      <c r="C2695" s="3">
        <v>3.8759999999999999</v>
      </c>
      <c r="D2695" s="4">
        <v>60.388080000000002</v>
      </c>
      <c r="E2695" s="4">
        <v>36.822000000000003</v>
      </c>
      <c r="F2695" s="4">
        <f>D2695-E2695</f>
        <v>23.566079999999999</v>
      </c>
      <c r="G2695" s="5">
        <f>IF(((D2695)=0),0,(D2695-E2695)/ D2695)</f>
        <v>0.39024390243902435</v>
      </c>
      <c r="H2695" s="2" t="s">
        <v>1917</v>
      </c>
      <c r="I2695" s="6" t="s">
        <v>32</v>
      </c>
      <c r="J2695" s="2" t="s">
        <v>1918</v>
      </c>
      <c r="K2695" s="2" t="s">
        <v>5</v>
      </c>
      <c r="L2695" s="2" t="s">
        <v>28</v>
      </c>
      <c r="M2695" s="2" t="s">
        <v>5</v>
      </c>
      <c r="N2695" s="4">
        <v>366.48</v>
      </c>
    </row>
    <row r="2696" spans="1:14" x14ac:dyDescent="0.25">
      <c r="A2696" s="2" t="s">
        <v>786</v>
      </c>
      <c r="B2696" s="2" t="s">
        <v>787</v>
      </c>
      <c r="C2696" s="3">
        <v>5.58</v>
      </c>
      <c r="D2696" s="4">
        <v>113.32980000000001</v>
      </c>
      <c r="E2696" s="4">
        <v>69.75</v>
      </c>
      <c r="F2696" s="4">
        <f>D2696-E2696</f>
        <v>43.579800000000006</v>
      </c>
      <c r="G2696" s="5">
        <f>IF(((D2696)=0),0,(D2696-E2696)/ D2696)</f>
        <v>0.38453963564746435</v>
      </c>
      <c r="H2696" s="2" t="s">
        <v>1917</v>
      </c>
      <c r="I2696" s="6" t="s">
        <v>32</v>
      </c>
      <c r="J2696" s="2" t="s">
        <v>1918</v>
      </c>
      <c r="K2696" s="2" t="s">
        <v>5</v>
      </c>
      <c r="L2696" s="2" t="s">
        <v>28</v>
      </c>
      <c r="M2696" s="2" t="s">
        <v>5</v>
      </c>
      <c r="N2696" s="4">
        <v>366.48</v>
      </c>
    </row>
    <row r="2698" spans="1:14" x14ac:dyDescent="0.25">
      <c r="A2698" s="13" t="s">
        <v>59</v>
      </c>
      <c r="B2698" s="21"/>
      <c r="C2698" s="22">
        <f>SUM(C2690:C2697)</f>
        <v>19.206</v>
      </c>
      <c r="D2698" s="23">
        <f>SUM(D2690:D2697)</f>
        <v>366.47987999999998</v>
      </c>
      <c r="E2698" s="23">
        <f>SUM(E2690:E2697)</f>
        <v>239.3845</v>
      </c>
      <c r="F2698" s="23">
        <f>D2698-E2698</f>
        <v>127.09537999999998</v>
      </c>
      <c r="G2698" s="24">
        <f>IF(((D2698)=0),0,(D2698-E2698)/ D2698)</f>
        <v>0.34680043008090916</v>
      </c>
      <c r="H2698" s="21"/>
      <c r="I2698" s="21"/>
      <c r="J2698" s="21"/>
      <c r="K2698" s="21"/>
      <c r="L2698" s="21"/>
      <c r="M2698" s="21"/>
      <c r="N2698" s="21"/>
    </row>
    <row r="2700" spans="1:14" s="17" customFormat="1" ht="18.75" x14ac:dyDescent="0.3"/>
    <row r="2701" spans="1:14" s="7" customFormat="1" x14ac:dyDescent="0.25">
      <c r="A2701" s="13" t="s">
        <v>1919</v>
      </c>
      <c r="B2701" s="18" t="s">
        <v>1920</v>
      </c>
      <c r="C2701" s="19"/>
      <c r="D2701" s="20" t="s">
        <v>5</v>
      </c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</row>
    <row r="2703" spans="1:14" x14ac:dyDescent="0.25">
      <c r="A2703" s="2" t="s">
        <v>1048</v>
      </c>
      <c r="B2703" s="2" t="s">
        <v>1049</v>
      </c>
      <c r="C2703" s="3">
        <v>41.674999999999997</v>
      </c>
      <c r="D2703" s="4">
        <v>16.670000000000002</v>
      </c>
      <c r="E2703" s="4">
        <v>6.2512499999999998</v>
      </c>
      <c r="F2703" s="4">
        <f t="shared" ref="F2703:F2710" si="185">D2703-E2703</f>
        <v>10.418750000000003</v>
      </c>
      <c r="G2703" s="5">
        <f t="shared" ref="G2703:G2710" si="186">IF(((D2703)=0),0,(D2703-E2703)/ D2703)</f>
        <v>0.62500000000000011</v>
      </c>
      <c r="H2703" s="2" t="s">
        <v>1921</v>
      </c>
      <c r="I2703" s="6" t="s">
        <v>74</v>
      </c>
      <c r="J2703" s="2" t="s">
        <v>1922</v>
      </c>
      <c r="K2703" s="2" t="s">
        <v>5</v>
      </c>
      <c r="L2703" s="2" t="s">
        <v>28</v>
      </c>
      <c r="M2703" s="2" t="s">
        <v>5</v>
      </c>
      <c r="N2703" s="4">
        <v>3829.9</v>
      </c>
    </row>
    <row r="2704" spans="1:14" x14ac:dyDescent="0.25">
      <c r="A2704" s="2" t="s">
        <v>1216</v>
      </c>
      <c r="B2704" s="2" t="s">
        <v>1217</v>
      </c>
      <c r="C2704" s="3">
        <v>363.04</v>
      </c>
      <c r="D2704" s="4">
        <v>1615.528</v>
      </c>
      <c r="E2704" s="4">
        <v>1270.6400000000001</v>
      </c>
      <c r="F2704" s="4">
        <f t="shared" si="185"/>
        <v>344.88799999999992</v>
      </c>
      <c r="G2704" s="5">
        <f t="shared" si="186"/>
        <v>0.21348314606741567</v>
      </c>
      <c r="H2704" s="2" t="s">
        <v>1921</v>
      </c>
      <c r="I2704" s="6" t="s">
        <v>74</v>
      </c>
      <c r="J2704" s="2" t="s">
        <v>1922</v>
      </c>
      <c r="K2704" s="2" t="s">
        <v>5</v>
      </c>
      <c r="L2704" s="2" t="s">
        <v>28</v>
      </c>
      <c r="M2704" s="2" t="s">
        <v>5</v>
      </c>
      <c r="N2704" s="4">
        <v>3829.9</v>
      </c>
    </row>
    <row r="2705" spans="1:14" x14ac:dyDescent="0.25">
      <c r="A2705" s="2" t="s">
        <v>611</v>
      </c>
      <c r="B2705" s="2" t="s">
        <v>612</v>
      </c>
      <c r="C2705" s="3">
        <v>15.19</v>
      </c>
      <c r="D2705" s="4">
        <v>72.456299999999999</v>
      </c>
      <c r="E2705" s="4">
        <v>54.683999999999997</v>
      </c>
      <c r="F2705" s="4">
        <f t="shared" si="185"/>
        <v>17.772300000000001</v>
      </c>
      <c r="G2705" s="5">
        <f t="shared" si="186"/>
        <v>0.24528301886792456</v>
      </c>
      <c r="H2705" s="2" t="s">
        <v>1921</v>
      </c>
      <c r="I2705" s="6" t="s">
        <v>74</v>
      </c>
      <c r="J2705" s="2" t="s">
        <v>1922</v>
      </c>
      <c r="K2705" s="2" t="s">
        <v>5</v>
      </c>
      <c r="L2705" s="2" t="s">
        <v>28</v>
      </c>
      <c r="M2705" s="2" t="s">
        <v>5</v>
      </c>
      <c r="N2705" s="4">
        <v>3829.9</v>
      </c>
    </row>
    <row r="2706" spans="1:14" x14ac:dyDescent="0.25">
      <c r="A2706" s="2" t="s">
        <v>118</v>
      </c>
      <c r="B2706" s="2" t="s">
        <v>119</v>
      </c>
      <c r="C2706" s="3">
        <v>120.485</v>
      </c>
      <c r="D2706" s="4">
        <v>1263.8876499999999</v>
      </c>
      <c r="E2706" s="4">
        <v>903.63750000000005</v>
      </c>
      <c r="F2706" s="4">
        <f t="shared" si="185"/>
        <v>360.25014999999985</v>
      </c>
      <c r="G2706" s="5">
        <f t="shared" si="186"/>
        <v>0.28503336510962812</v>
      </c>
      <c r="H2706" s="2" t="s">
        <v>1921</v>
      </c>
      <c r="I2706" s="6" t="s">
        <v>74</v>
      </c>
      <c r="J2706" s="2" t="s">
        <v>1922</v>
      </c>
      <c r="K2706" s="2" t="s">
        <v>5</v>
      </c>
      <c r="L2706" s="2" t="s">
        <v>28</v>
      </c>
      <c r="M2706" s="2" t="s">
        <v>5</v>
      </c>
      <c r="N2706" s="4">
        <v>3829.9</v>
      </c>
    </row>
    <row r="2707" spans="1:14" x14ac:dyDescent="0.25">
      <c r="A2707" s="2" t="s">
        <v>1923</v>
      </c>
      <c r="B2707" s="2" t="s">
        <v>1924</v>
      </c>
      <c r="C2707" s="3">
        <v>32.67</v>
      </c>
      <c r="D2707" s="4">
        <v>318.53250000000003</v>
      </c>
      <c r="E2707" s="4">
        <v>196.02</v>
      </c>
      <c r="F2707" s="4">
        <f t="shared" si="185"/>
        <v>122.51250000000002</v>
      </c>
      <c r="G2707" s="5">
        <f t="shared" si="186"/>
        <v>0.38461538461538464</v>
      </c>
      <c r="H2707" s="2" t="s">
        <v>1921</v>
      </c>
      <c r="I2707" s="6" t="s">
        <v>74</v>
      </c>
      <c r="J2707" s="2" t="s">
        <v>1922</v>
      </c>
      <c r="K2707" s="2" t="s">
        <v>5</v>
      </c>
      <c r="L2707" s="2" t="s">
        <v>28</v>
      </c>
      <c r="M2707" s="2" t="s">
        <v>5</v>
      </c>
      <c r="N2707" s="4">
        <v>3829.9</v>
      </c>
    </row>
    <row r="2708" spans="1:14" x14ac:dyDescent="0.25">
      <c r="A2708" s="2" t="s">
        <v>1925</v>
      </c>
      <c r="B2708" s="2" t="s">
        <v>1926</v>
      </c>
      <c r="C2708" s="3">
        <v>31.22</v>
      </c>
      <c r="D2708" s="4">
        <v>254.7552</v>
      </c>
      <c r="E2708" s="4">
        <v>159.22200000000001</v>
      </c>
      <c r="F2708" s="4">
        <f t="shared" si="185"/>
        <v>95.533199999999994</v>
      </c>
      <c r="G2708" s="5">
        <f t="shared" si="186"/>
        <v>0.37499999999999994</v>
      </c>
      <c r="H2708" s="2" t="s">
        <v>1921</v>
      </c>
      <c r="I2708" s="6" t="s">
        <v>74</v>
      </c>
      <c r="J2708" s="2" t="s">
        <v>1922</v>
      </c>
      <c r="K2708" s="2" t="s">
        <v>5</v>
      </c>
      <c r="L2708" s="2" t="s">
        <v>28</v>
      </c>
      <c r="M2708" s="2" t="s">
        <v>5</v>
      </c>
      <c r="N2708" s="4">
        <v>3829.9</v>
      </c>
    </row>
    <row r="2709" spans="1:14" x14ac:dyDescent="0.25">
      <c r="A2709" s="2" t="s">
        <v>613</v>
      </c>
      <c r="B2709" s="2" t="s">
        <v>614</v>
      </c>
      <c r="C2709" s="3">
        <v>30.004999999999999</v>
      </c>
      <c r="D2709" s="4">
        <v>149.42490000000001</v>
      </c>
      <c r="E2709" s="4">
        <v>108.018</v>
      </c>
      <c r="F2709" s="4">
        <f t="shared" si="185"/>
        <v>41.406900000000007</v>
      </c>
      <c r="G2709" s="5">
        <f t="shared" si="186"/>
        <v>0.27710843373493982</v>
      </c>
      <c r="H2709" s="2" t="s">
        <v>1921</v>
      </c>
      <c r="I2709" s="6" t="s">
        <v>74</v>
      </c>
      <c r="J2709" s="2" t="s">
        <v>1922</v>
      </c>
      <c r="K2709" s="2" t="s">
        <v>5</v>
      </c>
      <c r="L2709" s="2" t="s">
        <v>28</v>
      </c>
      <c r="M2709" s="2" t="s">
        <v>5</v>
      </c>
      <c r="N2709" s="4">
        <v>3829.9</v>
      </c>
    </row>
    <row r="2710" spans="1:14" x14ac:dyDescent="0.25">
      <c r="A2710" s="2" t="s">
        <v>211</v>
      </c>
      <c r="B2710" s="2" t="s">
        <v>212</v>
      </c>
      <c r="C2710" s="3">
        <v>43.6</v>
      </c>
      <c r="D2710" s="4">
        <v>138.648</v>
      </c>
      <c r="E2710" s="4">
        <v>109</v>
      </c>
      <c r="F2710" s="4">
        <f t="shared" si="185"/>
        <v>29.647999999999996</v>
      </c>
      <c r="G2710" s="5">
        <f t="shared" si="186"/>
        <v>0.21383647798742136</v>
      </c>
      <c r="H2710" s="2" t="s">
        <v>1921</v>
      </c>
      <c r="I2710" s="6" t="s">
        <v>74</v>
      </c>
      <c r="J2710" s="2" t="s">
        <v>1922</v>
      </c>
      <c r="K2710" s="2" t="s">
        <v>5</v>
      </c>
      <c r="L2710" s="2" t="s">
        <v>28</v>
      </c>
      <c r="M2710" s="2" t="s">
        <v>5</v>
      </c>
      <c r="N2710" s="4">
        <v>3829.9</v>
      </c>
    </row>
    <row r="2712" spans="1:14" x14ac:dyDescent="0.25">
      <c r="A2712" s="13" t="s">
        <v>59</v>
      </c>
      <c r="B2712" s="21"/>
      <c r="C2712" s="22">
        <f>SUM(C2700:C2711)</f>
        <v>677.88499999999999</v>
      </c>
      <c r="D2712" s="23">
        <f>SUM(D2700:D2711)</f>
        <v>3829.9025500000002</v>
      </c>
      <c r="E2712" s="23">
        <f>SUM(E2700:E2711)</f>
        <v>2807.4727500000004</v>
      </c>
      <c r="F2712" s="23">
        <f>D2712-E2712</f>
        <v>1022.4297999999999</v>
      </c>
      <c r="G2712" s="24">
        <f>IF(((D2712)=0),0,(D2712-E2712)/ D2712)</f>
        <v>0.26695974287909752</v>
      </c>
      <c r="H2712" s="21"/>
      <c r="I2712" s="21"/>
      <c r="J2712" s="21"/>
      <c r="K2712" s="21"/>
      <c r="L2712" s="21"/>
      <c r="M2712" s="21"/>
      <c r="N2712" s="21"/>
    </row>
    <row r="2714" spans="1:14" s="17" customFormat="1" ht="18.75" x14ac:dyDescent="0.3"/>
    <row r="2715" spans="1:14" s="7" customFormat="1" x14ac:dyDescent="0.25">
      <c r="A2715" s="13" t="s">
        <v>1927</v>
      </c>
      <c r="B2715" s="18" t="s">
        <v>1928</v>
      </c>
      <c r="C2715" s="19"/>
      <c r="D2715" s="20" t="s">
        <v>5</v>
      </c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</row>
    <row r="2717" spans="1:14" x14ac:dyDescent="0.25">
      <c r="A2717" s="2" t="s">
        <v>1048</v>
      </c>
      <c r="B2717" s="2" t="s">
        <v>1049</v>
      </c>
      <c r="C2717" s="3">
        <v>3500</v>
      </c>
      <c r="D2717" s="4">
        <v>315</v>
      </c>
      <c r="E2717" s="4">
        <v>525</v>
      </c>
      <c r="F2717" s="4">
        <f>D2717-E2717</f>
        <v>-210</v>
      </c>
      <c r="G2717" s="5">
        <f>IF(((D2717)=0),0,(D2717-E2717)/ D2717)</f>
        <v>-0.66666666666666663</v>
      </c>
      <c r="H2717" s="2" t="s">
        <v>1929</v>
      </c>
      <c r="I2717" s="6" t="s">
        <v>25</v>
      </c>
      <c r="J2717" s="2" t="s">
        <v>1930</v>
      </c>
      <c r="K2717" s="2" t="s">
        <v>5</v>
      </c>
      <c r="L2717" s="2" t="s">
        <v>28</v>
      </c>
      <c r="M2717" s="2" t="s">
        <v>5</v>
      </c>
      <c r="N2717" s="4">
        <v>315</v>
      </c>
    </row>
    <row r="2718" spans="1:14" x14ac:dyDescent="0.25">
      <c r="A2718" s="2" t="s">
        <v>1048</v>
      </c>
      <c r="B2718" s="2" t="s">
        <v>1049</v>
      </c>
      <c r="C2718" s="3">
        <v>2500</v>
      </c>
      <c r="D2718" s="4">
        <v>225</v>
      </c>
      <c r="E2718" s="4">
        <v>375</v>
      </c>
      <c r="F2718" s="4">
        <f>D2718-E2718</f>
        <v>-150</v>
      </c>
      <c r="G2718" s="5">
        <f>IF(((D2718)=0),0,(D2718-E2718)/ D2718)</f>
        <v>-0.66666666666666663</v>
      </c>
      <c r="H2718" s="2" t="s">
        <v>1931</v>
      </c>
      <c r="I2718" s="6" t="s">
        <v>69</v>
      </c>
      <c r="J2718" s="2" t="s">
        <v>1932</v>
      </c>
      <c r="K2718" s="2" t="s">
        <v>5</v>
      </c>
      <c r="L2718" s="2" t="s">
        <v>28</v>
      </c>
      <c r="M2718" s="2" t="s">
        <v>5</v>
      </c>
      <c r="N2718" s="4">
        <v>225</v>
      </c>
    </row>
    <row r="2719" spans="1:14" x14ac:dyDescent="0.25">
      <c r="A2719" s="2" t="s">
        <v>1048</v>
      </c>
      <c r="B2719" s="2" t="s">
        <v>1049</v>
      </c>
      <c r="C2719" s="3">
        <v>3000</v>
      </c>
      <c r="D2719" s="4">
        <v>270</v>
      </c>
      <c r="E2719" s="4">
        <v>450</v>
      </c>
      <c r="F2719" s="4">
        <f>D2719-E2719</f>
        <v>-180</v>
      </c>
      <c r="G2719" s="5">
        <f>IF(((D2719)=0),0,(D2719-E2719)/ D2719)</f>
        <v>-0.66666666666666663</v>
      </c>
      <c r="H2719" s="2" t="s">
        <v>1933</v>
      </c>
      <c r="I2719" s="6" t="s">
        <v>32</v>
      </c>
      <c r="J2719" s="2" t="s">
        <v>1934</v>
      </c>
      <c r="K2719" s="2" t="s">
        <v>5</v>
      </c>
      <c r="L2719" s="2" t="s">
        <v>28</v>
      </c>
      <c r="M2719" s="2" t="s">
        <v>5</v>
      </c>
      <c r="N2719" s="4">
        <v>270</v>
      </c>
    </row>
    <row r="2720" spans="1:14" x14ac:dyDescent="0.25">
      <c r="A2720" s="2" t="s">
        <v>1048</v>
      </c>
      <c r="B2720" s="2" t="s">
        <v>1049</v>
      </c>
      <c r="C2720" s="3">
        <v>3000</v>
      </c>
      <c r="D2720" s="4">
        <v>270</v>
      </c>
      <c r="E2720" s="4">
        <v>450</v>
      </c>
      <c r="F2720" s="4">
        <f>D2720-E2720</f>
        <v>-180</v>
      </c>
      <c r="G2720" s="5">
        <f>IF(((D2720)=0),0,(D2720-E2720)/ D2720)</f>
        <v>-0.66666666666666663</v>
      </c>
      <c r="H2720" s="2" t="s">
        <v>1935</v>
      </c>
      <c r="I2720" s="6" t="s">
        <v>74</v>
      </c>
      <c r="J2720" s="2" t="s">
        <v>1936</v>
      </c>
      <c r="K2720" s="2" t="s">
        <v>5</v>
      </c>
      <c r="L2720" s="2" t="s">
        <v>28</v>
      </c>
      <c r="M2720" s="2" t="s">
        <v>5</v>
      </c>
      <c r="N2720" s="4">
        <v>270</v>
      </c>
    </row>
    <row r="2722" spans="1:14" x14ac:dyDescent="0.25">
      <c r="A2722" s="13" t="s">
        <v>59</v>
      </c>
      <c r="B2722" s="21"/>
      <c r="C2722" s="22">
        <f>SUM(C2714:C2721)</f>
        <v>12000</v>
      </c>
      <c r="D2722" s="23">
        <f>SUM(D2714:D2721)</f>
        <v>1080</v>
      </c>
      <c r="E2722" s="23">
        <f>SUM(E2714:E2721)</f>
        <v>1800</v>
      </c>
      <c r="F2722" s="23">
        <f>D2722-E2722</f>
        <v>-720</v>
      </c>
      <c r="G2722" s="24">
        <f>IF(((D2722)=0),0,(D2722-E2722)/ D2722)</f>
        <v>-0.66666666666666663</v>
      </c>
      <c r="H2722" s="21"/>
      <c r="I2722" s="21"/>
      <c r="J2722" s="21"/>
      <c r="K2722" s="21"/>
      <c r="L2722" s="21"/>
      <c r="M2722" s="21"/>
      <c r="N2722" s="21"/>
    </row>
    <row r="2724" spans="1:14" s="17" customFormat="1" ht="18.75" x14ac:dyDescent="0.3"/>
    <row r="2725" spans="1:14" s="7" customFormat="1" x14ac:dyDescent="0.25">
      <c r="A2725" s="13" t="s">
        <v>1937</v>
      </c>
      <c r="B2725" s="18" t="s">
        <v>1938</v>
      </c>
      <c r="C2725" s="19"/>
      <c r="D2725" s="20" t="s">
        <v>5</v>
      </c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</row>
    <row r="2727" spans="1:14" x14ac:dyDescent="0.25">
      <c r="A2727" s="2" t="s">
        <v>1939</v>
      </c>
      <c r="B2727" s="2" t="s">
        <v>1940</v>
      </c>
      <c r="C2727" s="3">
        <v>56</v>
      </c>
      <c r="D2727" s="4">
        <v>10525.2</v>
      </c>
      <c r="E2727" s="4">
        <v>5796</v>
      </c>
      <c r="F2727" s="4">
        <f>D2727-E2727</f>
        <v>4729.2000000000007</v>
      </c>
      <c r="G2727" s="5">
        <f>IF(((D2727)=0),0,(D2727-E2727)/ D2727)</f>
        <v>0.44932162809257786</v>
      </c>
      <c r="H2727" s="2" t="s">
        <v>1941</v>
      </c>
      <c r="I2727" s="6" t="s">
        <v>74</v>
      </c>
      <c r="J2727" s="2" t="s">
        <v>1942</v>
      </c>
      <c r="K2727" s="2" t="s">
        <v>1943</v>
      </c>
      <c r="L2727" s="2" t="s">
        <v>28</v>
      </c>
      <c r="M2727" s="2" t="s">
        <v>5</v>
      </c>
      <c r="N2727" s="4">
        <v>21420</v>
      </c>
    </row>
    <row r="2728" spans="1:14" x14ac:dyDescent="0.25">
      <c r="A2728" s="2" t="s">
        <v>1944</v>
      </c>
      <c r="B2728" s="2" t="s">
        <v>1945</v>
      </c>
      <c r="C2728" s="3">
        <v>56</v>
      </c>
      <c r="D2728" s="4">
        <v>10894.8</v>
      </c>
      <c r="E2728" s="4">
        <v>6720</v>
      </c>
      <c r="F2728" s="4">
        <f>D2728-E2728</f>
        <v>4174.7999999999993</v>
      </c>
      <c r="G2728" s="5">
        <f>IF(((D2728)=0),0,(D2728-E2728)/ D2728)</f>
        <v>0.38319198149575939</v>
      </c>
      <c r="H2728" s="2" t="s">
        <v>1941</v>
      </c>
      <c r="I2728" s="6" t="s">
        <v>74</v>
      </c>
      <c r="J2728" s="2" t="s">
        <v>1942</v>
      </c>
      <c r="K2728" s="2" t="s">
        <v>1943</v>
      </c>
      <c r="L2728" s="2" t="s">
        <v>28</v>
      </c>
      <c r="M2728" s="2" t="s">
        <v>5</v>
      </c>
      <c r="N2728" s="4">
        <v>21420</v>
      </c>
    </row>
    <row r="2730" spans="1:14" x14ac:dyDescent="0.25">
      <c r="A2730" s="13" t="s">
        <v>59</v>
      </c>
      <c r="B2730" s="21"/>
      <c r="C2730" s="22">
        <f>SUM(C2724:C2729)</f>
        <v>112</v>
      </c>
      <c r="D2730" s="23">
        <f>SUM(D2724:D2729)</f>
        <v>21420</v>
      </c>
      <c r="E2730" s="23">
        <f>SUM(E2724:E2729)</f>
        <v>12516</v>
      </c>
      <c r="F2730" s="23">
        <f>D2730-E2730</f>
        <v>8904</v>
      </c>
      <c r="G2730" s="24">
        <f>IF(((D2730)=0),0,(D2730-E2730)/ D2730)</f>
        <v>0.41568627450980394</v>
      </c>
      <c r="H2730" s="21"/>
      <c r="I2730" s="21"/>
      <c r="J2730" s="21"/>
      <c r="K2730" s="21"/>
      <c r="L2730" s="21"/>
      <c r="M2730" s="21"/>
      <c r="N2730" s="21"/>
    </row>
    <row r="2732" spans="1:14" s="17" customFormat="1" ht="18.75" x14ac:dyDescent="0.3"/>
    <row r="2733" spans="1:14" s="7" customFormat="1" x14ac:dyDescent="0.25">
      <c r="A2733" s="13" t="s">
        <v>1946</v>
      </c>
      <c r="B2733" s="18" t="s">
        <v>1947</v>
      </c>
      <c r="C2733" s="19"/>
      <c r="D2733" s="20" t="s">
        <v>5</v>
      </c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</row>
    <row r="2735" spans="1:14" x14ac:dyDescent="0.25">
      <c r="A2735" s="2" t="s">
        <v>1948</v>
      </c>
      <c r="B2735" s="2" t="s">
        <v>1799</v>
      </c>
      <c r="C2735" s="3">
        <v>4.9349999999999996</v>
      </c>
      <c r="D2735" s="4">
        <v>109.45829999999999</v>
      </c>
      <c r="E2735" s="4">
        <v>58.232999999999997</v>
      </c>
      <c r="F2735" s="4">
        <f>D2735-E2735</f>
        <v>51.225299999999997</v>
      </c>
      <c r="G2735" s="5">
        <f>IF(((D2735)=0),0,(D2735-E2735)/ D2735)</f>
        <v>0.46798917944093776</v>
      </c>
      <c r="H2735" s="2" t="s">
        <v>1949</v>
      </c>
      <c r="I2735" s="6" t="s">
        <v>69</v>
      </c>
      <c r="J2735" s="2" t="s">
        <v>1950</v>
      </c>
      <c r="K2735" s="2" t="s">
        <v>1951</v>
      </c>
      <c r="L2735" s="2" t="s">
        <v>28</v>
      </c>
      <c r="M2735" s="2" t="s">
        <v>5</v>
      </c>
      <c r="N2735" s="4">
        <v>590.20000000000005</v>
      </c>
    </row>
    <row r="2736" spans="1:14" x14ac:dyDescent="0.25">
      <c r="A2736" s="2" t="s">
        <v>1810</v>
      </c>
      <c r="B2736" s="2" t="s">
        <v>1811</v>
      </c>
      <c r="C2736" s="3">
        <v>10.08</v>
      </c>
      <c r="D2736" s="4">
        <v>127.1088</v>
      </c>
      <c r="E2736" s="4">
        <v>71.567999999999998</v>
      </c>
      <c r="F2736" s="4">
        <f>D2736-E2736</f>
        <v>55.540800000000004</v>
      </c>
      <c r="G2736" s="5">
        <f>IF(((D2736)=0),0,(D2736-E2736)/ D2736)</f>
        <v>0.43695479777954005</v>
      </c>
      <c r="H2736" s="2" t="s">
        <v>1949</v>
      </c>
      <c r="I2736" s="6" t="s">
        <v>69</v>
      </c>
      <c r="J2736" s="2" t="s">
        <v>1950</v>
      </c>
      <c r="K2736" s="2" t="s">
        <v>1951</v>
      </c>
      <c r="L2736" s="2" t="s">
        <v>28</v>
      </c>
      <c r="M2736" s="2" t="s">
        <v>5</v>
      </c>
      <c r="N2736" s="4">
        <v>590.20000000000005</v>
      </c>
    </row>
    <row r="2737" spans="1:14" x14ac:dyDescent="0.25">
      <c r="A2737" s="2" t="s">
        <v>1812</v>
      </c>
      <c r="B2737" s="2" t="s">
        <v>1813</v>
      </c>
      <c r="C2737" s="3">
        <v>12.74</v>
      </c>
      <c r="D2737" s="4">
        <v>187.1506</v>
      </c>
      <c r="E2737" s="4">
        <v>103.194</v>
      </c>
      <c r="F2737" s="4">
        <f>D2737-E2737</f>
        <v>83.956599999999995</v>
      </c>
      <c r="G2737" s="5">
        <f>IF(((D2737)=0),0,(D2737-E2737)/ D2737)</f>
        <v>0.44860449285228043</v>
      </c>
      <c r="H2737" s="2" t="s">
        <v>1949</v>
      </c>
      <c r="I2737" s="6" t="s">
        <v>69</v>
      </c>
      <c r="J2737" s="2" t="s">
        <v>1950</v>
      </c>
      <c r="K2737" s="2" t="s">
        <v>1951</v>
      </c>
      <c r="L2737" s="2" t="s">
        <v>28</v>
      </c>
      <c r="M2737" s="2" t="s">
        <v>5</v>
      </c>
      <c r="N2737" s="4">
        <v>590.20000000000005</v>
      </c>
    </row>
    <row r="2738" spans="1:14" x14ac:dyDescent="0.25">
      <c r="A2738" s="2" t="s">
        <v>1816</v>
      </c>
      <c r="B2738" s="2" t="s">
        <v>1817</v>
      </c>
      <c r="C2738" s="3">
        <v>10.244999999999999</v>
      </c>
      <c r="D2738" s="4">
        <v>166.48124999999999</v>
      </c>
      <c r="E2738" s="4">
        <v>89.643749999999997</v>
      </c>
      <c r="F2738" s="4">
        <f>D2738-E2738</f>
        <v>76.837499999999991</v>
      </c>
      <c r="G2738" s="5">
        <f>IF(((D2738)=0),0,(D2738-E2738)/ D2738)</f>
        <v>0.46153846153846151</v>
      </c>
      <c r="H2738" s="2" t="s">
        <v>1949</v>
      </c>
      <c r="I2738" s="6" t="s">
        <v>69</v>
      </c>
      <c r="J2738" s="2" t="s">
        <v>1950</v>
      </c>
      <c r="K2738" s="2" t="s">
        <v>1951</v>
      </c>
      <c r="L2738" s="2" t="s">
        <v>28</v>
      </c>
      <c r="M2738" s="2" t="s">
        <v>5</v>
      </c>
      <c r="N2738" s="4">
        <v>590.20000000000005</v>
      </c>
    </row>
    <row r="2740" spans="1:14" x14ac:dyDescent="0.25">
      <c r="A2740" s="13" t="s">
        <v>59</v>
      </c>
      <c r="B2740" s="21"/>
      <c r="C2740" s="22">
        <f>SUM(C2732:C2739)</f>
        <v>38</v>
      </c>
      <c r="D2740" s="23">
        <f>SUM(D2732:D2739)</f>
        <v>590.19894999999997</v>
      </c>
      <c r="E2740" s="23">
        <f>SUM(E2732:E2739)</f>
        <v>322.63875000000002</v>
      </c>
      <c r="F2740" s="23">
        <f>D2740-E2740</f>
        <v>267.56019999999995</v>
      </c>
      <c r="G2740" s="24">
        <f>IF(((D2740)=0),0,(D2740-E2740)/ D2740)</f>
        <v>0.45333899696026225</v>
      </c>
      <c r="H2740" s="21"/>
      <c r="I2740" s="21"/>
      <c r="J2740" s="21"/>
      <c r="K2740" s="21"/>
      <c r="L2740" s="21"/>
      <c r="M2740" s="21"/>
      <c r="N2740" s="21"/>
    </row>
    <row r="2742" spans="1:14" s="17" customFormat="1" ht="18.75" x14ac:dyDescent="0.3"/>
    <row r="2743" spans="1:14" s="7" customFormat="1" x14ac:dyDescent="0.25">
      <c r="A2743" s="13" t="s">
        <v>1952</v>
      </c>
      <c r="B2743" s="18" t="s">
        <v>1953</v>
      </c>
      <c r="C2743" s="19"/>
      <c r="D2743" s="20" t="s">
        <v>5</v>
      </c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</row>
    <row r="2745" spans="1:14" x14ac:dyDescent="0.25">
      <c r="A2745" s="2" t="s">
        <v>1798</v>
      </c>
      <c r="B2745" s="2" t="s">
        <v>1799</v>
      </c>
      <c r="C2745" s="3">
        <v>25.524999999999999</v>
      </c>
      <c r="D2745" s="4">
        <v>566.14449999999999</v>
      </c>
      <c r="E2745" s="4">
        <v>301.19499999999999</v>
      </c>
      <c r="F2745" s="4">
        <f t="shared" ref="F2745:F2761" si="187">D2745-E2745</f>
        <v>264.9495</v>
      </c>
      <c r="G2745" s="5">
        <f t="shared" ref="G2745:G2761" si="188">IF(((D2745)=0),0,(D2745-E2745)/ D2745)</f>
        <v>0.46798917944093776</v>
      </c>
      <c r="H2745" s="2" t="s">
        <v>1954</v>
      </c>
      <c r="I2745" s="6" t="s">
        <v>69</v>
      </c>
      <c r="J2745" s="2" t="s">
        <v>1955</v>
      </c>
      <c r="K2745" s="2" t="s">
        <v>1956</v>
      </c>
      <c r="L2745" s="2" t="s">
        <v>28</v>
      </c>
      <c r="M2745" s="2" t="s">
        <v>5</v>
      </c>
      <c r="N2745" s="4">
        <v>3004.95</v>
      </c>
    </row>
    <row r="2746" spans="1:14" x14ac:dyDescent="0.25">
      <c r="A2746" s="2" t="s">
        <v>1798</v>
      </c>
      <c r="B2746" s="2" t="s">
        <v>1799</v>
      </c>
      <c r="C2746" s="3">
        <v>8.23</v>
      </c>
      <c r="D2746" s="4">
        <v>182.54140000000001</v>
      </c>
      <c r="E2746" s="4">
        <v>97.114000000000004</v>
      </c>
      <c r="F2746" s="4">
        <f t="shared" si="187"/>
        <v>85.427400000000006</v>
      </c>
      <c r="G2746" s="5">
        <f t="shared" si="188"/>
        <v>0.46798917944093776</v>
      </c>
      <c r="H2746" s="2" t="s">
        <v>1957</v>
      </c>
      <c r="I2746" s="6" t="s">
        <v>25</v>
      </c>
      <c r="J2746" s="2" t="s">
        <v>1958</v>
      </c>
      <c r="K2746" s="2" t="s">
        <v>1959</v>
      </c>
      <c r="L2746" s="2" t="s">
        <v>28</v>
      </c>
      <c r="M2746" s="2" t="s">
        <v>5</v>
      </c>
      <c r="N2746" s="4">
        <v>1021.44</v>
      </c>
    </row>
    <row r="2747" spans="1:14" x14ac:dyDescent="0.25">
      <c r="A2747" s="2" t="s">
        <v>1803</v>
      </c>
      <c r="B2747" s="2" t="s">
        <v>1804</v>
      </c>
      <c r="C2747" s="3">
        <v>15.32</v>
      </c>
      <c r="D2747" s="4">
        <v>294.29719999999998</v>
      </c>
      <c r="E2747" s="4">
        <v>186.904</v>
      </c>
      <c r="F2747" s="4">
        <f t="shared" si="187"/>
        <v>107.39319999999998</v>
      </c>
      <c r="G2747" s="5">
        <f t="shared" si="188"/>
        <v>0.36491410723581463</v>
      </c>
      <c r="H2747" s="2" t="s">
        <v>1954</v>
      </c>
      <c r="I2747" s="6" t="s">
        <v>69</v>
      </c>
      <c r="J2747" s="2" t="s">
        <v>1955</v>
      </c>
      <c r="K2747" s="2" t="s">
        <v>1956</v>
      </c>
      <c r="L2747" s="2" t="s">
        <v>28</v>
      </c>
      <c r="M2747" s="2" t="s">
        <v>5</v>
      </c>
      <c r="N2747" s="4">
        <v>3004.95</v>
      </c>
    </row>
    <row r="2748" spans="1:14" x14ac:dyDescent="0.25">
      <c r="A2748" s="2" t="s">
        <v>1829</v>
      </c>
      <c r="B2748" s="2" t="s">
        <v>1830</v>
      </c>
      <c r="C2748" s="3">
        <v>22.3</v>
      </c>
      <c r="D2748" s="4">
        <v>395.37900000000002</v>
      </c>
      <c r="E2748" s="4">
        <v>251.99</v>
      </c>
      <c r="F2748" s="4">
        <f t="shared" si="187"/>
        <v>143.38900000000001</v>
      </c>
      <c r="G2748" s="5">
        <f t="shared" si="188"/>
        <v>0.36266215454032713</v>
      </c>
      <c r="H2748" s="2" t="s">
        <v>1954</v>
      </c>
      <c r="I2748" s="6" t="s">
        <v>69</v>
      </c>
      <c r="J2748" s="2" t="s">
        <v>1955</v>
      </c>
      <c r="K2748" s="2" t="s">
        <v>1956</v>
      </c>
      <c r="L2748" s="2" t="s">
        <v>28</v>
      </c>
      <c r="M2748" s="2" t="s">
        <v>5</v>
      </c>
      <c r="N2748" s="4">
        <v>3004.95</v>
      </c>
    </row>
    <row r="2749" spans="1:14" x14ac:dyDescent="0.25">
      <c r="A2749" s="2" t="s">
        <v>1829</v>
      </c>
      <c r="B2749" s="2" t="s">
        <v>1830</v>
      </c>
      <c r="C2749" s="3">
        <v>5.7350000000000003</v>
      </c>
      <c r="D2749" s="4">
        <v>101.68155</v>
      </c>
      <c r="E2749" s="4">
        <v>64.805499999999995</v>
      </c>
      <c r="F2749" s="4">
        <f t="shared" si="187"/>
        <v>36.876050000000006</v>
      </c>
      <c r="G2749" s="5">
        <f t="shared" si="188"/>
        <v>0.36266215454032719</v>
      </c>
      <c r="H2749" s="2" t="s">
        <v>1957</v>
      </c>
      <c r="I2749" s="6" t="s">
        <v>25</v>
      </c>
      <c r="J2749" s="2" t="s">
        <v>1958</v>
      </c>
      <c r="K2749" s="2" t="s">
        <v>1959</v>
      </c>
      <c r="L2749" s="2" t="s">
        <v>28</v>
      </c>
      <c r="M2749" s="2" t="s">
        <v>5</v>
      </c>
      <c r="N2749" s="4">
        <v>1021.44</v>
      </c>
    </row>
    <row r="2750" spans="1:14" x14ac:dyDescent="0.25">
      <c r="A2750" s="2" t="s">
        <v>1960</v>
      </c>
      <c r="B2750" s="2" t="s">
        <v>1961</v>
      </c>
      <c r="C2750" s="3">
        <v>9.9450000000000003</v>
      </c>
      <c r="D2750" s="4">
        <v>132.36795000000001</v>
      </c>
      <c r="E2750" s="4">
        <v>79.56</v>
      </c>
      <c r="F2750" s="4">
        <f t="shared" si="187"/>
        <v>52.807950000000005</v>
      </c>
      <c r="G2750" s="5">
        <f t="shared" si="188"/>
        <v>0.39894815927873784</v>
      </c>
      <c r="H2750" s="2" t="s">
        <v>1954</v>
      </c>
      <c r="I2750" s="6" t="s">
        <v>69</v>
      </c>
      <c r="J2750" s="2" t="s">
        <v>1955</v>
      </c>
      <c r="K2750" s="2" t="s">
        <v>1956</v>
      </c>
      <c r="L2750" s="2" t="s">
        <v>28</v>
      </c>
      <c r="M2750" s="2" t="s">
        <v>5</v>
      </c>
      <c r="N2750" s="4">
        <v>3004.95</v>
      </c>
    </row>
    <row r="2751" spans="1:14" x14ac:dyDescent="0.25">
      <c r="A2751" s="2" t="s">
        <v>1831</v>
      </c>
      <c r="B2751" s="2" t="s">
        <v>1832</v>
      </c>
      <c r="C2751" s="3">
        <v>30.49</v>
      </c>
      <c r="D2751" s="4">
        <v>676.26819999999998</v>
      </c>
      <c r="E2751" s="4">
        <v>381.125</v>
      </c>
      <c r="F2751" s="4">
        <f t="shared" si="187"/>
        <v>295.14319999999998</v>
      </c>
      <c r="G2751" s="5">
        <f t="shared" si="188"/>
        <v>0.43642921550946795</v>
      </c>
      <c r="H2751" s="2" t="s">
        <v>1954</v>
      </c>
      <c r="I2751" s="6" t="s">
        <v>69</v>
      </c>
      <c r="J2751" s="2" t="s">
        <v>1955</v>
      </c>
      <c r="K2751" s="2" t="s">
        <v>1956</v>
      </c>
      <c r="L2751" s="2" t="s">
        <v>28</v>
      </c>
      <c r="M2751" s="2" t="s">
        <v>5</v>
      </c>
      <c r="N2751" s="4">
        <v>3004.95</v>
      </c>
    </row>
    <row r="2752" spans="1:14" x14ac:dyDescent="0.25">
      <c r="A2752" s="2" t="s">
        <v>1842</v>
      </c>
      <c r="B2752" s="2" t="s">
        <v>1843</v>
      </c>
      <c r="C2752" s="3">
        <v>12.074999999999999</v>
      </c>
      <c r="D2752" s="4">
        <v>231.96074999999999</v>
      </c>
      <c r="E2752" s="4">
        <v>114.71250000000001</v>
      </c>
      <c r="F2752" s="4">
        <f t="shared" si="187"/>
        <v>117.24824999999998</v>
      </c>
      <c r="G2752" s="5">
        <f t="shared" si="188"/>
        <v>0.50546590317542939</v>
      </c>
      <c r="H2752" s="2" t="s">
        <v>1954</v>
      </c>
      <c r="I2752" s="6" t="s">
        <v>69</v>
      </c>
      <c r="J2752" s="2" t="s">
        <v>1955</v>
      </c>
      <c r="K2752" s="2" t="s">
        <v>1956</v>
      </c>
      <c r="L2752" s="2" t="s">
        <v>28</v>
      </c>
      <c r="M2752" s="2" t="s">
        <v>5</v>
      </c>
      <c r="N2752" s="4">
        <v>3004.95</v>
      </c>
    </row>
    <row r="2753" spans="1:14" x14ac:dyDescent="0.25">
      <c r="A2753" s="2" t="s">
        <v>1842</v>
      </c>
      <c r="B2753" s="2" t="s">
        <v>1843</v>
      </c>
      <c r="C2753" s="3">
        <v>9.84</v>
      </c>
      <c r="D2753" s="4">
        <v>189.0264</v>
      </c>
      <c r="E2753" s="4">
        <v>93.48</v>
      </c>
      <c r="F2753" s="4">
        <f t="shared" si="187"/>
        <v>95.546399999999991</v>
      </c>
      <c r="G2753" s="5">
        <f t="shared" si="188"/>
        <v>0.50546590317542939</v>
      </c>
      <c r="H2753" s="2" t="s">
        <v>1957</v>
      </c>
      <c r="I2753" s="6" t="s">
        <v>25</v>
      </c>
      <c r="J2753" s="2" t="s">
        <v>1958</v>
      </c>
      <c r="K2753" s="2" t="s">
        <v>1959</v>
      </c>
      <c r="L2753" s="2" t="s">
        <v>28</v>
      </c>
      <c r="M2753" s="2" t="s">
        <v>5</v>
      </c>
      <c r="N2753" s="4">
        <v>1021.44</v>
      </c>
    </row>
    <row r="2754" spans="1:14" x14ac:dyDescent="0.25">
      <c r="A2754" s="2" t="s">
        <v>1962</v>
      </c>
      <c r="B2754" s="2" t="s">
        <v>1963</v>
      </c>
      <c r="C2754" s="3">
        <v>10.02</v>
      </c>
      <c r="D2754" s="4">
        <v>192.48419999999999</v>
      </c>
      <c r="E2754" s="4">
        <v>109.218</v>
      </c>
      <c r="F2754" s="4">
        <f t="shared" si="187"/>
        <v>83.266199999999984</v>
      </c>
      <c r="G2754" s="5">
        <f t="shared" si="188"/>
        <v>0.4325871941697032</v>
      </c>
      <c r="H2754" s="2" t="s">
        <v>1954</v>
      </c>
      <c r="I2754" s="6" t="s">
        <v>69</v>
      </c>
      <c r="J2754" s="2" t="s">
        <v>1955</v>
      </c>
      <c r="K2754" s="2" t="s">
        <v>1956</v>
      </c>
      <c r="L2754" s="2" t="s">
        <v>28</v>
      </c>
      <c r="M2754" s="2" t="s">
        <v>5</v>
      </c>
      <c r="N2754" s="4">
        <v>3004.95</v>
      </c>
    </row>
    <row r="2755" spans="1:14" x14ac:dyDescent="0.25">
      <c r="A2755" s="2" t="s">
        <v>1852</v>
      </c>
      <c r="B2755" s="2" t="s">
        <v>1853</v>
      </c>
      <c r="C2755" s="3">
        <v>10.215</v>
      </c>
      <c r="D2755" s="4">
        <v>165.99375000000001</v>
      </c>
      <c r="E2755" s="4">
        <v>82.741500000000002</v>
      </c>
      <c r="F2755" s="4">
        <f t="shared" si="187"/>
        <v>83.252250000000004</v>
      </c>
      <c r="G2755" s="5">
        <f t="shared" si="188"/>
        <v>0.50153846153846149</v>
      </c>
      <c r="H2755" s="2" t="s">
        <v>1954</v>
      </c>
      <c r="I2755" s="6" t="s">
        <v>69</v>
      </c>
      <c r="J2755" s="2" t="s">
        <v>1955</v>
      </c>
      <c r="K2755" s="2" t="s">
        <v>1956</v>
      </c>
      <c r="L2755" s="2" t="s">
        <v>28</v>
      </c>
      <c r="M2755" s="2" t="s">
        <v>5</v>
      </c>
      <c r="N2755" s="4">
        <v>3004.95</v>
      </c>
    </row>
    <row r="2756" spans="1:14" x14ac:dyDescent="0.25">
      <c r="A2756" s="2" t="s">
        <v>1854</v>
      </c>
      <c r="B2756" s="2" t="s">
        <v>1855</v>
      </c>
      <c r="C2756" s="3">
        <v>8.6</v>
      </c>
      <c r="D2756" s="4">
        <v>114.208</v>
      </c>
      <c r="E2756" s="4">
        <v>62.78</v>
      </c>
      <c r="F2756" s="4">
        <f t="shared" si="187"/>
        <v>51.427999999999997</v>
      </c>
      <c r="G2756" s="5">
        <f t="shared" si="188"/>
        <v>0.4503012048192771</v>
      </c>
      <c r="H2756" s="2" t="s">
        <v>1957</v>
      </c>
      <c r="I2756" s="6" t="s">
        <v>25</v>
      </c>
      <c r="J2756" s="2" t="s">
        <v>1958</v>
      </c>
      <c r="K2756" s="2" t="s">
        <v>1959</v>
      </c>
      <c r="L2756" s="2" t="s">
        <v>28</v>
      </c>
      <c r="M2756" s="2" t="s">
        <v>5</v>
      </c>
      <c r="N2756" s="4">
        <v>1021.44</v>
      </c>
    </row>
    <row r="2757" spans="1:14" x14ac:dyDescent="0.25">
      <c r="A2757" s="2" t="s">
        <v>1810</v>
      </c>
      <c r="B2757" s="2" t="s">
        <v>1811</v>
      </c>
      <c r="C2757" s="3">
        <v>5.0999999999999996</v>
      </c>
      <c r="D2757" s="4">
        <v>64.311000000000007</v>
      </c>
      <c r="E2757" s="4">
        <v>36.21</v>
      </c>
      <c r="F2757" s="4">
        <f t="shared" si="187"/>
        <v>28.101000000000006</v>
      </c>
      <c r="G2757" s="5">
        <f t="shared" si="188"/>
        <v>0.43695479777954011</v>
      </c>
      <c r="H2757" s="2" t="s">
        <v>1957</v>
      </c>
      <c r="I2757" s="6" t="s">
        <v>25</v>
      </c>
      <c r="J2757" s="2" t="s">
        <v>1958</v>
      </c>
      <c r="K2757" s="2" t="s">
        <v>1959</v>
      </c>
      <c r="L2757" s="2" t="s">
        <v>28</v>
      </c>
      <c r="M2757" s="2" t="s">
        <v>5</v>
      </c>
      <c r="N2757" s="4">
        <v>1021.44</v>
      </c>
    </row>
    <row r="2758" spans="1:14" x14ac:dyDescent="0.25">
      <c r="A2758" s="2" t="s">
        <v>1814</v>
      </c>
      <c r="B2758" s="2" t="s">
        <v>1815</v>
      </c>
      <c r="C2758" s="3">
        <v>10.06</v>
      </c>
      <c r="D2758" s="4">
        <v>126.8566</v>
      </c>
      <c r="E2758" s="4">
        <v>71.426000000000002</v>
      </c>
      <c r="F2758" s="4">
        <f t="shared" si="187"/>
        <v>55.430599999999998</v>
      </c>
      <c r="G2758" s="5">
        <f t="shared" si="188"/>
        <v>0.43695479777954005</v>
      </c>
      <c r="H2758" s="2" t="s">
        <v>1954</v>
      </c>
      <c r="I2758" s="6" t="s">
        <v>69</v>
      </c>
      <c r="J2758" s="2" t="s">
        <v>1955</v>
      </c>
      <c r="K2758" s="2" t="s">
        <v>1956</v>
      </c>
      <c r="L2758" s="2" t="s">
        <v>28</v>
      </c>
      <c r="M2758" s="2" t="s">
        <v>5</v>
      </c>
      <c r="N2758" s="4">
        <v>3004.95</v>
      </c>
    </row>
    <row r="2759" spans="1:14" x14ac:dyDescent="0.25">
      <c r="A2759" s="2" t="s">
        <v>1892</v>
      </c>
      <c r="B2759" s="2" t="s">
        <v>1893</v>
      </c>
      <c r="C2759" s="3">
        <v>8.5250000000000004</v>
      </c>
      <c r="D2759" s="4">
        <v>252.34</v>
      </c>
      <c r="E2759" s="4">
        <v>106.5625</v>
      </c>
      <c r="F2759" s="4">
        <f t="shared" si="187"/>
        <v>145.7775</v>
      </c>
      <c r="G2759" s="5">
        <f t="shared" si="188"/>
        <v>0.57770270270270274</v>
      </c>
      <c r="H2759" s="2" t="s">
        <v>1957</v>
      </c>
      <c r="I2759" s="6" t="s">
        <v>25</v>
      </c>
      <c r="J2759" s="2" t="s">
        <v>1958</v>
      </c>
      <c r="K2759" s="2" t="s">
        <v>1959</v>
      </c>
      <c r="L2759" s="2" t="s">
        <v>28</v>
      </c>
      <c r="M2759" s="2" t="s">
        <v>5</v>
      </c>
      <c r="N2759" s="4">
        <v>1021.44</v>
      </c>
    </row>
    <row r="2760" spans="1:14" x14ac:dyDescent="0.25">
      <c r="A2760" s="2" t="s">
        <v>1858</v>
      </c>
      <c r="B2760" s="2" t="s">
        <v>1859</v>
      </c>
      <c r="C2760" s="3">
        <v>17.7</v>
      </c>
      <c r="D2760" s="4">
        <v>223.197</v>
      </c>
      <c r="E2760" s="4">
        <v>168.15</v>
      </c>
      <c r="F2760" s="4">
        <f t="shared" si="187"/>
        <v>55.046999999999997</v>
      </c>
      <c r="G2760" s="5">
        <f t="shared" si="188"/>
        <v>0.24662965900079301</v>
      </c>
      <c r="H2760" s="2" t="s">
        <v>1954</v>
      </c>
      <c r="I2760" s="6" t="s">
        <v>69</v>
      </c>
      <c r="J2760" s="2" t="s">
        <v>1955</v>
      </c>
      <c r="K2760" s="2" t="s">
        <v>1956</v>
      </c>
      <c r="L2760" s="2" t="s">
        <v>28</v>
      </c>
      <c r="M2760" s="2" t="s">
        <v>5</v>
      </c>
      <c r="N2760" s="4">
        <v>3004.95</v>
      </c>
    </row>
    <row r="2761" spans="1:14" x14ac:dyDescent="0.25">
      <c r="A2761" s="2" t="s">
        <v>1858</v>
      </c>
      <c r="B2761" s="2" t="s">
        <v>1859</v>
      </c>
      <c r="C2761" s="3">
        <v>9.3049999999999997</v>
      </c>
      <c r="D2761" s="4">
        <v>117.33605</v>
      </c>
      <c r="E2761" s="4">
        <v>88.397499999999994</v>
      </c>
      <c r="F2761" s="4">
        <f t="shared" si="187"/>
        <v>28.938550000000006</v>
      </c>
      <c r="G2761" s="5">
        <f t="shared" si="188"/>
        <v>0.24662965900079309</v>
      </c>
      <c r="H2761" s="2" t="s">
        <v>1957</v>
      </c>
      <c r="I2761" s="6" t="s">
        <v>25</v>
      </c>
      <c r="J2761" s="2" t="s">
        <v>1958</v>
      </c>
      <c r="K2761" s="2" t="s">
        <v>1959</v>
      </c>
      <c r="L2761" s="2" t="s">
        <v>28</v>
      </c>
      <c r="M2761" s="2" t="s">
        <v>5</v>
      </c>
      <c r="N2761" s="4">
        <v>1021.44</v>
      </c>
    </row>
    <row r="2763" spans="1:14" x14ac:dyDescent="0.25">
      <c r="A2763" s="13" t="s">
        <v>59</v>
      </c>
      <c r="B2763" s="21"/>
      <c r="C2763" s="22">
        <f>SUM(C2742:C2762)</f>
        <v>218.98500000000001</v>
      </c>
      <c r="D2763" s="23">
        <f>SUM(D2742:D2762)</f>
        <v>4026.3935500000007</v>
      </c>
      <c r="E2763" s="23">
        <f>SUM(E2742:E2762)</f>
        <v>2296.3715000000002</v>
      </c>
      <c r="F2763" s="23">
        <f>D2763-E2763</f>
        <v>1730.0220500000005</v>
      </c>
      <c r="G2763" s="24">
        <f>IF(((D2763)=0),0,(D2763-E2763)/ D2763)</f>
        <v>0.42967038083001108</v>
      </c>
      <c r="H2763" s="21"/>
      <c r="I2763" s="21"/>
      <c r="J2763" s="21"/>
      <c r="K2763" s="21"/>
      <c r="L2763" s="21"/>
      <c r="M2763" s="21"/>
      <c r="N2763" s="21"/>
    </row>
    <row r="2765" spans="1:14" s="17" customFormat="1" ht="18.75" x14ac:dyDescent="0.3"/>
    <row r="2766" spans="1:14" s="7" customFormat="1" x14ac:dyDescent="0.25">
      <c r="A2766" s="13" t="s">
        <v>1964</v>
      </c>
      <c r="B2766" s="18" t="s">
        <v>1965</v>
      </c>
      <c r="C2766" s="19"/>
      <c r="D2766" s="20" t="s">
        <v>5</v>
      </c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</row>
    <row r="2768" spans="1:14" x14ac:dyDescent="0.25">
      <c r="A2768" s="2" t="s">
        <v>1842</v>
      </c>
      <c r="B2768" s="2" t="s">
        <v>1843</v>
      </c>
      <c r="C2768" s="3">
        <v>5.99</v>
      </c>
      <c r="D2768" s="4">
        <v>115.06789999999999</v>
      </c>
      <c r="E2768" s="4">
        <v>56.905000000000001</v>
      </c>
      <c r="F2768" s="4">
        <f>D2768-E2768</f>
        <v>58.162899999999993</v>
      </c>
      <c r="G2768" s="5">
        <f>IF(((D2768)=0),0,(D2768-E2768)/ D2768)</f>
        <v>0.50546590317542939</v>
      </c>
      <c r="H2768" s="2" t="s">
        <v>1966</v>
      </c>
      <c r="I2768" s="6" t="s">
        <v>69</v>
      </c>
      <c r="J2768" s="2" t="s">
        <v>1967</v>
      </c>
      <c r="K2768" s="2" t="s">
        <v>1968</v>
      </c>
      <c r="L2768" s="2" t="s">
        <v>28</v>
      </c>
      <c r="M2768" s="2" t="s">
        <v>5</v>
      </c>
      <c r="N2768" s="4">
        <v>368.82</v>
      </c>
    </row>
    <row r="2769" spans="1:14" x14ac:dyDescent="0.25">
      <c r="A2769" s="2" t="s">
        <v>1847</v>
      </c>
      <c r="B2769" s="2" t="s">
        <v>1848</v>
      </c>
      <c r="C2769" s="3">
        <v>4.8499999999999996</v>
      </c>
      <c r="D2769" s="4">
        <v>121.97750000000001</v>
      </c>
      <c r="E2769" s="4">
        <v>73.962500000000006</v>
      </c>
      <c r="F2769" s="4">
        <f>D2769-E2769</f>
        <v>48.015000000000001</v>
      </c>
      <c r="G2769" s="5">
        <f>IF(((D2769)=0),0,(D2769-E2769)/ D2769)</f>
        <v>0.39363817097415504</v>
      </c>
      <c r="H2769" s="2" t="s">
        <v>1966</v>
      </c>
      <c r="I2769" s="6" t="s">
        <v>69</v>
      </c>
      <c r="J2769" s="2" t="s">
        <v>1967</v>
      </c>
      <c r="K2769" s="2" t="s">
        <v>1968</v>
      </c>
      <c r="L2769" s="2" t="s">
        <v>28</v>
      </c>
      <c r="M2769" s="2" t="s">
        <v>5</v>
      </c>
      <c r="N2769" s="4">
        <v>368.82</v>
      </c>
    </row>
    <row r="2770" spans="1:14" x14ac:dyDescent="0.25">
      <c r="A2770" s="2" t="s">
        <v>1858</v>
      </c>
      <c r="B2770" s="2" t="s">
        <v>1859</v>
      </c>
      <c r="C2770" s="3">
        <v>10.45</v>
      </c>
      <c r="D2770" s="4">
        <v>131.77449999999999</v>
      </c>
      <c r="E2770" s="4">
        <v>99.275000000000006</v>
      </c>
      <c r="F2770" s="4">
        <f>D2770-E2770</f>
        <v>32.499499999999983</v>
      </c>
      <c r="G2770" s="5">
        <f>IF(((D2770)=0),0,(D2770-E2770)/ D2770)</f>
        <v>0.24662965900079292</v>
      </c>
      <c r="H2770" s="2" t="s">
        <v>1966</v>
      </c>
      <c r="I2770" s="6" t="s">
        <v>69</v>
      </c>
      <c r="J2770" s="2" t="s">
        <v>1967</v>
      </c>
      <c r="K2770" s="2" t="s">
        <v>1968</v>
      </c>
      <c r="L2770" s="2" t="s">
        <v>28</v>
      </c>
      <c r="M2770" s="2" t="s">
        <v>5</v>
      </c>
      <c r="N2770" s="4">
        <v>368.82</v>
      </c>
    </row>
    <row r="2772" spans="1:14" x14ac:dyDescent="0.25">
      <c r="A2772" s="13" t="s">
        <v>59</v>
      </c>
      <c r="B2772" s="21"/>
      <c r="C2772" s="22">
        <f>SUM(C2765:C2771)</f>
        <v>21.29</v>
      </c>
      <c r="D2772" s="23">
        <f>SUM(D2765:D2771)</f>
        <v>368.81989999999996</v>
      </c>
      <c r="E2772" s="23">
        <f>SUM(E2765:E2771)</f>
        <v>230.14250000000001</v>
      </c>
      <c r="F2772" s="23">
        <f>D2772-E2772</f>
        <v>138.67739999999995</v>
      </c>
      <c r="G2772" s="24">
        <f>IF(((D2772)=0),0,(D2772-E2772)/ D2772)</f>
        <v>0.37600303020525727</v>
      </c>
      <c r="H2772" s="21"/>
      <c r="I2772" s="21"/>
      <c r="J2772" s="21"/>
      <c r="K2772" s="21"/>
      <c r="L2772" s="21"/>
      <c r="M2772" s="21"/>
      <c r="N2772" s="21"/>
    </row>
    <row r="2774" spans="1:14" s="17" customFormat="1" ht="18.75" x14ac:dyDescent="0.3"/>
    <row r="2775" spans="1:14" s="7" customFormat="1" x14ac:dyDescent="0.25">
      <c r="A2775" s="13" t="s">
        <v>1969</v>
      </c>
      <c r="B2775" s="18" t="s">
        <v>1970</v>
      </c>
      <c r="C2775" s="19"/>
      <c r="D2775" s="20" t="s">
        <v>5</v>
      </c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</row>
    <row r="2777" spans="1:14" x14ac:dyDescent="0.25">
      <c r="A2777" s="2" t="s">
        <v>1798</v>
      </c>
      <c r="B2777" s="2" t="s">
        <v>1799</v>
      </c>
      <c r="C2777" s="3">
        <v>4.9800000000000004</v>
      </c>
      <c r="D2777" s="4">
        <v>110.4564</v>
      </c>
      <c r="E2777" s="4">
        <v>58.764000000000003</v>
      </c>
      <c r="F2777" s="4">
        <f t="shared" ref="F2777:F2792" si="189">D2777-E2777</f>
        <v>51.692399999999999</v>
      </c>
      <c r="G2777" s="5">
        <f t="shared" ref="G2777:G2792" si="190">IF(((D2777)=0),0,(D2777-E2777)/ D2777)</f>
        <v>0.46798917944093776</v>
      </c>
      <c r="H2777" s="2" t="s">
        <v>1971</v>
      </c>
      <c r="I2777" s="6" t="s">
        <v>25</v>
      </c>
      <c r="J2777" s="2" t="s">
        <v>1972</v>
      </c>
      <c r="K2777" s="2" t="s">
        <v>1973</v>
      </c>
      <c r="L2777" s="2" t="s">
        <v>28</v>
      </c>
      <c r="M2777" s="2" t="s">
        <v>5</v>
      </c>
      <c r="N2777" s="4">
        <v>1719.22</v>
      </c>
    </row>
    <row r="2778" spans="1:14" x14ac:dyDescent="0.25">
      <c r="A2778" s="2" t="s">
        <v>1948</v>
      </c>
      <c r="B2778" s="2" t="s">
        <v>1799</v>
      </c>
      <c r="C2778" s="3">
        <v>22.914999999999999</v>
      </c>
      <c r="D2778" s="4">
        <v>508.25470000000001</v>
      </c>
      <c r="E2778" s="4">
        <v>270.39699999999999</v>
      </c>
      <c r="F2778" s="4">
        <f t="shared" si="189"/>
        <v>237.85770000000002</v>
      </c>
      <c r="G2778" s="5">
        <f t="shared" si="190"/>
        <v>0.46798917944093782</v>
      </c>
      <c r="H2778" s="2" t="s">
        <v>1974</v>
      </c>
      <c r="I2778" s="6" t="s">
        <v>69</v>
      </c>
      <c r="J2778" s="2" t="s">
        <v>1975</v>
      </c>
      <c r="K2778" s="2" t="s">
        <v>1976</v>
      </c>
      <c r="L2778" s="2" t="s">
        <v>28</v>
      </c>
      <c r="M2778" s="2" t="s">
        <v>5</v>
      </c>
      <c r="N2778" s="4">
        <v>3295.46</v>
      </c>
    </row>
    <row r="2779" spans="1:14" x14ac:dyDescent="0.25">
      <c r="A2779" s="2" t="s">
        <v>1829</v>
      </c>
      <c r="B2779" s="2" t="s">
        <v>1830</v>
      </c>
      <c r="C2779" s="3">
        <v>12.96</v>
      </c>
      <c r="D2779" s="4">
        <v>229.7808</v>
      </c>
      <c r="E2779" s="4">
        <v>146.44800000000001</v>
      </c>
      <c r="F2779" s="4">
        <f t="shared" si="189"/>
        <v>83.332799999999992</v>
      </c>
      <c r="G2779" s="5">
        <f t="shared" si="190"/>
        <v>0.36266215454032708</v>
      </c>
      <c r="H2779" s="2" t="s">
        <v>1971</v>
      </c>
      <c r="I2779" s="6" t="s">
        <v>25</v>
      </c>
      <c r="J2779" s="2" t="s">
        <v>1972</v>
      </c>
      <c r="K2779" s="2" t="s">
        <v>1973</v>
      </c>
      <c r="L2779" s="2" t="s">
        <v>28</v>
      </c>
      <c r="M2779" s="2" t="s">
        <v>5</v>
      </c>
      <c r="N2779" s="4">
        <v>1719.22</v>
      </c>
    </row>
    <row r="2780" spans="1:14" x14ac:dyDescent="0.25">
      <c r="A2780" s="2" t="s">
        <v>1829</v>
      </c>
      <c r="B2780" s="2" t="s">
        <v>1830</v>
      </c>
      <c r="C2780" s="3">
        <v>26.3</v>
      </c>
      <c r="D2780" s="4">
        <v>466.29899999999998</v>
      </c>
      <c r="E2780" s="4">
        <v>297.19</v>
      </c>
      <c r="F2780" s="4">
        <f t="shared" si="189"/>
        <v>169.10899999999998</v>
      </c>
      <c r="G2780" s="5">
        <f t="shared" si="190"/>
        <v>0.36266215454032713</v>
      </c>
      <c r="H2780" s="2" t="s">
        <v>1974</v>
      </c>
      <c r="I2780" s="6" t="s">
        <v>69</v>
      </c>
      <c r="J2780" s="2" t="s">
        <v>1975</v>
      </c>
      <c r="K2780" s="2" t="s">
        <v>1976</v>
      </c>
      <c r="L2780" s="2" t="s">
        <v>28</v>
      </c>
      <c r="M2780" s="2" t="s">
        <v>5</v>
      </c>
      <c r="N2780" s="4">
        <v>3295.46</v>
      </c>
    </row>
    <row r="2781" spans="1:14" x14ac:dyDescent="0.25">
      <c r="A2781" s="2" t="s">
        <v>1960</v>
      </c>
      <c r="B2781" s="2" t="s">
        <v>1961</v>
      </c>
      <c r="C2781" s="3">
        <v>10</v>
      </c>
      <c r="D2781" s="4">
        <v>133.1</v>
      </c>
      <c r="E2781" s="4">
        <v>80</v>
      </c>
      <c r="F2781" s="4">
        <f t="shared" si="189"/>
        <v>53.099999999999994</v>
      </c>
      <c r="G2781" s="5">
        <f t="shared" si="190"/>
        <v>0.39894815927873778</v>
      </c>
      <c r="H2781" s="2" t="s">
        <v>1974</v>
      </c>
      <c r="I2781" s="6" t="s">
        <v>69</v>
      </c>
      <c r="J2781" s="2" t="s">
        <v>1975</v>
      </c>
      <c r="K2781" s="2" t="s">
        <v>1976</v>
      </c>
      <c r="L2781" s="2" t="s">
        <v>28</v>
      </c>
      <c r="M2781" s="2" t="s">
        <v>5</v>
      </c>
      <c r="N2781" s="4">
        <v>3295.46</v>
      </c>
    </row>
    <row r="2782" spans="1:14" x14ac:dyDescent="0.25">
      <c r="A2782" s="2" t="s">
        <v>1831</v>
      </c>
      <c r="B2782" s="2" t="s">
        <v>1832</v>
      </c>
      <c r="C2782" s="3">
        <v>30.7</v>
      </c>
      <c r="D2782" s="4">
        <v>680.92600000000004</v>
      </c>
      <c r="E2782" s="4">
        <v>383.75</v>
      </c>
      <c r="F2782" s="4">
        <f t="shared" si="189"/>
        <v>297.17600000000004</v>
      </c>
      <c r="G2782" s="5">
        <f t="shared" si="190"/>
        <v>0.436429215509468</v>
      </c>
      <c r="H2782" s="2" t="s">
        <v>1974</v>
      </c>
      <c r="I2782" s="6" t="s">
        <v>69</v>
      </c>
      <c r="J2782" s="2" t="s">
        <v>1975</v>
      </c>
      <c r="K2782" s="2" t="s">
        <v>1976</v>
      </c>
      <c r="L2782" s="2" t="s">
        <v>28</v>
      </c>
      <c r="M2782" s="2" t="s">
        <v>5</v>
      </c>
      <c r="N2782" s="4">
        <v>3295.46</v>
      </c>
    </row>
    <row r="2783" spans="1:14" x14ac:dyDescent="0.25">
      <c r="A2783" s="2" t="s">
        <v>1865</v>
      </c>
      <c r="B2783" s="2" t="s">
        <v>1866</v>
      </c>
      <c r="C2783" s="3">
        <v>44.875</v>
      </c>
      <c r="D2783" s="4">
        <v>565.87374999999997</v>
      </c>
      <c r="E2783" s="4">
        <v>547.47500000000002</v>
      </c>
      <c r="F2783" s="4">
        <f t="shared" si="189"/>
        <v>18.39874999999995</v>
      </c>
      <c r="G2783" s="5">
        <f t="shared" si="190"/>
        <v>3.2513877874702529E-2</v>
      </c>
      <c r="H2783" s="2" t="s">
        <v>1974</v>
      </c>
      <c r="I2783" s="6" t="s">
        <v>69</v>
      </c>
      <c r="J2783" s="2" t="s">
        <v>1975</v>
      </c>
      <c r="K2783" s="2" t="s">
        <v>1976</v>
      </c>
      <c r="L2783" s="2" t="s">
        <v>28</v>
      </c>
      <c r="M2783" s="2" t="s">
        <v>5</v>
      </c>
      <c r="N2783" s="4">
        <v>3295.46</v>
      </c>
    </row>
    <row r="2784" spans="1:14" x14ac:dyDescent="0.25">
      <c r="A2784" s="2" t="s">
        <v>1842</v>
      </c>
      <c r="B2784" s="2" t="s">
        <v>1843</v>
      </c>
      <c r="C2784" s="3">
        <v>9.91</v>
      </c>
      <c r="D2784" s="4">
        <v>190.37110000000001</v>
      </c>
      <c r="E2784" s="4">
        <v>94.144999999999996</v>
      </c>
      <c r="F2784" s="4">
        <f t="shared" si="189"/>
        <v>96.226100000000017</v>
      </c>
      <c r="G2784" s="5">
        <f t="shared" si="190"/>
        <v>0.5054659031754295</v>
      </c>
      <c r="H2784" s="2" t="s">
        <v>1971</v>
      </c>
      <c r="I2784" s="6" t="s">
        <v>25</v>
      </c>
      <c r="J2784" s="2" t="s">
        <v>1972</v>
      </c>
      <c r="K2784" s="2" t="s">
        <v>1973</v>
      </c>
      <c r="L2784" s="2" t="s">
        <v>28</v>
      </c>
      <c r="M2784" s="2" t="s">
        <v>5</v>
      </c>
      <c r="N2784" s="4">
        <v>1719.22</v>
      </c>
    </row>
    <row r="2785" spans="1:14" x14ac:dyDescent="0.25">
      <c r="A2785" s="2" t="s">
        <v>1842</v>
      </c>
      <c r="B2785" s="2" t="s">
        <v>1843</v>
      </c>
      <c r="C2785" s="3">
        <v>6</v>
      </c>
      <c r="D2785" s="4">
        <v>115.26</v>
      </c>
      <c r="E2785" s="4">
        <v>57</v>
      </c>
      <c r="F2785" s="4">
        <f t="shared" si="189"/>
        <v>58.260000000000005</v>
      </c>
      <c r="G2785" s="5">
        <f t="shared" si="190"/>
        <v>0.5054659031754295</v>
      </c>
      <c r="H2785" s="2" t="s">
        <v>1974</v>
      </c>
      <c r="I2785" s="6" t="s">
        <v>69</v>
      </c>
      <c r="J2785" s="2" t="s">
        <v>1975</v>
      </c>
      <c r="K2785" s="2" t="s">
        <v>1976</v>
      </c>
      <c r="L2785" s="2" t="s">
        <v>28</v>
      </c>
      <c r="M2785" s="2" t="s">
        <v>5</v>
      </c>
      <c r="N2785" s="4">
        <v>3295.46</v>
      </c>
    </row>
    <row r="2786" spans="1:14" x14ac:dyDescent="0.25">
      <c r="A2786" s="2" t="s">
        <v>1852</v>
      </c>
      <c r="B2786" s="2" t="s">
        <v>1853</v>
      </c>
      <c r="C2786" s="3">
        <v>5.12</v>
      </c>
      <c r="D2786" s="4">
        <v>83.2</v>
      </c>
      <c r="E2786" s="4">
        <v>41.472000000000001</v>
      </c>
      <c r="F2786" s="4">
        <f t="shared" si="189"/>
        <v>41.728000000000002</v>
      </c>
      <c r="G2786" s="5">
        <f t="shared" si="190"/>
        <v>0.50153846153846149</v>
      </c>
      <c r="H2786" s="2" t="s">
        <v>1974</v>
      </c>
      <c r="I2786" s="6" t="s">
        <v>69</v>
      </c>
      <c r="J2786" s="2" t="s">
        <v>1975</v>
      </c>
      <c r="K2786" s="2" t="s">
        <v>1976</v>
      </c>
      <c r="L2786" s="2" t="s">
        <v>28</v>
      </c>
      <c r="M2786" s="2" t="s">
        <v>5</v>
      </c>
      <c r="N2786" s="4">
        <v>3295.46</v>
      </c>
    </row>
    <row r="2787" spans="1:14" x14ac:dyDescent="0.25">
      <c r="A2787" s="2" t="s">
        <v>1812</v>
      </c>
      <c r="B2787" s="2" t="s">
        <v>1813</v>
      </c>
      <c r="C2787" s="3">
        <v>11.86</v>
      </c>
      <c r="D2787" s="4">
        <v>174.2234</v>
      </c>
      <c r="E2787" s="4">
        <v>96.066000000000003</v>
      </c>
      <c r="F2787" s="4">
        <f t="shared" si="189"/>
        <v>78.157399999999996</v>
      </c>
      <c r="G2787" s="5">
        <f t="shared" si="190"/>
        <v>0.44860449285228043</v>
      </c>
      <c r="H2787" s="2" t="s">
        <v>1974</v>
      </c>
      <c r="I2787" s="6" t="s">
        <v>69</v>
      </c>
      <c r="J2787" s="2" t="s">
        <v>1975</v>
      </c>
      <c r="K2787" s="2" t="s">
        <v>1976</v>
      </c>
      <c r="L2787" s="2" t="s">
        <v>28</v>
      </c>
      <c r="M2787" s="2" t="s">
        <v>5</v>
      </c>
      <c r="N2787" s="4">
        <v>3295.46</v>
      </c>
    </row>
    <row r="2788" spans="1:14" x14ac:dyDescent="0.25">
      <c r="A2788" s="2" t="s">
        <v>1812</v>
      </c>
      <c r="B2788" s="2" t="s">
        <v>1813</v>
      </c>
      <c r="C2788" s="3">
        <v>10.96</v>
      </c>
      <c r="D2788" s="4">
        <v>161.00239999999999</v>
      </c>
      <c r="E2788" s="4">
        <v>88.775999999999996</v>
      </c>
      <c r="F2788" s="4">
        <f t="shared" si="189"/>
        <v>72.226399999999998</v>
      </c>
      <c r="G2788" s="5">
        <f t="shared" si="190"/>
        <v>0.44860449285228049</v>
      </c>
      <c r="H2788" s="2" t="s">
        <v>1971</v>
      </c>
      <c r="I2788" s="6" t="s">
        <v>25</v>
      </c>
      <c r="J2788" s="2" t="s">
        <v>1972</v>
      </c>
      <c r="K2788" s="2" t="s">
        <v>1973</v>
      </c>
      <c r="L2788" s="2" t="s">
        <v>28</v>
      </c>
      <c r="M2788" s="2" t="s">
        <v>5</v>
      </c>
      <c r="N2788" s="4">
        <v>1719.22</v>
      </c>
    </row>
    <row r="2789" spans="1:14" x14ac:dyDescent="0.25">
      <c r="A2789" s="2" t="s">
        <v>1977</v>
      </c>
      <c r="B2789" s="2" t="s">
        <v>1978</v>
      </c>
      <c r="C2789" s="3">
        <v>7.32</v>
      </c>
      <c r="D2789" s="4">
        <v>92.305199999999999</v>
      </c>
      <c r="E2789" s="4">
        <v>51.972000000000001</v>
      </c>
      <c r="F2789" s="4">
        <f t="shared" si="189"/>
        <v>40.333199999999998</v>
      </c>
      <c r="G2789" s="5">
        <f t="shared" si="190"/>
        <v>0.43695479777954005</v>
      </c>
      <c r="H2789" s="2" t="s">
        <v>1974</v>
      </c>
      <c r="I2789" s="6" t="s">
        <v>69</v>
      </c>
      <c r="J2789" s="2" t="s">
        <v>1975</v>
      </c>
      <c r="K2789" s="2" t="s">
        <v>1976</v>
      </c>
      <c r="L2789" s="2" t="s">
        <v>28</v>
      </c>
      <c r="M2789" s="2" t="s">
        <v>5</v>
      </c>
      <c r="N2789" s="4">
        <v>3295.46</v>
      </c>
    </row>
    <row r="2790" spans="1:14" x14ac:dyDescent="0.25">
      <c r="A2790" s="2" t="s">
        <v>1979</v>
      </c>
      <c r="B2790" s="2" t="s">
        <v>1980</v>
      </c>
      <c r="C2790" s="3">
        <v>30.85</v>
      </c>
      <c r="D2790" s="4">
        <v>476.01549999999997</v>
      </c>
      <c r="E2790" s="4">
        <v>246.8</v>
      </c>
      <c r="F2790" s="4">
        <f t="shared" si="189"/>
        <v>229.21549999999996</v>
      </c>
      <c r="G2790" s="5">
        <f t="shared" si="190"/>
        <v>0.48152948801036938</v>
      </c>
      <c r="H2790" s="2" t="s">
        <v>1974</v>
      </c>
      <c r="I2790" s="6" t="s">
        <v>69</v>
      </c>
      <c r="J2790" s="2" t="s">
        <v>1975</v>
      </c>
      <c r="K2790" s="2" t="s">
        <v>1976</v>
      </c>
      <c r="L2790" s="2" t="s">
        <v>28</v>
      </c>
      <c r="M2790" s="2" t="s">
        <v>5</v>
      </c>
      <c r="N2790" s="4">
        <v>3295.46</v>
      </c>
    </row>
    <row r="2791" spans="1:14" x14ac:dyDescent="0.25">
      <c r="A2791" s="2" t="s">
        <v>1892</v>
      </c>
      <c r="B2791" s="2" t="s">
        <v>1893</v>
      </c>
      <c r="C2791" s="3">
        <v>10.37</v>
      </c>
      <c r="D2791" s="4">
        <v>306.952</v>
      </c>
      <c r="E2791" s="4">
        <v>129.625</v>
      </c>
      <c r="F2791" s="4">
        <f t="shared" si="189"/>
        <v>177.327</v>
      </c>
      <c r="G2791" s="5">
        <f t="shared" si="190"/>
        <v>0.57770270270270274</v>
      </c>
      <c r="H2791" s="2" t="s">
        <v>1971</v>
      </c>
      <c r="I2791" s="6" t="s">
        <v>25</v>
      </c>
      <c r="J2791" s="2" t="s">
        <v>1972</v>
      </c>
      <c r="K2791" s="2" t="s">
        <v>1973</v>
      </c>
      <c r="L2791" s="2" t="s">
        <v>28</v>
      </c>
      <c r="M2791" s="2" t="s">
        <v>5</v>
      </c>
      <c r="N2791" s="4">
        <v>1719.22</v>
      </c>
    </row>
    <row r="2792" spans="1:14" x14ac:dyDescent="0.25">
      <c r="A2792" s="2" t="s">
        <v>1858</v>
      </c>
      <c r="B2792" s="2" t="s">
        <v>1859</v>
      </c>
      <c r="C2792" s="3">
        <v>57.15</v>
      </c>
      <c r="D2792" s="4">
        <v>720.66150000000005</v>
      </c>
      <c r="E2792" s="4">
        <v>542.92499999999995</v>
      </c>
      <c r="F2792" s="4">
        <f t="shared" si="189"/>
        <v>177.73650000000009</v>
      </c>
      <c r="G2792" s="5">
        <f t="shared" si="190"/>
        <v>0.24662965900079314</v>
      </c>
      <c r="H2792" s="2" t="s">
        <v>1971</v>
      </c>
      <c r="I2792" s="6" t="s">
        <v>25</v>
      </c>
      <c r="J2792" s="2" t="s">
        <v>1972</v>
      </c>
      <c r="K2792" s="2" t="s">
        <v>1973</v>
      </c>
      <c r="L2792" s="2" t="s">
        <v>28</v>
      </c>
      <c r="M2792" s="2" t="s">
        <v>5</v>
      </c>
      <c r="N2792" s="4">
        <v>1719.22</v>
      </c>
    </row>
    <row r="2794" spans="1:14" x14ac:dyDescent="0.25">
      <c r="A2794" s="13" t="s">
        <v>59</v>
      </c>
      <c r="B2794" s="21"/>
      <c r="C2794" s="22">
        <f>SUM(C2774:C2793)</f>
        <v>302.27</v>
      </c>
      <c r="D2794" s="23">
        <f>SUM(D2774:D2793)</f>
        <v>5014.6817499999988</v>
      </c>
      <c r="E2794" s="23">
        <f>SUM(E2774:E2793)</f>
        <v>3132.8050000000003</v>
      </c>
      <c r="F2794" s="23">
        <f>D2794-E2794</f>
        <v>1881.8767499999985</v>
      </c>
      <c r="G2794" s="24">
        <f>IF(((D2794)=0),0,(D2794-E2794)/ D2794)</f>
        <v>0.37527341590520652</v>
      </c>
      <c r="H2794" s="21"/>
      <c r="I2794" s="21"/>
      <c r="J2794" s="21"/>
      <c r="K2794" s="21"/>
      <c r="L2794" s="21"/>
      <c r="M2794" s="21"/>
      <c r="N2794" s="21"/>
    </row>
    <row r="2796" spans="1:14" s="17" customFormat="1" ht="18.75" x14ac:dyDescent="0.3"/>
    <row r="2797" spans="1:14" s="7" customFormat="1" x14ac:dyDescent="0.25">
      <c r="A2797" s="13" t="s">
        <v>1981</v>
      </c>
      <c r="B2797" s="18" t="s">
        <v>1982</v>
      </c>
      <c r="C2797" s="19"/>
      <c r="D2797" s="20" t="s">
        <v>5</v>
      </c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</row>
    <row r="2799" spans="1:14" x14ac:dyDescent="0.25">
      <c r="A2799" s="2" t="s">
        <v>128</v>
      </c>
      <c r="B2799" s="2" t="s">
        <v>129</v>
      </c>
      <c r="C2799" s="3">
        <v>95</v>
      </c>
      <c r="D2799" s="4">
        <v>1230.25</v>
      </c>
      <c r="E2799" s="4">
        <v>1043.0999999999999</v>
      </c>
      <c r="F2799" s="4">
        <f t="shared" ref="F2799:F2828" si="191">D2799-E2799</f>
        <v>187.15000000000009</v>
      </c>
      <c r="G2799" s="5">
        <f t="shared" ref="G2799:G2828" si="192">IF(((D2799)=0),0,(D2799-E2799)/ D2799)</f>
        <v>0.15212355212355219</v>
      </c>
      <c r="H2799" s="2" t="s">
        <v>1983</v>
      </c>
      <c r="I2799" s="6" t="s">
        <v>69</v>
      </c>
      <c r="J2799" s="2" t="s">
        <v>1984</v>
      </c>
      <c r="K2799" s="2" t="s">
        <v>1985</v>
      </c>
      <c r="L2799" s="2" t="s">
        <v>28</v>
      </c>
      <c r="M2799" s="2" t="s">
        <v>5</v>
      </c>
      <c r="N2799" s="4">
        <v>17355.09</v>
      </c>
    </row>
    <row r="2800" spans="1:14" x14ac:dyDescent="0.25">
      <c r="A2800" s="2" t="s">
        <v>29</v>
      </c>
      <c r="B2800" s="2" t="s">
        <v>30</v>
      </c>
      <c r="C2800" s="3">
        <v>30.54</v>
      </c>
      <c r="D2800" s="4">
        <v>384.80399999999997</v>
      </c>
      <c r="E2800" s="4">
        <v>305.39999999999998</v>
      </c>
      <c r="F2800" s="4">
        <f t="shared" si="191"/>
        <v>79.403999999999996</v>
      </c>
      <c r="G2800" s="5">
        <f t="shared" si="192"/>
        <v>0.20634920634920637</v>
      </c>
      <c r="H2800" s="2" t="s">
        <v>1983</v>
      </c>
      <c r="I2800" s="6" t="s">
        <v>69</v>
      </c>
      <c r="J2800" s="2" t="s">
        <v>1984</v>
      </c>
      <c r="K2800" s="2" t="s">
        <v>1985</v>
      </c>
      <c r="L2800" s="2" t="s">
        <v>28</v>
      </c>
      <c r="M2800" s="2" t="s">
        <v>5</v>
      </c>
      <c r="N2800" s="4">
        <v>17355.09</v>
      </c>
    </row>
    <row r="2801" spans="1:14" x14ac:dyDescent="0.25">
      <c r="A2801" s="2" t="s">
        <v>146</v>
      </c>
      <c r="B2801" s="2" t="s">
        <v>147</v>
      </c>
      <c r="C2801" s="3">
        <v>66.05</v>
      </c>
      <c r="D2801" s="4">
        <v>893.65650000000005</v>
      </c>
      <c r="E2801" s="4">
        <v>746.36500000000001</v>
      </c>
      <c r="F2801" s="4">
        <f t="shared" si="191"/>
        <v>147.29150000000004</v>
      </c>
      <c r="G2801" s="5">
        <f t="shared" si="192"/>
        <v>0.16481892091648193</v>
      </c>
      <c r="H2801" s="2" t="s">
        <v>1983</v>
      </c>
      <c r="I2801" s="6" t="s">
        <v>69</v>
      </c>
      <c r="J2801" s="2" t="s">
        <v>1984</v>
      </c>
      <c r="K2801" s="2" t="s">
        <v>1985</v>
      </c>
      <c r="L2801" s="2" t="s">
        <v>28</v>
      </c>
      <c r="M2801" s="2" t="s">
        <v>5</v>
      </c>
      <c r="N2801" s="4">
        <v>17355.09</v>
      </c>
    </row>
    <row r="2802" spans="1:14" x14ac:dyDescent="0.25">
      <c r="A2802" s="2" t="s">
        <v>41</v>
      </c>
      <c r="B2802" s="2" t="s">
        <v>42</v>
      </c>
      <c r="C2802" s="3">
        <v>15.56</v>
      </c>
      <c r="D2802" s="4">
        <v>254.5616</v>
      </c>
      <c r="E2802" s="4">
        <v>182.83</v>
      </c>
      <c r="F2802" s="4">
        <f t="shared" si="191"/>
        <v>71.731599999999986</v>
      </c>
      <c r="G2802" s="5">
        <f t="shared" si="192"/>
        <v>0.28178484107579455</v>
      </c>
      <c r="H2802" s="2" t="s">
        <v>1983</v>
      </c>
      <c r="I2802" s="6" t="s">
        <v>69</v>
      </c>
      <c r="J2802" s="2" t="s">
        <v>1984</v>
      </c>
      <c r="K2802" s="2" t="s">
        <v>1985</v>
      </c>
      <c r="L2802" s="2" t="s">
        <v>28</v>
      </c>
      <c r="M2802" s="2" t="s">
        <v>5</v>
      </c>
      <c r="N2802" s="4">
        <v>17355.09</v>
      </c>
    </row>
    <row r="2803" spans="1:14" x14ac:dyDescent="0.25">
      <c r="A2803" s="2" t="s">
        <v>703</v>
      </c>
      <c r="B2803" s="2" t="s">
        <v>704</v>
      </c>
      <c r="C2803" s="3">
        <v>24</v>
      </c>
      <c r="D2803" s="4">
        <v>148.80000000000001</v>
      </c>
      <c r="E2803" s="4">
        <v>114</v>
      </c>
      <c r="F2803" s="4">
        <f t="shared" si="191"/>
        <v>34.800000000000011</v>
      </c>
      <c r="G2803" s="5">
        <f t="shared" si="192"/>
        <v>0.23387096774193555</v>
      </c>
      <c r="H2803" s="2" t="s">
        <v>1983</v>
      </c>
      <c r="I2803" s="6" t="s">
        <v>69</v>
      </c>
      <c r="J2803" s="2" t="s">
        <v>1984</v>
      </c>
      <c r="K2803" s="2" t="s">
        <v>1985</v>
      </c>
      <c r="L2803" s="2" t="s">
        <v>28</v>
      </c>
      <c r="M2803" s="2" t="s">
        <v>5</v>
      </c>
      <c r="N2803" s="4">
        <v>17355.09</v>
      </c>
    </row>
    <row r="2804" spans="1:14" x14ac:dyDescent="0.25">
      <c r="A2804" s="2" t="s">
        <v>1216</v>
      </c>
      <c r="B2804" s="2" t="s">
        <v>1217</v>
      </c>
      <c r="C2804" s="3">
        <v>57.87</v>
      </c>
      <c r="D2804" s="4">
        <v>260.41500000000002</v>
      </c>
      <c r="E2804" s="4">
        <v>202.54499999999999</v>
      </c>
      <c r="F2804" s="4">
        <f t="shared" si="191"/>
        <v>57.870000000000033</v>
      </c>
      <c r="G2804" s="5">
        <f t="shared" si="192"/>
        <v>0.22222222222222232</v>
      </c>
      <c r="H2804" s="2" t="s">
        <v>1983</v>
      </c>
      <c r="I2804" s="6" t="s">
        <v>69</v>
      </c>
      <c r="J2804" s="2" t="s">
        <v>1984</v>
      </c>
      <c r="K2804" s="2" t="s">
        <v>1985</v>
      </c>
      <c r="L2804" s="2" t="s">
        <v>28</v>
      </c>
      <c r="M2804" s="2" t="s">
        <v>5</v>
      </c>
      <c r="N2804" s="4">
        <v>17355.09</v>
      </c>
    </row>
    <row r="2805" spans="1:14" x14ac:dyDescent="0.25">
      <c r="A2805" s="2" t="s">
        <v>203</v>
      </c>
      <c r="B2805" s="2" t="s">
        <v>204</v>
      </c>
      <c r="C2805" s="3">
        <v>75.349999999999994</v>
      </c>
      <c r="D2805" s="4">
        <v>979.55</v>
      </c>
      <c r="E2805" s="4">
        <v>376.75</v>
      </c>
      <c r="F2805" s="4">
        <f t="shared" si="191"/>
        <v>602.79999999999995</v>
      </c>
      <c r="G2805" s="5">
        <f t="shared" si="192"/>
        <v>0.61538461538461542</v>
      </c>
      <c r="H2805" s="2" t="s">
        <v>1983</v>
      </c>
      <c r="I2805" s="6" t="s">
        <v>69</v>
      </c>
      <c r="J2805" s="2" t="s">
        <v>1984</v>
      </c>
      <c r="K2805" s="2" t="s">
        <v>1985</v>
      </c>
      <c r="L2805" s="2" t="s">
        <v>28</v>
      </c>
      <c r="M2805" s="2" t="s">
        <v>5</v>
      </c>
      <c r="N2805" s="4">
        <v>17355.09</v>
      </c>
    </row>
    <row r="2806" spans="1:14" x14ac:dyDescent="0.25">
      <c r="A2806" s="2" t="s">
        <v>118</v>
      </c>
      <c r="B2806" s="2" t="s">
        <v>119</v>
      </c>
      <c r="C2806" s="3">
        <v>60</v>
      </c>
      <c r="D2806" s="4">
        <v>630</v>
      </c>
      <c r="E2806" s="4">
        <v>450</v>
      </c>
      <c r="F2806" s="4">
        <f t="shared" si="191"/>
        <v>180</v>
      </c>
      <c r="G2806" s="5">
        <f t="shared" si="192"/>
        <v>0.2857142857142857</v>
      </c>
      <c r="H2806" s="2" t="s">
        <v>1983</v>
      </c>
      <c r="I2806" s="6" t="s">
        <v>69</v>
      </c>
      <c r="J2806" s="2" t="s">
        <v>1984</v>
      </c>
      <c r="K2806" s="2" t="s">
        <v>1985</v>
      </c>
      <c r="L2806" s="2" t="s">
        <v>28</v>
      </c>
      <c r="M2806" s="2" t="s">
        <v>5</v>
      </c>
      <c r="N2806" s="4">
        <v>17355.09</v>
      </c>
    </row>
    <row r="2807" spans="1:14" x14ac:dyDescent="0.25">
      <c r="A2807" s="2" t="s">
        <v>601</v>
      </c>
      <c r="B2807" s="2" t="s">
        <v>602</v>
      </c>
      <c r="C2807" s="3">
        <v>66.375</v>
      </c>
      <c r="D2807" s="4">
        <v>359.7525</v>
      </c>
      <c r="E2807" s="4">
        <v>238.95</v>
      </c>
      <c r="F2807" s="4">
        <f t="shared" si="191"/>
        <v>120.80250000000001</v>
      </c>
      <c r="G2807" s="5">
        <f t="shared" si="192"/>
        <v>0.33579335793357934</v>
      </c>
      <c r="H2807" s="2" t="s">
        <v>1983</v>
      </c>
      <c r="I2807" s="6" t="s">
        <v>69</v>
      </c>
      <c r="J2807" s="2" t="s">
        <v>1984</v>
      </c>
      <c r="K2807" s="2" t="s">
        <v>1985</v>
      </c>
      <c r="L2807" s="2" t="s">
        <v>28</v>
      </c>
      <c r="M2807" s="2" t="s">
        <v>5</v>
      </c>
      <c r="N2807" s="4">
        <v>17355.09</v>
      </c>
    </row>
    <row r="2808" spans="1:14" x14ac:dyDescent="0.25">
      <c r="A2808" s="2" t="s">
        <v>211</v>
      </c>
      <c r="B2808" s="2" t="s">
        <v>212</v>
      </c>
      <c r="C2808" s="3">
        <v>24.695</v>
      </c>
      <c r="D2808" s="4">
        <v>98.533050000000003</v>
      </c>
      <c r="E2808" s="4">
        <v>61.737499999999997</v>
      </c>
      <c r="F2808" s="4">
        <f t="shared" si="191"/>
        <v>36.795550000000006</v>
      </c>
      <c r="G2808" s="5">
        <f t="shared" si="192"/>
        <v>0.37343358395989978</v>
      </c>
      <c r="H2808" s="2" t="s">
        <v>1983</v>
      </c>
      <c r="I2808" s="6" t="s">
        <v>69</v>
      </c>
      <c r="J2808" s="2" t="s">
        <v>1984</v>
      </c>
      <c r="K2808" s="2" t="s">
        <v>1985</v>
      </c>
      <c r="L2808" s="2" t="s">
        <v>28</v>
      </c>
      <c r="M2808" s="2" t="s">
        <v>5</v>
      </c>
      <c r="N2808" s="4">
        <v>17355.09</v>
      </c>
    </row>
    <row r="2809" spans="1:14" x14ac:dyDescent="0.25">
      <c r="A2809" s="2" t="s">
        <v>807</v>
      </c>
      <c r="B2809" s="2" t="s">
        <v>808</v>
      </c>
      <c r="C2809" s="3">
        <v>10</v>
      </c>
      <c r="D2809" s="4">
        <v>85.8</v>
      </c>
      <c r="E2809" s="4">
        <v>60.9</v>
      </c>
      <c r="F2809" s="4">
        <f t="shared" si="191"/>
        <v>24.9</v>
      </c>
      <c r="G2809" s="5">
        <f t="shared" si="192"/>
        <v>0.29020979020979021</v>
      </c>
      <c r="H2809" s="2" t="s">
        <v>1983</v>
      </c>
      <c r="I2809" s="6" t="s">
        <v>69</v>
      </c>
      <c r="J2809" s="2" t="s">
        <v>1984</v>
      </c>
      <c r="K2809" s="2" t="s">
        <v>1985</v>
      </c>
      <c r="L2809" s="2" t="s">
        <v>28</v>
      </c>
      <c r="M2809" s="2" t="s">
        <v>5</v>
      </c>
      <c r="N2809" s="4">
        <v>17355.09</v>
      </c>
    </row>
    <row r="2810" spans="1:14" x14ac:dyDescent="0.25">
      <c r="A2810" s="2" t="s">
        <v>156</v>
      </c>
      <c r="B2810" s="2" t="s">
        <v>157</v>
      </c>
      <c r="C2810" s="3">
        <v>19.914999999999999</v>
      </c>
      <c r="D2810" s="4">
        <v>236.39105000000001</v>
      </c>
      <c r="E2810" s="4">
        <v>179.23500000000001</v>
      </c>
      <c r="F2810" s="4">
        <f t="shared" si="191"/>
        <v>57.156049999999993</v>
      </c>
      <c r="G2810" s="5">
        <f t="shared" si="192"/>
        <v>0.24178601516427967</v>
      </c>
      <c r="H2810" s="2" t="s">
        <v>1983</v>
      </c>
      <c r="I2810" s="6" t="s">
        <v>69</v>
      </c>
      <c r="J2810" s="2" t="s">
        <v>1984</v>
      </c>
      <c r="K2810" s="2" t="s">
        <v>1985</v>
      </c>
      <c r="L2810" s="2" t="s">
        <v>28</v>
      </c>
      <c r="M2810" s="2" t="s">
        <v>5</v>
      </c>
      <c r="N2810" s="4">
        <v>17355.09</v>
      </c>
    </row>
    <row r="2811" spans="1:14" x14ac:dyDescent="0.25">
      <c r="A2811" s="2" t="s">
        <v>707</v>
      </c>
      <c r="B2811" s="2" t="s">
        <v>708</v>
      </c>
      <c r="C2811" s="3">
        <v>39.840000000000003</v>
      </c>
      <c r="D2811" s="4">
        <v>437.04480000000001</v>
      </c>
      <c r="E2811" s="4">
        <v>330.27359999999999</v>
      </c>
      <c r="F2811" s="4">
        <f t="shared" si="191"/>
        <v>106.77120000000002</v>
      </c>
      <c r="G2811" s="5">
        <f t="shared" si="192"/>
        <v>0.24430264357338199</v>
      </c>
      <c r="H2811" s="2" t="s">
        <v>1983</v>
      </c>
      <c r="I2811" s="6" t="s">
        <v>69</v>
      </c>
      <c r="J2811" s="2" t="s">
        <v>1984</v>
      </c>
      <c r="K2811" s="2" t="s">
        <v>1985</v>
      </c>
      <c r="L2811" s="2" t="s">
        <v>28</v>
      </c>
      <c r="M2811" s="2" t="s">
        <v>5</v>
      </c>
      <c r="N2811" s="4">
        <v>17355.09</v>
      </c>
    </row>
    <row r="2812" spans="1:14" x14ac:dyDescent="0.25">
      <c r="A2812" s="2" t="s">
        <v>709</v>
      </c>
      <c r="B2812" s="2" t="s">
        <v>710</v>
      </c>
      <c r="C2812" s="3">
        <v>8.3249999999999993</v>
      </c>
      <c r="D2812" s="4">
        <v>118.63124999999999</v>
      </c>
      <c r="E2812" s="4">
        <v>86.163749999999993</v>
      </c>
      <c r="F2812" s="4">
        <f t="shared" si="191"/>
        <v>32.467500000000001</v>
      </c>
      <c r="G2812" s="5">
        <f t="shared" si="192"/>
        <v>0.27368421052631581</v>
      </c>
      <c r="H2812" s="2" t="s">
        <v>1983</v>
      </c>
      <c r="I2812" s="6" t="s">
        <v>69</v>
      </c>
      <c r="J2812" s="2" t="s">
        <v>1984</v>
      </c>
      <c r="K2812" s="2" t="s">
        <v>1985</v>
      </c>
      <c r="L2812" s="2" t="s">
        <v>28</v>
      </c>
      <c r="M2812" s="2" t="s">
        <v>5</v>
      </c>
      <c r="N2812" s="4">
        <v>17355.09</v>
      </c>
    </row>
    <row r="2813" spans="1:14" x14ac:dyDescent="0.25">
      <c r="A2813" s="2" t="s">
        <v>579</v>
      </c>
      <c r="B2813" s="2" t="s">
        <v>580</v>
      </c>
      <c r="C2813" s="3">
        <v>47.7</v>
      </c>
      <c r="D2813" s="4">
        <v>725.04</v>
      </c>
      <c r="E2813" s="4">
        <v>443.61</v>
      </c>
      <c r="F2813" s="4">
        <f t="shared" si="191"/>
        <v>281.42999999999995</v>
      </c>
      <c r="G2813" s="5">
        <f t="shared" si="192"/>
        <v>0.38815789473684204</v>
      </c>
      <c r="H2813" s="2" t="s">
        <v>1983</v>
      </c>
      <c r="I2813" s="6" t="s">
        <v>69</v>
      </c>
      <c r="J2813" s="2" t="s">
        <v>1984</v>
      </c>
      <c r="K2813" s="2" t="s">
        <v>1985</v>
      </c>
      <c r="L2813" s="2" t="s">
        <v>28</v>
      </c>
      <c r="M2813" s="2" t="s">
        <v>5</v>
      </c>
      <c r="N2813" s="4">
        <v>17355.09</v>
      </c>
    </row>
    <row r="2814" spans="1:14" x14ac:dyDescent="0.25">
      <c r="A2814" s="2" t="s">
        <v>51</v>
      </c>
      <c r="B2814" s="2" t="s">
        <v>52</v>
      </c>
      <c r="C2814" s="3">
        <v>44.44</v>
      </c>
      <c r="D2814" s="4">
        <v>727.03840000000002</v>
      </c>
      <c r="E2814" s="4">
        <v>733.26</v>
      </c>
      <c r="F2814" s="4">
        <f t="shared" si="191"/>
        <v>-6.2215999999999667</v>
      </c>
      <c r="G2814" s="5">
        <f t="shared" si="192"/>
        <v>-8.5574572127138909E-3</v>
      </c>
      <c r="H2814" s="2" t="s">
        <v>1983</v>
      </c>
      <c r="I2814" s="6" t="s">
        <v>69</v>
      </c>
      <c r="J2814" s="2" t="s">
        <v>1984</v>
      </c>
      <c r="K2814" s="2" t="s">
        <v>1985</v>
      </c>
      <c r="L2814" s="2" t="s">
        <v>28</v>
      </c>
      <c r="M2814" s="2" t="s">
        <v>5</v>
      </c>
      <c r="N2814" s="4">
        <v>17355.09</v>
      </c>
    </row>
    <row r="2815" spans="1:14" x14ac:dyDescent="0.25">
      <c r="A2815" s="2" t="s">
        <v>581</v>
      </c>
      <c r="B2815" s="2" t="s">
        <v>582</v>
      </c>
      <c r="C2815" s="3">
        <v>22.88</v>
      </c>
      <c r="D2815" s="4">
        <v>317.34559999999999</v>
      </c>
      <c r="E2815" s="4">
        <v>199.05600000000001</v>
      </c>
      <c r="F2815" s="4">
        <f t="shared" si="191"/>
        <v>118.28959999999998</v>
      </c>
      <c r="G2815" s="5">
        <f t="shared" si="192"/>
        <v>0.37274693583273244</v>
      </c>
      <c r="H2815" s="2" t="s">
        <v>1983</v>
      </c>
      <c r="I2815" s="6" t="s">
        <v>69</v>
      </c>
      <c r="J2815" s="2" t="s">
        <v>1984</v>
      </c>
      <c r="K2815" s="2" t="s">
        <v>1985</v>
      </c>
      <c r="L2815" s="2" t="s">
        <v>28</v>
      </c>
      <c r="M2815" s="2" t="s">
        <v>5</v>
      </c>
      <c r="N2815" s="4">
        <v>17355.09</v>
      </c>
    </row>
    <row r="2816" spans="1:14" x14ac:dyDescent="0.25">
      <c r="A2816" s="2" t="s">
        <v>53</v>
      </c>
      <c r="B2816" s="2" t="s">
        <v>54</v>
      </c>
      <c r="C2816" s="3">
        <v>57.48</v>
      </c>
      <c r="D2816" s="4">
        <v>488.58</v>
      </c>
      <c r="E2816" s="4">
        <v>419.60399999999998</v>
      </c>
      <c r="F2816" s="4">
        <f t="shared" si="191"/>
        <v>68.975999999999999</v>
      </c>
      <c r="G2816" s="5">
        <f t="shared" si="192"/>
        <v>0.14117647058823529</v>
      </c>
      <c r="H2816" s="2" t="s">
        <v>1983</v>
      </c>
      <c r="I2816" s="6" t="s">
        <v>69</v>
      </c>
      <c r="J2816" s="2" t="s">
        <v>1984</v>
      </c>
      <c r="K2816" s="2" t="s">
        <v>1985</v>
      </c>
      <c r="L2816" s="2" t="s">
        <v>28</v>
      </c>
      <c r="M2816" s="2" t="s">
        <v>5</v>
      </c>
      <c r="N2816" s="4">
        <v>17355.09</v>
      </c>
    </row>
    <row r="2817" spans="1:14" x14ac:dyDescent="0.25">
      <c r="A2817" s="2" t="s">
        <v>583</v>
      </c>
      <c r="B2817" s="2" t="s">
        <v>584</v>
      </c>
      <c r="C2817" s="3">
        <v>71.22</v>
      </c>
      <c r="D2817" s="4">
        <v>740.68799999999999</v>
      </c>
      <c r="E2817" s="4">
        <v>534.15</v>
      </c>
      <c r="F2817" s="4">
        <f t="shared" si="191"/>
        <v>206.53800000000001</v>
      </c>
      <c r="G2817" s="5">
        <f t="shared" si="192"/>
        <v>0.27884615384615385</v>
      </c>
      <c r="H2817" s="2" t="s">
        <v>1983</v>
      </c>
      <c r="I2817" s="6" t="s">
        <v>69</v>
      </c>
      <c r="J2817" s="2" t="s">
        <v>1984</v>
      </c>
      <c r="K2817" s="2" t="s">
        <v>1985</v>
      </c>
      <c r="L2817" s="2" t="s">
        <v>28</v>
      </c>
      <c r="M2817" s="2" t="s">
        <v>5</v>
      </c>
      <c r="N2817" s="4">
        <v>17355.09</v>
      </c>
    </row>
    <row r="2818" spans="1:14" x14ac:dyDescent="0.25">
      <c r="A2818" s="2" t="s">
        <v>1202</v>
      </c>
      <c r="B2818" s="2" t="s">
        <v>1203</v>
      </c>
      <c r="C2818" s="3">
        <v>14.585000000000001</v>
      </c>
      <c r="D2818" s="4">
        <v>119.74285</v>
      </c>
      <c r="E2818" s="4">
        <v>80.217500000000001</v>
      </c>
      <c r="F2818" s="4">
        <f t="shared" si="191"/>
        <v>39.525350000000003</v>
      </c>
      <c r="G2818" s="5">
        <f t="shared" si="192"/>
        <v>0.33008526187576126</v>
      </c>
      <c r="H2818" s="2" t="s">
        <v>1983</v>
      </c>
      <c r="I2818" s="6" t="s">
        <v>69</v>
      </c>
      <c r="J2818" s="2" t="s">
        <v>1984</v>
      </c>
      <c r="K2818" s="2" t="s">
        <v>1985</v>
      </c>
      <c r="L2818" s="2" t="s">
        <v>28</v>
      </c>
      <c r="M2818" s="2" t="s">
        <v>5</v>
      </c>
      <c r="N2818" s="4">
        <v>17355.09</v>
      </c>
    </row>
    <row r="2819" spans="1:14" x14ac:dyDescent="0.25">
      <c r="A2819" s="2" t="s">
        <v>715</v>
      </c>
      <c r="B2819" s="2" t="s">
        <v>716</v>
      </c>
      <c r="C2819" s="3">
        <v>13.645</v>
      </c>
      <c r="D2819" s="4">
        <v>159.6465</v>
      </c>
      <c r="E2819" s="4">
        <v>111.889</v>
      </c>
      <c r="F2819" s="4">
        <f t="shared" si="191"/>
        <v>47.757500000000007</v>
      </c>
      <c r="G2819" s="5">
        <f t="shared" si="192"/>
        <v>0.29914529914529919</v>
      </c>
      <c r="H2819" s="2" t="s">
        <v>1983</v>
      </c>
      <c r="I2819" s="6" t="s">
        <v>69</v>
      </c>
      <c r="J2819" s="2" t="s">
        <v>1984</v>
      </c>
      <c r="K2819" s="2" t="s">
        <v>1985</v>
      </c>
      <c r="L2819" s="2" t="s">
        <v>28</v>
      </c>
      <c r="M2819" s="2" t="s">
        <v>5</v>
      </c>
      <c r="N2819" s="4">
        <v>17355.09</v>
      </c>
    </row>
    <row r="2820" spans="1:14" x14ac:dyDescent="0.25">
      <c r="A2820" s="2" t="s">
        <v>818</v>
      </c>
      <c r="B2820" s="2" t="s">
        <v>819</v>
      </c>
      <c r="C2820" s="3">
        <v>60.27</v>
      </c>
      <c r="D2820" s="4">
        <v>720.22649999999999</v>
      </c>
      <c r="E2820" s="4">
        <v>409.83600000000001</v>
      </c>
      <c r="F2820" s="4">
        <f t="shared" si="191"/>
        <v>310.39049999999997</v>
      </c>
      <c r="G2820" s="5">
        <f t="shared" si="192"/>
        <v>0.43096234309623427</v>
      </c>
      <c r="H2820" s="2" t="s">
        <v>1983</v>
      </c>
      <c r="I2820" s="6" t="s">
        <v>69</v>
      </c>
      <c r="J2820" s="2" t="s">
        <v>1984</v>
      </c>
      <c r="K2820" s="2" t="s">
        <v>1985</v>
      </c>
      <c r="L2820" s="2" t="s">
        <v>28</v>
      </c>
      <c r="M2820" s="2" t="s">
        <v>5</v>
      </c>
      <c r="N2820" s="4">
        <v>17355.09</v>
      </c>
    </row>
    <row r="2821" spans="1:14" x14ac:dyDescent="0.25">
      <c r="A2821" s="2" t="s">
        <v>318</v>
      </c>
      <c r="B2821" s="2" t="s">
        <v>319</v>
      </c>
      <c r="C2821" s="3">
        <v>31.914999999999999</v>
      </c>
      <c r="D2821" s="4">
        <v>1504.79225</v>
      </c>
      <c r="E2821" s="4">
        <v>957.45</v>
      </c>
      <c r="F2821" s="4">
        <f t="shared" si="191"/>
        <v>547.34224999999992</v>
      </c>
      <c r="G2821" s="5">
        <f t="shared" si="192"/>
        <v>0.36373276776246016</v>
      </c>
      <c r="H2821" s="2" t="s">
        <v>1983</v>
      </c>
      <c r="I2821" s="6" t="s">
        <v>69</v>
      </c>
      <c r="J2821" s="2" t="s">
        <v>1984</v>
      </c>
      <c r="K2821" s="2" t="s">
        <v>1985</v>
      </c>
      <c r="L2821" s="2" t="s">
        <v>28</v>
      </c>
      <c r="M2821" s="2" t="s">
        <v>5</v>
      </c>
      <c r="N2821" s="4">
        <v>17355.09</v>
      </c>
    </row>
    <row r="2822" spans="1:14" x14ac:dyDescent="0.25">
      <c r="A2822" s="2" t="s">
        <v>646</v>
      </c>
      <c r="B2822" s="2" t="s">
        <v>647</v>
      </c>
      <c r="C2822" s="3">
        <v>27.94</v>
      </c>
      <c r="D2822" s="4">
        <v>1141.3489999999999</v>
      </c>
      <c r="E2822" s="4">
        <v>866.14</v>
      </c>
      <c r="F2822" s="4">
        <f t="shared" si="191"/>
        <v>275.20899999999995</v>
      </c>
      <c r="G2822" s="5">
        <f t="shared" si="192"/>
        <v>0.24112607099143205</v>
      </c>
      <c r="H2822" s="2" t="s">
        <v>1983</v>
      </c>
      <c r="I2822" s="6" t="s">
        <v>69</v>
      </c>
      <c r="J2822" s="2" t="s">
        <v>1984</v>
      </c>
      <c r="K2822" s="2" t="s">
        <v>1985</v>
      </c>
      <c r="L2822" s="2" t="s">
        <v>28</v>
      </c>
      <c r="M2822" s="2" t="s">
        <v>5</v>
      </c>
      <c r="N2822" s="4">
        <v>17355.09</v>
      </c>
    </row>
    <row r="2823" spans="1:14" x14ac:dyDescent="0.25">
      <c r="A2823" s="2" t="s">
        <v>589</v>
      </c>
      <c r="B2823" s="2" t="s">
        <v>590</v>
      </c>
      <c r="C2823" s="3">
        <v>58.305</v>
      </c>
      <c r="D2823" s="4">
        <v>989.43584999999996</v>
      </c>
      <c r="E2823" s="4">
        <v>801.69375000000002</v>
      </c>
      <c r="F2823" s="4">
        <f t="shared" si="191"/>
        <v>187.74209999999994</v>
      </c>
      <c r="G2823" s="5">
        <f t="shared" si="192"/>
        <v>0.18974661166764872</v>
      </c>
      <c r="H2823" s="2" t="s">
        <v>1983</v>
      </c>
      <c r="I2823" s="6" t="s">
        <v>69</v>
      </c>
      <c r="J2823" s="2" t="s">
        <v>1984</v>
      </c>
      <c r="K2823" s="2" t="s">
        <v>1985</v>
      </c>
      <c r="L2823" s="2" t="s">
        <v>28</v>
      </c>
      <c r="M2823" s="2" t="s">
        <v>5</v>
      </c>
      <c r="N2823" s="4">
        <v>17355.09</v>
      </c>
    </row>
    <row r="2824" spans="1:14" x14ac:dyDescent="0.25">
      <c r="A2824" s="2" t="s">
        <v>741</v>
      </c>
      <c r="B2824" s="2" t="s">
        <v>742</v>
      </c>
      <c r="C2824" s="3">
        <v>8</v>
      </c>
      <c r="D2824" s="4">
        <v>172.88</v>
      </c>
      <c r="E2824" s="4">
        <v>122</v>
      </c>
      <c r="F2824" s="4">
        <f t="shared" si="191"/>
        <v>50.879999999999995</v>
      </c>
      <c r="G2824" s="5">
        <f t="shared" si="192"/>
        <v>0.29430819065247571</v>
      </c>
      <c r="H2824" s="2" t="s">
        <v>1983</v>
      </c>
      <c r="I2824" s="6" t="s">
        <v>69</v>
      </c>
      <c r="J2824" s="2" t="s">
        <v>1984</v>
      </c>
      <c r="K2824" s="2" t="s">
        <v>1985</v>
      </c>
      <c r="L2824" s="2" t="s">
        <v>28</v>
      </c>
      <c r="M2824" s="2" t="s">
        <v>5</v>
      </c>
      <c r="N2824" s="4">
        <v>17355.09</v>
      </c>
    </row>
    <row r="2825" spans="1:14" x14ac:dyDescent="0.25">
      <c r="A2825" s="2" t="s">
        <v>183</v>
      </c>
      <c r="B2825" s="2" t="s">
        <v>184</v>
      </c>
      <c r="C2825" s="3">
        <v>58.65</v>
      </c>
      <c r="D2825" s="4">
        <v>1863.8969999999999</v>
      </c>
      <c r="E2825" s="4">
        <v>1290.3</v>
      </c>
      <c r="F2825" s="4">
        <f t="shared" si="191"/>
        <v>573.59699999999998</v>
      </c>
      <c r="G2825" s="5">
        <f t="shared" si="192"/>
        <v>0.30774071743234738</v>
      </c>
      <c r="H2825" s="2" t="s">
        <v>1983</v>
      </c>
      <c r="I2825" s="6" t="s">
        <v>69</v>
      </c>
      <c r="J2825" s="2" t="s">
        <v>1984</v>
      </c>
      <c r="K2825" s="2" t="s">
        <v>1985</v>
      </c>
      <c r="L2825" s="2" t="s">
        <v>28</v>
      </c>
      <c r="M2825" s="2" t="s">
        <v>5</v>
      </c>
      <c r="N2825" s="4">
        <v>17355.09</v>
      </c>
    </row>
    <row r="2826" spans="1:14" x14ac:dyDescent="0.25">
      <c r="A2826" s="2" t="s">
        <v>250</v>
      </c>
      <c r="B2826" s="2" t="s">
        <v>251</v>
      </c>
      <c r="C2826" s="3">
        <v>21</v>
      </c>
      <c r="D2826" s="4">
        <v>264.39</v>
      </c>
      <c r="E2826" s="4">
        <v>178.5</v>
      </c>
      <c r="F2826" s="4">
        <f t="shared" si="191"/>
        <v>85.889999999999986</v>
      </c>
      <c r="G2826" s="5">
        <f t="shared" si="192"/>
        <v>0.32486100079428115</v>
      </c>
      <c r="H2826" s="2" t="s">
        <v>1983</v>
      </c>
      <c r="I2826" s="6" t="s">
        <v>69</v>
      </c>
      <c r="J2826" s="2" t="s">
        <v>1984</v>
      </c>
      <c r="K2826" s="2" t="s">
        <v>1985</v>
      </c>
      <c r="L2826" s="2" t="s">
        <v>28</v>
      </c>
      <c r="M2826" s="2" t="s">
        <v>5</v>
      </c>
      <c r="N2826" s="4">
        <v>17355.09</v>
      </c>
    </row>
    <row r="2827" spans="1:14" x14ac:dyDescent="0.25">
      <c r="A2827" s="2" t="s">
        <v>593</v>
      </c>
      <c r="B2827" s="2" t="s">
        <v>594</v>
      </c>
      <c r="C2827" s="3">
        <v>28.82</v>
      </c>
      <c r="D2827" s="4">
        <v>268.02600000000001</v>
      </c>
      <c r="E2827" s="4">
        <v>167.15600000000001</v>
      </c>
      <c r="F2827" s="4">
        <f t="shared" si="191"/>
        <v>100.87</v>
      </c>
      <c r="G2827" s="5">
        <f t="shared" si="192"/>
        <v>0.37634408602150538</v>
      </c>
      <c r="H2827" s="2" t="s">
        <v>1983</v>
      </c>
      <c r="I2827" s="6" t="s">
        <v>69</v>
      </c>
      <c r="J2827" s="2" t="s">
        <v>1984</v>
      </c>
      <c r="K2827" s="2" t="s">
        <v>1985</v>
      </c>
      <c r="L2827" s="2" t="s">
        <v>28</v>
      </c>
      <c r="M2827" s="2" t="s">
        <v>5</v>
      </c>
      <c r="N2827" s="4">
        <v>17355.09</v>
      </c>
    </row>
    <row r="2828" spans="1:14" x14ac:dyDescent="0.25">
      <c r="A2828" s="2" t="s">
        <v>187</v>
      </c>
      <c r="B2828" s="2" t="s">
        <v>188</v>
      </c>
      <c r="C2828" s="3">
        <v>31.8</v>
      </c>
      <c r="D2828" s="4">
        <v>1033.818</v>
      </c>
      <c r="E2828" s="4">
        <v>699.6</v>
      </c>
      <c r="F2828" s="4">
        <f t="shared" si="191"/>
        <v>334.21799999999996</v>
      </c>
      <c r="G2828" s="5">
        <f t="shared" si="192"/>
        <v>0.32328514303291289</v>
      </c>
      <c r="H2828" s="2" t="s">
        <v>1983</v>
      </c>
      <c r="I2828" s="6" t="s">
        <v>69</v>
      </c>
      <c r="J2828" s="2" t="s">
        <v>1984</v>
      </c>
      <c r="K2828" s="2" t="s">
        <v>1985</v>
      </c>
      <c r="L2828" s="2" t="s">
        <v>28</v>
      </c>
      <c r="M2828" s="2" t="s">
        <v>5</v>
      </c>
      <c r="N2828" s="4">
        <v>17355.09</v>
      </c>
    </row>
    <row r="2830" spans="1:14" x14ac:dyDescent="0.25">
      <c r="A2830" s="13" t="s">
        <v>59</v>
      </c>
      <c r="B2830" s="21"/>
      <c r="C2830" s="22">
        <f>SUM(C2796:C2829)</f>
        <v>1192.17</v>
      </c>
      <c r="D2830" s="23">
        <f>SUM(D2796:D2829)</f>
        <v>17355.085700000003</v>
      </c>
      <c r="E2830" s="23">
        <f>SUM(E2796:E2829)</f>
        <v>12392.712100000001</v>
      </c>
      <c r="F2830" s="23">
        <f>D2830-E2830</f>
        <v>4962.3736000000026</v>
      </c>
      <c r="G2830" s="24">
        <f>IF(((D2830)=0),0,(D2830-E2830)/ D2830)</f>
        <v>0.2859319559568641</v>
      </c>
      <c r="H2830" s="21"/>
      <c r="I2830" s="21"/>
      <c r="J2830" s="21"/>
      <c r="K2830" s="21"/>
      <c r="L2830" s="21"/>
      <c r="M2830" s="21"/>
      <c r="N2830" s="21"/>
    </row>
    <row r="2832" spans="1:14" s="17" customFormat="1" ht="18.75" x14ac:dyDescent="0.3"/>
    <row r="2833" spans="1:14" s="7" customFormat="1" x14ac:dyDescent="0.25">
      <c r="A2833" s="13" t="s">
        <v>1986</v>
      </c>
      <c r="B2833" s="18" t="s">
        <v>1987</v>
      </c>
      <c r="C2833" s="19"/>
      <c r="D2833" s="20" t="s">
        <v>5</v>
      </c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</row>
    <row r="2835" spans="1:14" x14ac:dyDescent="0.25">
      <c r="A2835" s="2" t="s">
        <v>29</v>
      </c>
      <c r="B2835" s="2" t="s">
        <v>30</v>
      </c>
      <c r="C2835" s="3">
        <v>4</v>
      </c>
      <c r="D2835" s="4">
        <v>61.28</v>
      </c>
      <c r="E2835" s="4">
        <v>40</v>
      </c>
      <c r="F2835" s="4">
        <f>D2835-E2835</f>
        <v>21.28</v>
      </c>
      <c r="G2835" s="5">
        <f>IF(((D2835)=0),0,(D2835-E2835)/ D2835)</f>
        <v>0.3472584856396867</v>
      </c>
      <c r="H2835" s="2" t="s">
        <v>1988</v>
      </c>
      <c r="I2835" s="6" t="s">
        <v>69</v>
      </c>
      <c r="J2835" s="2" t="s">
        <v>1989</v>
      </c>
      <c r="K2835" s="2" t="s">
        <v>5</v>
      </c>
      <c r="L2835" s="2" t="s">
        <v>28</v>
      </c>
      <c r="M2835" s="2" t="s">
        <v>5</v>
      </c>
      <c r="N2835" s="4">
        <v>116.56</v>
      </c>
    </row>
    <row r="2836" spans="1:14" x14ac:dyDescent="0.25">
      <c r="A2836" s="2" t="s">
        <v>593</v>
      </c>
      <c r="B2836" s="2" t="s">
        <v>594</v>
      </c>
      <c r="C2836" s="3">
        <v>5.3</v>
      </c>
      <c r="D2836" s="4">
        <v>55.279000000000003</v>
      </c>
      <c r="E2836" s="4">
        <v>30.74</v>
      </c>
      <c r="F2836" s="4">
        <f>D2836-E2836</f>
        <v>24.539000000000005</v>
      </c>
      <c r="G2836" s="5">
        <f>IF(((D2836)=0),0,(D2836-E2836)/ D2836)</f>
        <v>0.44391179290508154</v>
      </c>
      <c r="H2836" s="2" t="s">
        <v>1988</v>
      </c>
      <c r="I2836" s="6" t="s">
        <v>69</v>
      </c>
      <c r="J2836" s="2" t="s">
        <v>1989</v>
      </c>
      <c r="K2836" s="2" t="s">
        <v>5</v>
      </c>
      <c r="L2836" s="2" t="s">
        <v>28</v>
      </c>
      <c r="M2836" s="2" t="s">
        <v>5</v>
      </c>
      <c r="N2836" s="4">
        <v>116.56</v>
      </c>
    </row>
    <row r="2838" spans="1:14" x14ac:dyDescent="0.25">
      <c r="A2838" s="13" t="s">
        <v>59</v>
      </c>
      <c r="B2838" s="21"/>
      <c r="C2838" s="22">
        <f>SUM(C2832:C2837)</f>
        <v>9.3000000000000007</v>
      </c>
      <c r="D2838" s="23">
        <f>SUM(D2832:D2837)</f>
        <v>116.559</v>
      </c>
      <c r="E2838" s="23">
        <f>SUM(E2832:E2837)</f>
        <v>70.739999999999995</v>
      </c>
      <c r="F2838" s="23">
        <f>D2838-E2838</f>
        <v>45.819000000000003</v>
      </c>
      <c r="G2838" s="24">
        <f>IF(((D2838)=0),0,(D2838-E2838)/ D2838)</f>
        <v>0.39309705814222845</v>
      </c>
      <c r="H2838" s="21"/>
      <c r="I2838" s="21"/>
      <c r="J2838" s="21"/>
      <c r="K2838" s="21"/>
      <c r="L2838" s="21"/>
      <c r="M2838" s="21"/>
      <c r="N2838" s="21"/>
    </row>
    <row r="2840" spans="1:14" s="17" customFormat="1" ht="18.75" x14ac:dyDescent="0.3"/>
    <row r="2841" spans="1:14" s="7" customFormat="1" x14ac:dyDescent="0.25">
      <c r="A2841" s="13" t="s">
        <v>1990</v>
      </c>
      <c r="B2841" s="18" t="s">
        <v>1991</v>
      </c>
      <c r="C2841" s="19"/>
      <c r="D2841" s="20" t="s">
        <v>5</v>
      </c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</row>
    <row r="2843" spans="1:14" x14ac:dyDescent="0.25">
      <c r="A2843" s="2" t="s">
        <v>146</v>
      </c>
      <c r="B2843" s="2" t="s">
        <v>147</v>
      </c>
      <c r="C2843" s="3">
        <v>22.45</v>
      </c>
      <c r="D2843" s="4">
        <v>343.70949999999999</v>
      </c>
      <c r="E2843" s="4">
        <v>253.685</v>
      </c>
      <c r="F2843" s="4">
        <f t="shared" ref="F2843:F2851" si="193">D2843-E2843</f>
        <v>90.024499999999989</v>
      </c>
      <c r="G2843" s="5">
        <f t="shared" ref="G2843:G2851" si="194">IF(((D2843)=0),0,(D2843-E2843)/ D2843)</f>
        <v>0.26192031352057477</v>
      </c>
      <c r="H2843" s="2" t="s">
        <v>1992</v>
      </c>
      <c r="I2843" s="6" t="s">
        <v>69</v>
      </c>
      <c r="J2843" s="2" t="s">
        <v>1993</v>
      </c>
      <c r="K2843" s="2" t="s">
        <v>5</v>
      </c>
      <c r="L2843" s="2" t="s">
        <v>28</v>
      </c>
      <c r="M2843" s="2" t="s">
        <v>5</v>
      </c>
      <c r="N2843" s="4">
        <v>2801.75</v>
      </c>
    </row>
    <row r="2844" spans="1:14" x14ac:dyDescent="0.25">
      <c r="A2844" s="2" t="s">
        <v>118</v>
      </c>
      <c r="B2844" s="2" t="s">
        <v>119</v>
      </c>
      <c r="C2844" s="3">
        <v>30.24</v>
      </c>
      <c r="D2844" s="4">
        <v>494.72640000000001</v>
      </c>
      <c r="E2844" s="4">
        <v>226.8</v>
      </c>
      <c r="F2844" s="4">
        <f t="shared" si="193"/>
        <v>267.9264</v>
      </c>
      <c r="G2844" s="5">
        <f t="shared" si="194"/>
        <v>0.54156479217603914</v>
      </c>
      <c r="H2844" s="2" t="s">
        <v>1992</v>
      </c>
      <c r="I2844" s="6" t="s">
        <v>69</v>
      </c>
      <c r="J2844" s="2" t="s">
        <v>1993</v>
      </c>
      <c r="K2844" s="2" t="s">
        <v>5</v>
      </c>
      <c r="L2844" s="2" t="s">
        <v>28</v>
      </c>
      <c r="M2844" s="2" t="s">
        <v>5</v>
      </c>
      <c r="N2844" s="4">
        <v>2801.75</v>
      </c>
    </row>
    <row r="2845" spans="1:14" x14ac:dyDescent="0.25">
      <c r="A2845" s="2" t="s">
        <v>1994</v>
      </c>
      <c r="B2845" s="2" t="s">
        <v>1995</v>
      </c>
      <c r="C2845" s="3">
        <v>35.5</v>
      </c>
      <c r="D2845" s="4">
        <v>572.61500000000001</v>
      </c>
      <c r="E2845" s="4">
        <v>443.75</v>
      </c>
      <c r="F2845" s="4">
        <f t="shared" si="193"/>
        <v>128.86500000000001</v>
      </c>
      <c r="G2845" s="5">
        <f t="shared" si="194"/>
        <v>0.2250464972101674</v>
      </c>
      <c r="H2845" s="2" t="s">
        <v>1996</v>
      </c>
      <c r="I2845" s="6" t="s">
        <v>69</v>
      </c>
      <c r="J2845" s="2" t="s">
        <v>1997</v>
      </c>
      <c r="K2845" s="2" t="s">
        <v>5</v>
      </c>
      <c r="L2845" s="2" t="s">
        <v>332</v>
      </c>
      <c r="M2845" s="2" t="s">
        <v>5</v>
      </c>
      <c r="N2845" s="4">
        <v>-555.58000000000004</v>
      </c>
    </row>
    <row r="2846" spans="1:14" x14ac:dyDescent="0.25">
      <c r="A2846" s="2" t="s">
        <v>1994</v>
      </c>
      <c r="B2846" s="2" t="s">
        <v>1995</v>
      </c>
      <c r="C2846" s="3">
        <v>56.24</v>
      </c>
      <c r="D2846" s="4">
        <v>907.15120000000002</v>
      </c>
      <c r="E2846" s="4">
        <v>703</v>
      </c>
      <c r="F2846" s="4">
        <f t="shared" si="193"/>
        <v>204.15120000000002</v>
      </c>
      <c r="G2846" s="5">
        <f t="shared" si="194"/>
        <v>0.2250464972101674</v>
      </c>
      <c r="H2846" s="2" t="s">
        <v>1992</v>
      </c>
      <c r="I2846" s="6" t="s">
        <v>69</v>
      </c>
      <c r="J2846" s="2" t="s">
        <v>1993</v>
      </c>
      <c r="K2846" s="2" t="s">
        <v>5</v>
      </c>
      <c r="L2846" s="2" t="s">
        <v>28</v>
      </c>
      <c r="M2846" s="2" t="s">
        <v>5</v>
      </c>
      <c r="N2846" s="4">
        <v>2801.75</v>
      </c>
    </row>
    <row r="2847" spans="1:14" x14ac:dyDescent="0.25">
      <c r="A2847" s="2" t="s">
        <v>1998</v>
      </c>
      <c r="B2847" s="2" t="s">
        <v>1999</v>
      </c>
      <c r="C2847" s="3">
        <v>6.0750000000000002</v>
      </c>
      <c r="D2847" s="4">
        <v>52.366500000000002</v>
      </c>
      <c r="E2847" s="4">
        <v>47.9925</v>
      </c>
      <c r="F2847" s="4">
        <f t="shared" si="193"/>
        <v>4.3740000000000023</v>
      </c>
      <c r="G2847" s="5">
        <f t="shared" si="194"/>
        <v>8.3526682134570804E-2</v>
      </c>
      <c r="H2847" s="2" t="s">
        <v>1992</v>
      </c>
      <c r="I2847" s="6" t="s">
        <v>69</v>
      </c>
      <c r="J2847" s="2" t="s">
        <v>1993</v>
      </c>
      <c r="K2847" s="2" t="s">
        <v>5</v>
      </c>
      <c r="L2847" s="2" t="s">
        <v>28</v>
      </c>
      <c r="M2847" s="2" t="s">
        <v>5</v>
      </c>
      <c r="N2847" s="4">
        <v>2801.75</v>
      </c>
    </row>
    <row r="2848" spans="1:14" x14ac:dyDescent="0.25">
      <c r="A2848" s="2" t="s">
        <v>589</v>
      </c>
      <c r="B2848" s="2" t="s">
        <v>590</v>
      </c>
      <c r="C2848" s="3">
        <v>25.8</v>
      </c>
      <c r="D2848" s="4">
        <v>565.02</v>
      </c>
      <c r="E2848" s="4">
        <v>354.75</v>
      </c>
      <c r="F2848" s="4">
        <f t="shared" si="193"/>
        <v>210.26999999999998</v>
      </c>
      <c r="G2848" s="5">
        <f t="shared" si="194"/>
        <v>0.37214611872146119</v>
      </c>
      <c r="H2848" s="2" t="s">
        <v>1992</v>
      </c>
      <c r="I2848" s="6" t="s">
        <v>69</v>
      </c>
      <c r="J2848" s="2" t="s">
        <v>1993</v>
      </c>
      <c r="K2848" s="2" t="s">
        <v>5</v>
      </c>
      <c r="L2848" s="2" t="s">
        <v>28</v>
      </c>
      <c r="M2848" s="2" t="s">
        <v>5</v>
      </c>
      <c r="N2848" s="4">
        <v>2801.75</v>
      </c>
    </row>
    <row r="2849" spans="1:14" x14ac:dyDescent="0.25">
      <c r="A2849" s="2" t="s">
        <v>183</v>
      </c>
      <c r="B2849" s="2" t="s">
        <v>184</v>
      </c>
      <c r="C2849" s="3">
        <v>-35.5</v>
      </c>
      <c r="D2849" s="4">
        <v>-1128.19</v>
      </c>
      <c r="E2849" s="4">
        <v>-781</v>
      </c>
      <c r="F2849" s="4">
        <f t="shared" si="193"/>
        <v>-347.19000000000005</v>
      </c>
      <c r="G2849" s="5">
        <f t="shared" si="194"/>
        <v>0.30774071743234743</v>
      </c>
      <c r="H2849" s="2" t="s">
        <v>1996</v>
      </c>
      <c r="I2849" s="6" t="s">
        <v>69</v>
      </c>
      <c r="J2849" s="2" t="s">
        <v>1997</v>
      </c>
      <c r="K2849" s="2" t="s">
        <v>5</v>
      </c>
      <c r="L2849" s="2" t="s">
        <v>332</v>
      </c>
      <c r="M2849" s="2" t="s">
        <v>5</v>
      </c>
      <c r="N2849" s="4">
        <v>-555.58000000000004</v>
      </c>
    </row>
    <row r="2850" spans="1:14" x14ac:dyDescent="0.25">
      <c r="A2850" s="2" t="s">
        <v>972</v>
      </c>
      <c r="B2850" s="2" t="s">
        <v>973</v>
      </c>
      <c r="C2850" s="3">
        <v>6.63</v>
      </c>
      <c r="D2850" s="4">
        <v>214.67939999999999</v>
      </c>
      <c r="E2850" s="4">
        <v>144.20249999999999</v>
      </c>
      <c r="F2850" s="4">
        <f t="shared" si="193"/>
        <v>70.476900000000001</v>
      </c>
      <c r="G2850" s="5">
        <f t="shared" si="194"/>
        <v>0.32828906732550961</v>
      </c>
      <c r="H2850" s="2" t="s">
        <v>1992</v>
      </c>
      <c r="I2850" s="6" t="s">
        <v>69</v>
      </c>
      <c r="J2850" s="2" t="s">
        <v>1993</v>
      </c>
      <c r="K2850" s="2" t="s">
        <v>5</v>
      </c>
      <c r="L2850" s="2" t="s">
        <v>28</v>
      </c>
      <c r="M2850" s="2" t="s">
        <v>5</v>
      </c>
      <c r="N2850" s="4">
        <v>2801.75</v>
      </c>
    </row>
    <row r="2851" spans="1:14" x14ac:dyDescent="0.25">
      <c r="A2851" s="2" t="s">
        <v>562</v>
      </c>
      <c r="B2851" s="2" t="s">
        <v>563</v>
      </c>
      <c r="C2851" s="3">
        <v>6.5949999999999998</v>
      </c>
      <c r="D2851" s="4">
        <v>224.09809999999999</v>
      </c>
      <c r="E2851" s="4">
        <v>145.09</v>
      </c>
      <c r="F2851" s="4">
        <f t="shared" si="193"/>
        <v>79.008099999999985</v>
      </c>
      <c r="G2851" s="5">
        <f t="shared" si="194"/>
        <v>0.35256032960565031</v>
      </c>
      <c r="H2851" s="2" t="s">
        <v>1992</v>
      </c>
      <c r="I2851" s="6" t="s">
        <v>69</v>
      </c>
      <c r="J2851" s="2" t="s">
        <v>1993</v>
      </c>
      <c r="K2851" s="2" t="s">
        <v>5</v>
      </c>
      <c r="L2851" s="2" t="s">
        <v>28</v>
      </c>
      <c r="M2851" s="2" t="s">
        <v>5</v>
      </c>
      <c r="N2851" s="4">
        <v>2801.75</v>
      </c>
    </row>
    <row r="2853" spans="1:14" x14ac:dyDescent="0.25">
      <c r="A2853" s="13" t="s">
        <v>59</v>
      </c>
      <c r="B2853" s="21"/>
      <c r="C2853" s="22">
        <f>SUM(C2840:C2852)</f>
        <v>154.03</v>
      </c>
      <c r="D2853" s="23">
        <f>SUM(D2840:D2852)</f>
        <v>2246.1761000000001</v>
      </c>
      <c r="E2853" s="23">
        <f>SUM(E2840:E2852)</f>
        <v>1538.2700000000002</v>
      </c>
      <c r="F2853" s="23">
        <f>D2853-E2853</f>
        <v>707.90609999999992</v>
      </c>
      <c r="G2853" s="24">
        <f>IF(((D2853)=0),0,(D2853-E2853)/ D2853)</f>
        <v>0.31516055219357014</v>
      </c>
      <c r="H2853" s="21"/>
      <c r="I2853" s="21"/>
      <c r="J2853" s="21"/>
      <c r="K2853" s="21"/>
      <c r="L2853" s="21"/>
      <c r="M2853" s="21"/>
      <c r="N2853" s="21"/>
    </row>
    <row r="2855" spans="1:14" s="17" customFormat="1" ht="18.75" x14ac:dyDescent="0.3"/>
    <row r="2856" spans="1:14" s="7" customFormat="1" x14ac:dyDescent="0.25">
      <c r="A2856" s="13" t="s">
        <v>2000</v>
      </c>
      <c r="B2856" s="18" t="s">
        <v>2001</v>
      </c>
      <c r="C2856" s="19"/>
      <c r="D2856" s="20" t="s">
        <v>5</v>
      </c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</row>
    <row r="2858" spans="1:14" x14ac:dyDescent="0.25">
      <c r="A2858" s="2" t="s">
        <v>1994</v>
      </c>
      <c r="B2858" s="2" t="s">
        <v>1995</v>
      </c>
      <c r="C2858" s="3">
        <v>16.22</v>
      </c>
      <c r="D2858" s="4">
        <v>261.62860000000001</v>
      </c>
      <c r="E2858" s="4">
        <v>202.75</v>
      </c>
      <c r="F2858" s="4">
        <f>D2858-E2858</f>
        <v>58.878600000000006</v>
      </c>
      <c r="G2858" s="5">
        <f>IF(((D2858)=0),0,(D2858-E2858)/ D2858)</f>
        <v>0.2250464972101674</v>
      </c>
      <c r="H2858" s="2" t="s">
        <v>2002</v>
      </c>
      <c r="I2858" s="6" t="s">
        <v>25</v>
      </c>
      <c r="J2858" s="2" t="s">
        <v>2003</v>
      </c>
      <c r="K2858" s="2" t="s">
        <v>5</v>
      </c>
      <c r="L2858" s="2" t="s">
        <v>28</v>
      </c>
      <c r="M2858" s="2" t="s">
        <v>5</v>
      </c>
      <c r="N2858" s="4">
        <v>1408.79</v>
      </c>
    </row>
    <row r="2859" spans="1:14" x14ac:dyDescent="0.25">
      <c r="A2859" s="2" t="s">
        <v>51</v>
      </c>
      <c r="B2859" s="2" t="s">
        <v>52</v>
      </c>
      <c r="C2859" s="3">
        <v>20.8</v>
      </c>
      <c r="D2859" s="4">
        <v>387.08800000000002</v>
      </c>
      <c r="E2859" s="4">
        <v>343.2</v>
      </c>
      <c r="F2859" s="4">
        <f>D2859-E2859</f>
        <v>43.888000000000034</v>
      </c>
      <c r="G2859" s="5">
        <f>IF(((D2859)=0),0,(D2859-E2859)/ D2859)</f>
        <v>0.11337990327780771</v>
      </c>
      <c r="H2859" s="2" t="s">
        <v>2002</v>
      </c>
      <c r="I2859" s="6" t="s">
        <v>25</v>
      </c>
      <c r="J2859" s="2" t="s">
        <v>2003</v>
      </c>
      <c r="K2859" s="2" t="s">
        <v>5</v>
      </c>
      <c r="L2859" s="2" t="s">
        <v>28</v>
      </c>
      <c r="M2859" s="2" t="s">
        <v>5</v>
      </c>
      <c r="N2859" s="4">
        <v>1408.79</v>
      </c>
    </row>
    <row r="2860" spans="1:14" x14ac:dyDescent="0.25">
      <c r="A2860" s="2" t="s">
        <v>334</v>
      </c>
      <c r="B2860" s="2" t="s">
        <v>335</v>
      </c>
      <c r="C2860" s="3">
        <v>22.68</v>
      </c>
      <c r="D2860" s="4">
        <v>390.77640000000002</v>
      </c>
      <c r="E2860" s="4">
        <v>335.66399999999999</v>
      </c>
      <c r="F2860" s="4">
        <f>D2860-E2860</f>
        <v>55.112400000000036</v>
      </c>
      <c r="G2860" s="5">
        <f>IF(((D2860)=0),0,(D2860-E2860)/ D2860)</f>
        <v>0.14103308183401053</v>
      </c>
      <c r="H2860" s="2" t="s">
        <v>2002</v>
      </c>
      <c r="I2860" s="6" t="s">
        <v>25</v>
      </c>
      <c r="J2860" s="2" t="s">
        <v>2003</v>
      </c>
      <c r="K2860" s="2" t="s">
        <v>5</v>
      </c>
      <c r="L2860" s="2" t="s">
        <v>28</v>
      </c>
      <c r="M2860" s="2" t="s">
        <v>5</v>
      </c>
      <c r="N2860" s="4">
        <v>1408.79</v>
      </c>
    </row>
    <row r="2861" spans="1:14" x14ac:dyDescent="0.25">
      <c r="A2861" s="2" t="s">
        <v>972</v>
      </c>
      <c r="B2861" s="2" t="s">
        <v>973</v>
      </c>
      <c r="C2861" s="3">
        <v>11.404999999999999</v>
      </c>
      <c r="D2861" s="4">
        <v>369.29390000000001</v>
      </c>
      <c r="E2861" s="4">
        <v>248.05875</v>
      </c>
      <c r="F2861" s="4">
        <f>D2861-E2861</f>
        <v>121.23515</v>
      </c>
      <c r="G2861" s="5">
        <f>IF(((D2861)=0),0,(D2861-E2861)/ D2861)</f>
        <v>0.32828906732550955</v>
      </c>
      <c r="H2861" s="2" t="s">
        <v>2002</v>
      </c>
      <c r="I2861" s="6" t="s">
        <v>25</v>
      </c>
      <c r="J2861" s="2" t="s">
        <v>2003</v>
      </c>
      <c r="K2861" s="2" t="s">
        <v>5</v>
      </c>
      <c r="L2861" s="2" t="s">
        <v>28</v>
      </c>
      <c r="M2861" s="2" t="s">
        <v>5</v>
      </c>
      <c r="N2861" s="4">
        <v>1408.79</v>
      </c>
    </row>
    <row r="2863" spans="1:14" x14ac:dyDescent="0.25">
      <c r="A2863" s="13" t="s">
        <v>59</v>
      </c>
      <c r="B2863" s="21"/>
      <c r="C2863" s="22">
        <f>SUM(C2855:C2862)</f>
        <v>71.10499999999999</v>
      </c>
      <c r="D2863" s="23">
        <f>SUM(D2855:D2862)</f>
        <v>1408.7869000000001</v>
      </c>
      <c r="E2863" s="23">
        <f>SUM(E2855:E2862)</f>
        <v>1129.67275</v>
      </c>
      <c r="F2863" s="23">
        <f>D2863-E2863</f>
        <v>279.11415000000011</v>
      </c>
      <c r="G2863" s="24">
        <f>IF(((D2863)=0),0,(D2863-E2863)/ D2863)</f>
        <v>0.19812375455791084</v>
      </c>
      <c r="H2863" s="21"/>
      <c r="I2863" s="21"/>
      <c r="J2863" s="21"/>
      <c r="K2863" s="21"/>
      <c r="L2863" s="21"/>
      <c r="M2863" s="21"/>
      <c r="N2863" s="21"/>
    </row>
    <row r="2865" spans="1:14" s="17" customFormat="1" ht="18.75" x14ac:dyDescent="0.3"/>
    <row r="2866" spans="1:14" s="7" customFormat="1" x14ac:dyDescent="0.25">
      <c r="A2866" s="13" t="s">
        <v>2004</v>
      </c>
      <c r="B2866" s="18" t="s">
        <v>2005</v>
      </c>
      <c r="C2866" s="19"/>
      <c r="D2866" s="20" t="s">
        <v>5</v>
      </c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</row>
    <row r="2868" spans="1:14" x14ac:dyDescent="0.25">
      <c r="A2868" s="2" t="s">
        <v>813</v>
      </c>
      <c r="B2868" s="2" t="s">
        <v>814</v>
      </c>
      <c r="C2868" s="3">
        <v>30</v>
      </c>
      <c r="D2868" s="4">
        <v>372.9</v>
      </c>
      <c r="E2868" s="4">
        <v>315.89999999999998</v>
      </c>
      <c r="F2868" s="4">
        <f>D2868-E2868</f>
        <v>57</v>
      </c>
      <c r="G2868" s="5">
        <f>IF(((D2868)=0),0,(D2868-E2868)/ D2868)</f>
        <v>0.15285599356395818</v>
      </c>
      <c r="H2868" s="2" t="s">
        <v>2006</v>
      </c>
      <c r="I2868" s="6" t="s">
        <v>25</v>
      </c>
      <c r="J2868" s="2" t="s">
        <v>2007</v>
      </c>
      <c r="K2868" s="2" t="s">
        <v>2008</v>
      </c>
      <c r="L2868" s="2" t="s">
        <v>28</v>
      </c>
      <c r="M2868" s="2" t="s">
        <v>5</v>
      </c>
      <c r="N2868" s="4">
        <v>1885.28</v>
      </c>
    </row>
    <row r="2869" spans="1:14" x14ac:dyDescent="0.25">
      <c r="A2869" s="2" t="s">
        <v>49</v>
      </c>
      <c r="B2869" s="2" t="s">
        <v>50</v>
      </c>
      <c r="C2869" s="3">
        <v>16</v>
      </c>
      <c r="D2869" s="4">
        <v>307.68</v>
      </c>
      <c r="E2869" s="4">
        <v>176.48</v>
      </c>
      <c r="F2869" s="4">
        <f>D2869-E2869</f>
        <v>131.20000000000002</v>
      </c>
      <c r="G2869" s="5">
        <f>IF(((D2869)=0),0,(D2869-E2869)/ D2869)</f>
        <v>0.42641705668226731</v>
      </c>
      <c r="H2869" s="2" t="s">
        <v>2006</v>
      </c>
      <c r="I2869" s="6" t="s">
        <v>25</v>
      </c>
      <c r="J2869" s="2" t="s">
        <v>2007</v>
      </c>
      <c r="K2869" s="2" t="s">
        <v>2008</v>
      </c>
      <c r="L2869" s="2" t="s">
        <v>28</v>
      </c>
      <c r="M2869" s="2" t="s">
        <v>5</v>
      </c>
      <c r="N2869" s="4">
        <v>1885.28</v>
      </c>
    </row>
    <row r="2870" spans="1:14" x14ac:dyDescent="0.25">
      <c r="A2870" s="2" t="s">
        <v>709</v>
      </c>
      <c r="B2870" s="2" t="s">
        <v>710</v>
      </c>
      <c r="C2870" s="3">
        <v>8.3849999999999998</v>
      </c>
      <c r="D2870" s="4">
        <v>119.48625</v>
      </c>
      <c r="E2870" s="4">
        <v>86.784750000000003</v>
      </c>
      <c r="F2870" s="4">
        <f>D2870-E2870</f>
        <v>32.701499999999996</v>
      </c>
      <c r="G2870" s="5">
        <f>IF(((D2870)=0),0,(D2870-E2870)/ D2870)</f>
        <v>0.27368421052631575</v>
      </c>
      <c r="H2870" s="2" t="s">
        <v>2006</v>
      </c>
      <c r="I2870" s="6" t="s">
        <v>25</v>
      </c>
      <c r="J2870" s="2" t="s">
        <v>2007</v>
      </c>
      <c r="K2870" s="2" t="s">
        <v>2008</v>
      </c>
      <c r="L2870" s="2" t="s">
        <v>28</v>
      </c>
      <c r="M2870" s="2" t="s">
        <v>5</v>
      </c>
      <c r="N2870" s="4">
        <v>1885.28</v>
      </c>
    </row>
    <row r="2871" spans="1:14" x14ac:dyDescent="0.25">
      <c r="A2871" s="2" t="s">
        <v>786</v>
      </c>
      <c r="B2871" s="2" t="s">
        <v>787</v>
      </c>
      <c r="C2871" s="3">
        <v>62.935000000000002</v>
      </c>
      <c r="D2871" s="4">
        <v>998.77845000000002</v>
      </c>
      <c r="E2871" s="4">
        <v>786.6875</v>
      </c>
      <c r="F2871" s="4">
        <f>D2871-E2871</f>
        <v>212.09095000000002</v>
      </c>
      <c r="G2871" s="5">
        <f>IF(((D2871)=0),0,(D2871-E2871)/ D2871)</f>
        <v>0.21235034656584753</v>
      </c>
      <c r="H2871" s="2" t="s">
        <v>2006</v>
      </c>
      <c r="I2871" s="6" t="s">
        <v>25</v>
      </c>
      <c r="J2871" s="2" t="s">
        <v>2007</v>
      </c>
      <c r="K2871" s="2" t="s">
        <v>2008</v>
      </c>
      <c r="L2871" s="2" t="s">
        <v>28</v>
      </c>
      <c r="M2871" s="2" t="s">
        <v>5</v>
      </c>
      <c r="N2871" s="4">
        <v>1885.28</v>
      </c>
    </row>
    <row r="2872" spans="1:14" x14ac:dyDescent="0.25">
      <c r="A2872" s="2" t="s">
        <v>741</v>
      </c>
      <c r="B2872" s="2" t="s">
        <v>742</v>
      </c>
      <c r="C2872" s="3">
        <v>4</v>
      </c>
      <c r="D2872" s="4">
        <v>86.44</v>
      </c>
      <c r="E2872" s="4">
        <v>61</v>
      </c>
      <c r="F2872" s="4">
        <f>D2872-E2872</f>
        <v>25.439999999999998</v>
      </c>
      <c r="G2872" s="5">
        <f>IF(((D2872)=0),0,(D2872-E2872)/ D2872)</f>
        <v>0.29430819065247571</v>
      </c>
      <c r="H2872" s="2" t="s">
        <v>2006</v>
      </c>
      <c r="I2872" s="6" t="s">
        <v>25</v>
      </c>
      <c r="J2872" s="2" t="s">
        <v>2007</v>
      </c>
      <c r="K2872" s="2" t="s">
        <v>2008</v>
      </c>
      <c r="L2872" s="2" t="s">
        <v>28</v>
      </c>
      <c r="M2872" s="2" t="s">
        <v>5</v>
      </c>
      <c r="N2872" s="4">
        <v>1885.28</v>
      </c>
    </row>
    <row r="2874" spans="1:14" x14ac:dyDescent="0.25">
      <c r="A2874" s="13" t="s">
        <v>59</v>
      </c>
      <c r="B2874" s="21"/>
      <c r="C2874" s="22">
        <f>SUM(C2865:C2873)</f>
        <v>121.32</v>
      </c>
      <c r="D2874" s="23">
        <f>SUM(D2865:D2873)</f>
        <v>1885.2847000000002</v>
      </c>
      <c r="E2874" s="23">
        <f>SUM(E2865:E2873)</f>
        <v>1426.8522499999999</v>
      </c>
      <c r="F2874" s="23">
        <f>D2874-E2874</f>
        <v>458.43245000000024</v>
      </c>
      <c r="G2874" s="24">
        <f>IF(((D2874)=0),0,(D2874-E2874)/ D2874)</f>
        <v>0.24316351265143149</v>
      </c>
      <c r="H2874" s="21"/>
      <c r="I2874" s="21"/>
      <c r="J2874" s="21"/>
      <c r="K2874" s="21"/>
      <c r="L2874" s="21"/>
      <c r="M2874" s="21"/>
      <c r="N2874" s="21"/>
    </row>
    <row r="2876" spans="1:14" s="17" customFormat="1" ht="18.75" x14ac:dyDescent="0.3"/>
    <row r="2877" spans="1:14" s="7" customFormat="1" x14ac:dyDescent="0.25">
      <c r="A2877" s="13" t="s">
        <v>2009</v>
      </c>
      <c r="B2877" s="18" t="s">
        <v>2010</v>
      </c>
      <c r="C2877" s="19"/>
      <c r="D2877" s="20" t="s">
        <v>5</v>
      </c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</row>
    <row r="2879" spans="1:14" x14ac:dyDescent="0.25">
      <c r="A2879" s="2" t="s">
        <v>566</v>
      </c>
      <c r="B2879" s="2" t="s">
        <v>567</v>
      </c>
      <c r="C2879" s="3">
        <v>15.1</v>
      </c>
      <c r="D2879" s="4">
        <v>236.768</v>
      </c>
      <c r="E2879" s="4">
        <v>172.14</v>
      </c>
      <c r="F2879" s="4">
        <f t="shared" ref="F2879:F2906" si="195">D2879-E2879</f>
        <v>64.628000000000014</v>
      </c>
      <c r="G2879" s="5">
        <f t="shared" ref="G2879:G2906" si="196">IF(((D2879)=0),0,(D2879-E2879)/ D2879)</f>
        <v>0.27295918367346944</v>
      </c>
      <c r="H2879" s="2" t="s">
        <v>2011</v>
      </c>
      <c r="I2879" s="6" t="s">
        <v>32</v>
      </c>
      <c r="J2879" s="2" t="s">
        <v>2012</v>
      </c>
      <c r="K2879" s="2" t="s">
        <v>2013</v>
      </c>
      <c r="L2879" s="2" t="s">
        <v>28</v>
      </c>
      <c r="M2879" s="2" t="s">
        <v>5</v>
      </c>
      <c r="N2879" s="4">
        <v>12741.88</v>
      </c>
    </row>
    <row r="2880" spans="1:14" x14ac:dyDescent="0.25">
      <c r="A2880" s="2" t="s">
        <v>22</v>
      </c>
      <c r="B2880" s="2" t="s">
        <v>23</v>
      </c>
      <c r="C2880" s="3">
        <v>44.96</v>
      </c>
      <c r="D2880" s="4">
        <v>553.00800000000004</v>
      </c>
      <c r="E2880" s="4">
        <v>494.56</v>
      </c>
      <c r="F2880" s="4">
        <f t="shared" si="195"/>
        <v>58.448000000000036</v>
      </c>
      <c r="G2880" s="5">
        <f t="shared" si="196"/>
        <v>0.10569105691056917</v>
      </c>
      <c r="H2880" s="2" t="s">
        <v>2011</v>
      </c>
      <c r="I2880" s="6" t="s">
        <v>32</v>
      </c>
      <c r="J2880" s="2" t="s">
        <v>2012</v>
      </c>
      <c r="K2880" s="2" t="s">
        <v>2013</v>
      </c>
      <c r="L2880" s="2" t="s">
        <v>28</v>
      </c>
      <c r="M2880" s="2" t="s">
        <v>5</v>
      </c>
      <c r="N2880" s="4">
        <v>12741.88</v>
      </c>
    </row>
    <row r="2881" spans="1:14" x14ac:dyDescent="0.25">
      <c r="A2881" s="2" t="s">
        <v>29</v>
      </c>
      <c r="B2881" s="2" t="s">
        <v>30</v>
      </c>
      <c r="C2881" s="3">
        <v>10.039999999999999</v>
      </c>
      <c r="D2881" s="4">
        <v>127.4076</v>
      </c>
      <c r="E2881" s="4">
        <v>100.4</v>
      </c>
      <c r="F2881" s="4">
        <f t="shared" si="195"/>
        <v>27.007599999999996</v>
      </c>
      <c r="G2881" s="5">
        <f t="shared" si="196"/>
        <v>0.21197793538219067</v>
      </c>
      <c r="H2881" s="2" t="s">
        <v>2011</v>
      </c>
      <c r="I2881" s="6" t="s">
        <v>32</v>
      </c>
      <c r="J2881" s="2" t="s">
        <v>2012</v>
      </c>
      <c r="K2881" s="2" t="s">
        <v>2013</v>
      </c>
      <c r="L2881" s="2" t="s">
        <v>28</v>
      </c>
      <c r="M2881" s="2" t="s">
        <v>5</v>
      </c>
      <c r="N2881" s="4">
        <v>12741.88</v>
      </c>
    </row>
    <row r="2882" spans="1:14" x14ac:dyDescent="0.25">
      <c r="A2882" s="2" t="s">
        <v>196</v>
      </c>
      <c r="B2882" s="2" t="s">
        <v>197</v>
      </c>
      <c r="C2882" s="3">
        <v>18.14</v>
      </c>
      <c r="D2882" s="4">
        <v>340.66919999999999</v>
      </c>
      <c r="E2882" s="4">
        <v>324.70600000000002</v>
      </c>
      <c r="F2882" s="4">
        <f t="shared" si="195"/>
        <v>15.963199999999972</v>
      </c>
      <c r="G2882" s="5">
        <f t="shared" si="196"/>
        <v>4.685835995740141E-2</v>
      </c>
      <c r="H2882" s="2" t="s">
        <v>2011</v>
      </c>
      <c r="I2882" s="6" t="s">
        <v>32</v>
      </c>
      <c r="J2882" s="2" t="s">
        <v>2012</v>
      </c>
      <c r="K2882" s="2" t="s">
        <v>2013</v>
      </c>
      <c r="L2882" s="2" t="s">
        <v>28</v>
      </c>
      <c r="M2882" s="2" t="s">
        <v>5</v>
      </c>
      <c r="N2882" s="4">
        <v>12741.88</v>
      </c>
    </row>
    <row r="2883" spans="1:14" x14ac:dyDescent="0.25">
      <c r="A2883" s="2" t="s">
        <v>797</v>
      </c>
      <c r="B2883" s="2" t="s">
        <v>798</v>
      </c>
      <c r="C2883" s="3">
        <v>15.17</v>
      </c>
      <c r="D2883" s="4">
        <v>146.9973</v>
      </c>
      <c r="E2883" s="4">
        <v>83.435000000000002</v>
      </c>
      <c r="F2883" s="4">
        <f t="shared" si="195"/>
        <v>63.562299999999993</v>
      </c>
      <c r="G2883" s="5">
        <f t="shared" si="196"/>
        <v>0.43240454076367385</v>
      </c>
      <c r="H2883" s="2" t="s">
        <v>2011</v>
      </c>
      <c r="I2883" s="6" t="s">
        <v>32</v>
      </c>
      <c r="J2883" s="2" t="s">
        <v>2012</v>
      </c>
      <c r="K2883" s="2" t="s">
        <v>2013</v>
      </c>
      <c r="L2883" s="2" t="s">
        <v>28</v>
      </c>
      <c r="M2883" s="2" t="s">
        <v>5</v>
      </c>
      <c r="N2883" s="4">
        <v>12741.88</v>
      </c>
    </row>
    <row r="2884" spans="1:14" x14ac:dyDescent="0.25">
      <c r="A2884" s="2" t="s">
        <v>575</v>
      </c>
      <c r="B2884" s="2" t="s">
        <v>576</v>
      </c>
      <c r="C2884" s="3">
        <v>45.31</v>
      </c>
      <c r="D2884" s="4">
        <v>907.10619999999994</v>
      </c>
      <c r="E2884" s="4">
        <v>464.42750000000001</v>
      </c>
      <c r="F2884" s="4">
        <f t="shared" si="195"/>
        <v>442.67869999999994</v>
      </c>
      <c r="G2884" s="5">
        <f t="shared" si="196"/>
        <v>0.48801198801198797</v>
      </c>
      <c r="H2884" s="2" t="s">
        <v>2011</v>
      </c>
      <c r="I2884" s="6" t="s">
        <v>32</v>
      </c>
      <c r="J2884" s="2" t="s">
        <v>2012</v>
      </c>
      <c r="K2884" s="2" t="s">
        <v>2013</v>
      </c>
      <c r="L2884" s="2" t="s">
        <v>28</v>
      </c>
      <c r="M2884" s="2" t="s">
        <v>5</v>
      </c>
      <c r="N2884" s="4">
        <v>12741.88</v>
      </c>
    </row>
    <row r="2885" spans="1:14" x14ac:dyDescent="0.25">
      <c r="A2885" s="2" t="s">
        <v>148</v>
      </c>
      <c r="B2885" s="2" t="s">
        <v>149</v>
      </c>
      <c r="C2885" s="3">
        <v>40</v>
      </c>
      <c r="D2885" s="4">
        <v>399.2</v>
      </c>
      <c r="E2885" s="4">
        <v>162</v>
      </c>
      <c r="F2885" s="4">
        <f t="shared" si="195"/>
        <v>237.2</v>
      </c>
      <c r="G2885" s="5">
        <f t="shared" si="196"/>
        <v>0.594188376753507</v>
      </c>
      <c r="H2885" s="2" t="s">
        <v>2011</v>
      </c>
      <c r="I2885" s="6" t="s">
        <v>32</v>
      </c>
      <c r="J2885" s="2" t="s">
        <v>2012</v>
      </c>
      <c r="K2885" s="2" t="s">
        <v>2013</v>
      </c>
      <c r="L2885" s="2" t="s">
        <v>28</v>
      </c>
      <c r="M2885" s="2" t="s">
        <v>5</v>
      </c>
      <c r="N2885" s="4">
        <v>12741.88</v>
      </c>
    </row>
    <row r="2886" spans="1:14" x14ac:dyDescent="0.25">
      <c r="A2886" s="2" t="s">
        <v>150</v>
      </c>
      <c r="B2886" s="2" t="s">
        <v>151</v>
      </c>
      <c r="C2886" s="3">
        <v>15.8</v>
      </c>
      <c r="D2886" s="4">
        <v>206.822</v>
      </c>
      <c r="E2886" s="4">
        <v>154.84</v>
      </c>
      <c r="F2886" s="4">
        <f t="shared" si="195"/>
        <v>51.981999999999999</v>
      </c>
      <c r="G2886" s="5">
        <f t="shared" si="196"/>
        <v>0.25133689839572193</v>
      </c>
      <c r="H2886" s="2" t="s">
        <v>2011</v>
      </c>
      <c r="I2886" s="6" t="s">
        <v>32</v>
      </c>
      <c r="J2886" s="2" t="s">
        <v>2012</v>
      </c>
      <c r="K2886" s="2" t="s">
        <v>2013</v>
      </c>
      <c r="L2886" s="2" t="s">
        <v>28</v>
      </c>
      <c r="M2886" s="2" t="s">
        <v>5</v>
      </c>
      <c r="N2886" s="4">
        <v>12741.88</v>
      </c>
    </row>
    <row r="2887" spans="1:14" x14ac:dyDescent="0.25">
      <c r="A2887" s="2" t="s">
        <v>1216</v>
      </c>
      <c r="B2887" s="2" t="s">
        <v>1217</v>
      </c>
      <c r="C2887" s="3">
        <v>47.65</v>
      </c>
      <c r="D2887" s="4">
        <v>344.98599999999999</v>
      </c>
      <c r="E2887" s="4">
        <v>166.77500000000001</v>
      </c>
      <c r="F2887" s="4">
        <f t="shared" si="195"/>
        <v>178.21099999999998</v>
      </c>
      <c r="G2887" s="5">
        <f t="shared" si="196"/>
        <v>0.51657458563535907</v>
      </c>
      <c r="H2887" s="2" t="s">
        <v>2011</v>
      </c>
      <c r="I2887" s="6" t="s">
        <v>32</v>
      </c>
      <c r="J2887" s="2" t="s">
        <v>2012</v>
      </c>
      <c r="K2887" s="2" t="s">
        <v>2013</v>
      </c>
      <c r="L2887" s="2" t="s">
        <v>28</v>
      </c>
      <c r="M2887" s="2" t="s">
        <v>5</v>
      </c>
      <c r="N2887" s="4">
        <v>12741.88</v>
      </c>
    </row>
    <row r="2888" spans="1:14" x14ac:dyDescent="0.25">
      <c r="A2888" s="2" t="s">
        <v>611</v>
      </c>
      <c r="B2888" s="2" t="s">
        <v>612</v>
      </c>
      <c r="C2888" s="3">
        <v>47.35</v>
      </c>
      <c r="D2888" s="4">
        <v>283.62650000000002</v>
      </c>
      <c r="E2888" s="4">
        <v>170.46</v>
      </c>
      <c r="F2888" s="4">
        <f t="shared" si="195"/>
        <v>113.16650000000001</v>
      </c>
      <c r="G2888" s="5">
        <f t="shared" si="196"/>
        <v>0.39899833055091821</v>
      </c>
      <c r="H2888" s="2" t="s">
        <v>2011</v>
      </c>
      <c r="I2888" s="6" t="s">
        <v>32</v>
      </c>
      <c r="J2888" s="2" t="s">
        <v>2012</v>
      </c>
      <c r="K2888" s="2" t="s">
        <v>2013</v>
      </c>
      <c r="L2888" s="2" t="s">
        <v>28</v>
      </c>
      <c r="M2888" s="2" t="s">
        <v>5</v>
      </c>
      <c r="N2888" s="4">
        <v>12741.88</v>
      </c>
    </row>
    <row r="2889" spans="1:14" x14ac:dyDescent="0.25">
      <c r="A2889" s="2" t="s">
        <v>118</v>
      </c>
      <c r="B2889" s="2" t="s">
        <v>119</v>
      </c>
      <c r="C2889" s="3">
        <v>36</v>
      </c>
      <c r="D2889" s="4">
        <v>507.96</v>
      </c>
      <c r="E2889" s="4">
        <v>270</v>
      </c>
      <c r="F2889" s="4">
        <f t="shared" si="195"/>
        <v>237.95999999999998</v>
      </c>
      <c r="G2889" s="5">
        <f t="shared" si="196"/>
        <v>0.46846208362863218</v>
      </c>
      <c r="H2889" s="2" t="s">
        <v>2011</v>
      </c>
      <c r="I2889" s="6" t="s">
        <v>32</v>
      </c>
      <c r="J2889" s="2" t="s">
        <v>2012</v>
      </c>
      <c r="K2889" s="2" t="s">
        <v>2013</v>
      </c>
      <c r="L2889" s="2" t="s">
        <v>28</v>
      </c>
      <c r="M2889" s="2" t="s">
        <v>5</v>
      </c>
      <c r="N2889" s="4">
        <v>12741.88</v>
      </c>
    </row>
    <row r="2890" spans="1:14" x14ac:dyDescent="0.25">
      <c r="A2890" s="2" t="s">
        <v>705</v>
      </c>
      <c r="B2890" s="2" t="s">
        <v>706</v>
      </c>
      <c r="C2890" s="3">
        <v>20</v>
      </c>
      <c r="D2890" s="4">
        <v>262.8</v>
      </c>
      <c r="E2890" s="4">
        <v>150</v>
      </c>
      <c r="F2890" s="4">
        <f t="shared" si="195"/>
        <v>112.80000000000001</v>
      </c>
      <c r="G2890" s="5">
        <f t="shared" si="196"/>
        <v>0.42922374429223747</v>
      </c>
      <c r="H2890" s="2" t="s">
        <v>2011</v>
      </c>
      <c r="I2890" s="6" t="s">
        <v>32</v>
      </c>
      <c r="J2890" s="2" t="s">
        <v>2012</v>
      </c>
      <c r="K2890" s="2" t="s">
        <v>2013</v>
      </c>
      <c r="L2890" s="2" t="s">
        <v>28</v>
      </c>
      <c r="M2890" s="2" t="s">
        <v>5</v>
      </c>
      <c r="N2890" s="4">
        <v>12741.88</v>
      </c>
    </row>
    <row r="2891" spans="1:14" x14ac:dyDescent="0.25">
      <c r="A2891" s="2" t="s">
        <v>601</v>
      </c>
      <c r="B2891" s="2" t="s">
        <v>602</v>
      </c>
      <c r="C2891" s="3">
        <v>28.015000000000001</v>
      </c>
      <c r="D2891" s="4">
        <v>167.80985000000001</v>
      </c>
      <c r="E2891" s="4">
        <v>100.854</v>
      </c>
      <c r="F2891" s="4">
        <f t="shared" si="195"/>
        <v>66.955850000000012</v>
      </c>
      <c r="G2891" s="5">
        <f t="shared" si="196"/>
        <v>0.39899833055091827</v>
      </c>
      <c r="H2891" s="2" t="s">
        <v>2011</v>
      </c>
      <c r="I2891" s="6" t="s">
        <v>32</v>
      </c>
      <c r="J2891" s="2" t="s">
        <v>2012</v>
      </c>
      <c r="K2891" s="2" t="s">
        <v>2013</v>
      </c>
      <c r="L2891" s="2" t="s">
        <v>28</v>
      </c>
      <c r="M2891" s="2" t="s">
        <v>5</v>
      </c>
      <c r="N2891" s="4">
        <v>12741.88</v>
      </c>
    </row>
    <row r="2892" spans="1:14" x14ac:dyDescent="0.25">
      <c r="A2892" s="2" t="s">
        <v>156</v>
      </c>
      <c r="B2892" s="2" t="s">
        <v>157</v>
      </c>
      <c r="C2892" s="3">
        <v>29.204999999999998</v>
      </c>
      <c r="D2892" s="4">
        <v>350.16795000000002</v>
      </c>
      <c r="E2892" s="4">
        <v>262.84500000000003</v>
      </c>
      <c r="F2892" s="4">
        <f t="shared" si="195"/>
        <v>87.322949999999992</v>
      </c>
      <c r="G2892" s="5">
        <f t="shared" si="196"/>
        <v>0.24937447873227686</v>
      </c>
      <c r="H2892" s="2" t="s">
        <v>2011</v>
      </c>
      <c r="I2892" s="6" t="s">
        <v>32</v>
      </c>
      <c r="J2892" s="2" t="s">
        <v>2012</v>
      </c>
      <c r="K2892" s="2" t="s">
        <v>2013</v>
      </c>
      <c r="L2892" s="2" t="s">
        <v>28</v>
      </c>
      <c r="M2892" s="2" t="s">
        <v>5</v>
      </c>
      <c r="N2892" s="4">
        <v>12741.88</v>
      </c>
    </row>
    <row r="2893" spans="1:14" x14ac:dyDescent="0.25">
      <c r="A2893" s="2" t="s">
        <v>603</v>
      </c>
      <c r="B2893" s="2" t="s">
        <v>604</v>
      </c>
      <c r="C2893" s="3">
        <v>27.55</v>
      </c>
      <c r="D2893" s="4">
        <v>473.86</v>
      </c>
      <c r="E2893" s="4">
        <v>319.58</v>
      </c>
      <c r="F2893" s="4">
        <f t="shared" si="195"/>
        <v>154.28000000000003</v>
      </c>
      <c r="G2893" s="5">
        <f t="shared" si="196"/>
        <v>0.32558139534883729</v>
      </c>
      <c r="H2893" s="2" t="s">
        <v>2011</v>
      </c>
      <c r="I2893" s="6" t="s">
        <v>32</v>
      </c>
      <c r="J2893" s="2" t="s">
        <v>2012</v>
      </c>
      <c r="K2893" s="2" t="s">
        <v>2013</v>
      </c>
      <c r="L2893" s="2" t="s">
        <v>28</v>
      </c>
      <c r="M2893" s="2" t="s">
        <v>5</v>
      </c>
      <c r="N2893" s="4">
        <v>12741.88</v>
      </c>
    </row>
    <row r="2894" spans="1:14" x14ac:dyDescent="0.25">
      <c r="A2894" s="2" t="s">
        <v>51</v>
      </c>
      <c r="B2894" s="2" t="s">
        <v>52</v>
      </c>
      <c r="C2894" s="3">
        <v>47.46</v>
      </c>
      <c r="D2894" s="4">
        <v>816.31200000000001</v>
      </c>
      <c r="E2894" s="4">
        <v>783.09</v>
      </c>
      <c r="F2894" s="4">
        <f t="shared" si="195"/>
        <v>33.22199999999998</v>
      </c>
      <c r="G2894" s="5">
        <f t="shared" si="196"/>
        <v>4.0697674418604626E-2</v>
      </c>
      <c r="H2894" s="2" t="s">
        <v>2011</v>
      </c>
      <c r="I2894" s="6" t="s">
        <v>32</v>
      </c>
      <c r="J2894" s="2" t="s">
        <v>2012</v>
      </c>
      <c r="K2894" s="2" t="s">
        <v>2013</v>
      </c>
      <c r="L2894" s="2" t="s">
        <v>28</v>
      </c>
      <c r="M2894" s="2" t="s">
        <v>5</v>
      </c>
      <c r="N2894" s="4">
        <v>12741.88</v>
      </c>
    </row>
    <row r="2895" spans="1:14" x14ac:dyDescent="0.25">
      <c r="A2895" s="2" t="s">
        <v>215</v>
      </c>
      <c r="B2895" s="2" t="s">
        <v>216</v>
      </c>
      <c r="C2895" s="3">
        <v>43.06</v>
      </c>
      <c r="D2895" s="4">
        <v>802.20780000000002</v>
      </c>
      <c r="E2895" s="4">
        <v>656.66499999999996</v>
      </c>
      <c r="F2895" s="4">
        <f t="shared" si="195"/>
        <v>145.54280000000006</v>
      </c>
      <c r="G2895" s="5">
        <f t="shared" si="196"/>
        <v>0.18142780461621047</v>
      </c>
      <c r="H2895" s="2" t="s">
        <v>2011</v>
      </c>
      <c r="I2895" s="6" t="s">
        <v>32</v>
      </c>
      <c r="J2895" s="2" t="s">
        <v>2012</v>
      </c>
      <c r="K2895" s="2" t="s">
        <v>2013</v>
      </c>
      <c r="L2895" s="2" t="s">
        <v>28</v>
      </c>
      <c r="M2895" s="2" t="s">
        <v>5</v>
      </c>
      <c r="N2895" s="4">
        <v>12741.88</v>
      </c>
    </row>
    <row r="2896" spans="1:14" x14ac:dyDescent="0.25">
      <c r="A2896" s="2" t="s">
        <v>624</v>
      </c>
      <c r="B2896" s="2" t="s">
        <v>625</v>
      </c>
      <c r="C2896" s="3">
        <v>15.59</v>
      </c>
      <c r="D2896" s="4">
        <v>197.21350000000001</v>
      </c>
      <c r="E2896" s="4">
        <v>116.925</v>
      </c>
      <c r="F2896" s="4">
        <f t="shared" si="195"/>
        <v>80.288500000000013</v>
      </c>
      <c r="G2896" s="5">
        <f t="shared" si="196"/>
        <v>0.40711462450592889</v>
      </c>
      <c r="H2896" s="2" t="s">
        <v>2011</v>
      </c>
      <c r="I2896" s="6" t="s">
        <v>32</v>
      </c>
      <c r="J2896" s="2" t="s">
        <v>2012</v>
      </c>
      <c r="K2896" s="2" t="s">
        <v>2013</v>
      </c>
      <c r="L2896" s="2" t="s">
        <v>28</v>
      </c>
      <c r="M2896" s="2" t="s">
        <v>5</v>
      </c>
      <c r="N2896" s="4">
        <v>12741.88</v>
      </c>
    </row>
    <row r="2897" spans="1:14" x14ac:dyDescent="0.25">
      <c r="A2897" s="2" t="s">
        <v>53</v>
      </c>
      <c r="B2897" s="2" t="s">
        <v>54</v>
      </c>
      <c r="C2897" s="3">
        <v>31.5</v>
      </c>
      <c r="D2897" s="4">
        <v>321.3</v>
      </c>
      <c r="E2897" s="4">
        <v>229.95</v>
      </c>
      <c r="F2897" s="4">
        <f t="shared" si="195"/>
        <v>91.350000000000023</v>
      </c>
      <c r="G2897" s="5">
        <f t="shared" si="196"/>
        <v>0.28431372549019612</v>
      </c>
      <c r="H2897" s="2" t="s">
        <v>2011</v>
      </c>
      <c r="I2897" s="6" t="s">
        <v>32</v>
      </c>
      <c r="J2897" s="2" t="s">
        <v>2012</v>
      </c>
      <c r="K2897" s="2" t="s">
        <v>2013</v>
      </c>
      <c r="L2897" s="2" t="s">
        <v>28</v>
      </c>
      <c r="M2897" s="2" t="s">
        <v>5</v>
      </c>
      <c r="N2897" s="4">
        <v>12741.88</v>
      </c>
    </row>
    <row r="2898" spans="1:14" x14ac:dyDescent="0.25">
      <c r="A2898" s="2" t="s">
        <v>585</v>
      </c>
      <c r="B2898" s="2" t="s">
        <v>586</v>
      </c>
      <c r="C2898" s="3">
        <v>20.204999999999998</v>
      </c>
      <c r="D2898" s="4">
        <v>328.73534999999998</v>
      </c>
      <c r="E2898" s="4">
        <v>308.12625000000003</v>
      </c>
      <c r="F2898" s="4">
        <f t="shared" si="195"/>
        <v>20.609099999999955</v>
      </c>
      <c r="G2898" s="5">
        <f t="shared" si="196"/>
        <v>6.269207129686527E-2</v>
      </c>
      <c r="H2898" s="2" t="s">
        <v>2011</v>
      </c>
      <c r="I2898" s="6" t="s">
        <v>32</v>
      </c>
      <c r="J2898" s="2" t="s">
        <v>2012</v>
      </c>
      <c r="K2898" s="2" t="s">
        <v>2013</v>
      </c>
      <c r="L2898" s="2" t="s">
        <v>28</v>
      </c>
      <c r="M2898" s="2" t="s">
        <v>5</v>
      </c>
      <c r="N2898" s="4">
        <v>12741.88</v>
      </c>
    </row>
    <row r="2899" spans="1:14" x14ac:dyDescent="0.25">
      <c r="A2899" s="2" t="s">
        <v>589</v>
      </c>
      <c r="B2899" s="2" t="s">
        <v>590</v>
      </c>
      <c r="C2899" s="3">
        <v>42.72</v>
      </c>
      <c r="D2899" s="4">
        <v>778.35839999999996</v>
      </c>
      <c r="E2899" s="4">
        <v>587.4</v>
      </c>
      <c r="F2899" s="4">
        <f t="shared" si="195"/>
        <v>190.95839999999998</v>
      </c>
      <c r="G2899" s="5">
        <f t="shared" si="196"/>
        <v>0.24533479692645443</v>
      </c>
      <c r="H2899" s="2" t="s">
        <v>2011</v>
      </c>
      <c r="I2899" s="6" t="s">
        <v>32</v>
      </c>
      <c r="J2899" s="2" t="s">
        <v>2012</v>
      </c>
      <c r="K2899" s="2" t="s">
        <v>2013</v>
      </c>
      <c r="L2899" s="2" t="s">
        <v>28</v>
      </c>
      <c r="M2899" s="2" t="s">
        <v>5</v>
      </c>
      <c r="N2899" s="4">
        <v>12741.88</v>
      </c>
    </row>
    <row r="2900" spans="1:14" x14ac:dyDescent="0.25">
      <c r="A2900" s="2" t="s">
        <v>741</v>
      </c>
      <c r="B2900" s="2" t="s">
        <v>742</v>
      </c>
      <c r="C2900" s="3">
        <v>16</v>
      </c>
      <c r="D2900" s="4">
        <v>325.76</v>
      </c>
      <c r="E2900" s="4">
        <v>244</v>
      </c>
      <c r="F2900" s="4">
        <f t="shared" si="195"/>
        <v>81.759999999999991</v>
      </c>
      <c r="G2900" s="5">
        <f t="shared" si="196"/>
        <v>0.25098231827111983</v>
      </c>
      <c r="H2900" s="2" t="s">
        <v>2011</v>
      </c>
      <c r="I2900" s="6" t="s">
        <v>32</v>
      </c>
      <c r="J2900" s="2" t="s">
        <v>2012</v>
      </c>
      <c r="K2900" s="2" t="s">
        <v>2013</v>
      </c>
      <c r="L2900" s="2" t="s">
        <v>28</v>
      </c>
      <c r="M2900" s="2" t="s">
        <v>5</v>
      </c>
      <c r="N2900" s="4">
        <v>12741.88</v>
      </c>
    </row>
    <row r="2901" spans="1:14" x14ac:dyDescent="0.25">
      <c r="A2901" s="2" t="s">
        <v>256</v>
      </c>
      <c r="B2901" s="2" t="s">
        <v>257</v>
      </c>
      <c r="C2901" s="3">
        <v>16</v>
      </c>
      <c r="D2901" s="4">
        <v>327.52</v>
      </c>
      <c r="E2901" s="4">
        <v>258.24</v>
      </c>
      <c r="F2901" s="4">
        <f t="shared" si="195"/>
        <v>69.279999999999973</v>
      </c>
      <c r="G2901" s="5">
        <f t="shared" si="196"/>
        <v>0.21152906692721049</v>
      </c>
      <c r="H2901" s="2" t="s">
        <v>2011</v>
      </c>
      <c r="I2901" s="6" t="s">
        <v>32</v>
      </c>
      <c r="J2901" s="2" t="s">
        <v>2012</v>
      </c>
      <c r="K2901" s="2" t="s">
        <v>2013</v>
      </c>
      <c r="L2901" s="2" t="s">
        <v>28</v>
      </c>
      <c r="M2901" s="2" t="s">
        <v>5</v>
      </c>
      <c r="N2901" s="4">
        <v>12741.88</v>
      </c>
    </row>
    <row r="2902" spans="1:14" x14ac:dyDescent="0.25">
      <c r="A2902" s="2" t="s">
        <v>124</v>
      </c>
      <c r="B2902" s="2" t="s">
        <v>125</v>
      </c>
      <c r="C2902" s="3">
        <v>43.185000000000002</v>
      </c>
      <c r="D2902" s="4">
        <v>1183.7008499999999</v>
      </c>
      <c r="E2902" s="4">
        <v>939.27374999999995</v>
      </c>
      <c r="F2902" s="4">
        <f t="shared" si="195"/>
        <v>244.4271</v>
      </c>
      <c r="G2902" s="5">
        <f t="shared" si="196"/>
        <v>0.20649398029916088</v>
      </c>
      <c r="H2902" s="2" t="s">
        <v>2011</v>
      </c>
      <c r="I2902" s="6" t="s">
        <v>32</v>
      </c>
      <c r="J2902" s="2" t="s">
        <v>2012</v>
      </c>
      <c r="K2902" s="2" t="s">
        <v>2013</v>
      </c>
      <c r="L2902" s="2" t="s">
        <v>28</v>
      </c>
      <c r="M2902" s="2" t="s">
        <v>5</v>
      </c>
      <c r="N2902" s="4">
        <v>12741.88</v>
      </c>
    </row>
    <row r="2903" spans="1:14" x14ac:dyDescent="0.25">
      <c r="A2903" s="2" t="s">
        <v>250</v>
      </c>
      <c r="B2903" s="2" t="s">
        <v>251</v>
      </c>
      <c r="C2903" s="3">
        <v>24.6</v>
      </c>
      <c r="D2903" s="4">
        <v>314.63400000000001</v>
      </c>
      <c r="E2903" s="4">
        <v>209.1</v>
      </c>
      <c r="F2903" s="4">
        <f t="shared" si="195"/>
        <v>105.53400000000002</v>
      </c>
      <c r="G2903" s="5">
        <f t="shared" si="196"/>
        <v>0.33541829554339331</v>
      </c>
      <c r="H2903" s="2" t="s">
        <v>2011</v>
      </c>
      <c r="I2903" s="6" t="s">
        <v>32</v>
      </c>
      <c r="J2903" s="2" t="s">
        <v>2012</v>
      </c>
      <c r="K2903" s="2" t="s">
        <v>2013</v>
      </c>
      <c r="L2903" s="2" t="s">
        <v>28</v>
      </c>
      <c r="M2903" s="2" t="s">
        <v>5</v>
      </c>
      <c r="N2903" s="4">
        <v>12741.88</v>
      </c>
    </row>
    <row r="2904" spans="1:14" x14ac:dyDescent="0.25">
      <c r="A2904" s="2" t="s">
        <v>591</v>
      </c>
      <c r="B2904" s="2" t="s">
        <v>592</v>
      </c>
      <c r="C2904" s="3">
        <v>28.22</v>
      </c>
      <c r="D2904" s="4">
        <v>272.04079999999999</v>
      </c>
      <c r="E2904" s="4">
        <v>163.67599999999999</v>
      </c>
      <c r="F2904" s="4">
        <f t="shared" si="195"/>
        <v>108.3648</v>
      </c>
      <c r="G2904" s="5">
        <f t="shared" si="196"/>
        <v>0.39834024896265563</v>
      </c>
      <c r="H2904" s="2" t="s">
        <v>2011</v>
      </c>
      <c r="I2904" s="6" t="s">
        <v>32</v>
      </c>
      <c r="J2904" s="2" t="s">
        <v>2012</v>
      </c>
      <c r="K2904" s="2" t="s">
        <v>2013</v>
      </c>
      <c r="L2904" s="2" t="s">
        <v>28</v>
      </c>
      <c r="M2904" s="2" t="s">
        <v>5</v>
      </c>
      <c r="N2904" s="4">
        <v>12741.88</v>
      </c>
    </row>
    <row r="2905" spans="1:14" x14ac:dyDescent="0.25">
      <c r="A2905" s="2" t="s">
        <v>593</v>
      </c>
      <c r="B2905" s="2" t="s">
        <v>594</v>
      </c>
      <c r="C2905" s="3">
        <v>28.565000000000001</v>
      </c>
      <c r="D2905" s="4">
        <v>275.36660000000001</v>
      </c>
      <c r="E2905" s="4">
        <v>165.67699999999999</v>
      </c>
      <c r="F2905" s="4">
        <f t="shared" si="195"/>
        <v>109.68960000000001</v>
      </c>
      <c r="G2905" s="5">
        <f t="shared" si="196"/>
        <v>0.39834024896265563</v>
      </c>
      <c r="H2905" s="2" t="s">
        <v>2011</v>
      </c>
      <c r="I2905" s="6" t="s">
        <v>32</v>
      </c>
      <c r="J2905" s="2" t="s">
        <v>2012</v>
      </c>
      <c r="K2905" s="2" t="s">
        <v>2013</v>
      </c>
      <c r="L2905" s="2" t="s">
        <v>28</v>
      </c>
      <c r="M2905" s="2" t="s">
        <v>5</v>
      </c>
      <c r="N2905" s="4">
        <v>12741.88</v>
      </c>
    </row>
    <row r="2906" spans="1:14" x14ac:dyDescent="0.25">
      <c r="A2906" s="2" t="s">
        <v>187</v>
      </c>
      <c r="B2906" s="2" t="s">
        <v>188</v>
      </c>
      <c r="C2906" s="3">
        <v>46.49</v>
      </c>
      <c r="D2906" s="4">
        <v>1489.5396000000001</v>
      </c>
      <c r="E2906" s="4">
        <v>1022.78</v>
      </c>
      <c r="F2906" s="4">
        <f t="shared" si="195"/>
        <v>466.75960000000009</v>
      </c>
      <c r="G2906" s="5">
        <f t="shared" si="196"/>
        <v>0.31335830212234711</v>
      </c>
      <c r="H2906" s="2" t="s">
        <v>2011</v>
      </c>
      <c r="I2906" s="6" t="s">
        <v>32</v>
      </c>
      <c r="J2906" s="2" t="s">
        <v>2012</v>
      </c>
      <c r="K2906" s="2" t="s">
        <v>2013</v>
      </c>
      <c r="L2906" s="2" t="s">
        <v>28</v>
      </c>
      <c r="M2906" s="2" t="s">
        <v>5</v>
      </c>
      <c r="N2906" s="4">
        <v>12741.88</v>
      </c>
    </row>
    <row r="2908" spans="1:14" x14ac:dyDescent="0.25">
      <c r="A2908" s="13" t="s">
        <v>59</v>
      </c>
      <c r="B2908" s="21"/>
      <c r="C2908" s="22">
        <f>SUM(C2876:C2907)</f>
        <v>843.8850000000001</v>
      </c>
      <c r="D2908" s="23">
        <f>SUM(D2876:D2907)</f>
        <v>12741.877499999999</v>
      </c>
      <c r="E2908" s="23">
        <f>SUM(E2876:E2907)</f>
        <v>9081.9255000000012</v>
      </c>
      <c r="F2908" s="23">
        <f>D2908-E2908</f>
        <v>3659.9519999999975</v>
      </c>
      <c r="G2908" s="24">
        <f>IF(((D2908)=0),0,(D2908-E2908)/ D2908)</f>
        <v>0.28723804635541333</v>
      </c>
      <c r="H2908" s="21"/>
      <c r="I2908" s="21"/>
      <c r="J2908" s="21"/>
      <c r="K2908" s="21"/>
      <c r="L2908" s="21"/>
      <c r="M2908" s="21"/>
      <c r="N2908" s="21"/>
    </row>
    <row r="2910" spans="1:14" s="17" customFormat="1" ht="18.75" x14ac:dyDescent="0.3"/>
    <row r="2911" spans="1:14" s="7" customFormat="1" x14ac:dyDescent="0.25">
      <c r="A2911" s="13" t="s">
        <v>2014</v>
      </c>
      <c r="B2911" s="18" t="s">
        <v>2015</v>
      </c>
      <c r="C2911" s="19"/>
      <c r="D2911" s="20" t="s">
        <v>5</v>
      </c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</row>
    <row r="2913" spans="1:14" x14ac:dyDescent="0.25">
      <c r="A2913" s="2" t="s">
        <v>698</v>
      </c>
      <c r="B2913" s="2" t="s">
        <v>699</v>
      </c>
      <c r="C2913" s="3">
        <v>80</v>
      </c>
      <c r="D2913" s="4">
        <v>975.2</v>
      </c>
      <c r="E2913" s="4">
        <v>800</v>
      </c>
      <c r="F2913" s="4">
        <f t="shared" ref="F2913:F2926" si="197">D2913-E2913</f>
        <v>175.20000000000005</v>
      </c>
      <c r="G2913" s="5">
        <f t="shared" ref="G2913:G2926" si="198">IF(((D2913)=0),0,(D2913-E2913)/ D2913)</f>
        <v>0.17965545529122234</v>
      </c>
      <c r="H2913" s="2" t="s">
        <v>2016</v>
      </c>
      <c r="I2913" s="6" t="s">
        <v>39</v>
      </c>
      <c r="J2913" s="2" t="s">
        <v>2017</v>
      </c>
      <c r="K2913" s="2" t="s">
        <v>5</v>
      </c>
      <c r="L2913" s="2" t="s">
        <v>28</v>
      </c>
      <c r="M2913" s="2" t="s">
        <v>5</v>
      </c>
      <c r="N2913" s="4">
        <v>7043.33</v>
      </c>
    </row>
    <row r="2914" spans="1:14" x14ac:dyDescent="0.25">
      <c r="A2914" s="2" t="s">
        <v>566</v>
      </c>
      <c r="B2914" s="2" t="s">
        <v>567</v>
      </c>
      <c r="C2914" s="3">
        <v>16.12</v>
      </c>
      <c r="D2914" s="4">
        <v>245.83</v>
      </c>
      <c r="E2914" s="4">
        <v>183.768</v>
      </c>
      <c r="F2914" s="4">
        <f t="shared" si="197"/>
        <v>62.062000000000012</v>
      </c>
      <c r="G2914" s="5">
        <f t="shared" si="198"/>
        <v>0.25245901639344265</v>
      </c>
      <c r="H2914" s="2" t="s">
        <v>2016</v>
      </c>
      <c r="I2914" s="6" t="s">
        <v>39</v>
      </c>
      <c r="J2914" s="2" t="s">
        <v>2017</v>
      </c>
      <c r="K2914" s="2" t="s">
        <v>5</v>
      </c>
      <c r="L2914" s="2" t="s">
        <v>28</v>
      </c>
      <c r="M2914" s="2" t="s">
        <v>5</v>
      </c>
      <c r="N2914" s="4">
        <v>7043.33</v>
      </c>
    </row>
    <row r="2915" spans="1:14" x14ac:dyDescent="0.25">
      <c r="A2915" s="2" t="s">
        <v>22</v>
      </c>
      <c r="B2915" s="2" t="s">
        <v>23</v>
      </c>
      <c r="C2915" s="3">
        <v>42.65</v>
      </c>
      <c r="D2915" s="4">
        <v>526.72749999999996</v>
      </c>
      <c r="E2915" s="4">
        <v>469.15</v>
      </c>
      <c r="F2915" s="4">
        <f t="shared" si="197"/>
        <v>57.577499999999986</v>
      </c>
      <c r="G2915" s="5">
        <f t="shared" si="198"/>
        <v>0.10931174089068824</v>
      </c>
      <c r="H2915" s="2" t="s">
        <v>2016</v>
      </c>
      <c r="I2915" s="6" t="s">
        <v>39</v>
      </c>
      <c r="J2915" s="2" t="s">
        <v>2017</v>
      </c>
      <c r="K2915" s="2" t="s">
        <v>5</v>
      </c>
      <c r="L2915" s="2" t="s">
        <v>28</v>
      </c>
      <c r="M2915" s="2" t="s">
        <v>5</v>
      </c>
      <c r="N2915" s="4">
        <v>7043.33</v>
      </c>
    </row>
    <row r="2916" spans="1:14" x14ac:dyDescent="0.25">
      <c r="A2916" s="2" t="s">
        <v>29</v>
      </c>
      <c r="B2916" s="2" t="s">
        <v>30</v>
      </c>
      <c r="C2916" s="3">
        <v>15.21</v>
      </c>
      <c r="D2916" s="4">
        <v>185.40989999999999</v>
      </c>
      <c r="E2916" s="4">
        <v>152.1</v>
      </c>
      <c r="F2916" s="4">
        <f t="shared" si="197"/>
        <v>33.309899999999999</v>
      </c>
      <c r="G2916" s="5">
        <f t="shared" si="198"/>
        <v>0.17965545529122232</v>
      </c>
      <c r="H2916" s="2" t="s">
        <v>2016</v>
      </c>
      <c r="I2916" s="6" t="s">
        <v>39</v>
      </c>
      <c r="J2916" s="2" t="s">
        <v>2017</v>
      </c>
      <c r="K2916" s="2" t="s">
        <v>5</v>
      </c>
      <c r="L2916" s="2" t="s">
        <v>28</v>
      </c>
      <c r="M2916" s="2" t="s">
        <v>5</v>
      </c>
      <c r="N2916" s="4">
        <v>7043.33</v>
      </c>
    </row>
    <row r="2917" spans="1:14" x14ac:dyDescent="0.25">
      <c r="A2917" s="2" t="s">
        <v>146</v>
      </c>
      <c r="B2917" s="2" t="s">
        <v>147</v>
      </c>
      <c r="C2917" s="3">
        <v>34.46</v>
      </c>
      <c r="D2917" s="4">
        <v>388.7088</v>
      </c>
      <c r="E2917" s="4">
        <v>389.39800000000002</v>
      </c>
      <c r="F2917" s="4">
        <f t="shared" si="197"/>
        <v>-0.68920000000002801</v>
      </c>
      <c r="G2917" s="5">
        <f t="shared" si="198"/>
        <v>-1.7730496453901431E-3</v>
      </c>
      <c r="H2917" s="2" t="s">
        <v>2016</v>
      </c>
      <c r="I2917" s="6" t="s">
        <v>39</v>
      </c>
      <c r="J2917" s="2" t="s">
        <v>2017</v>
      </c>
      <c r="K2917" s="2" t="s">
        <v>5</v>
      </c>
      <c r="L2917" s="2" t="s">
        <v>28</v>
      </c>
      <c r="M2917" s="2" t="s">
        <v>5</v>
      </c>
      <c r="N2917" s="4">
        <v>7043.33</v>
      </c>
    </row>
    <row r="2918" spans="1:14" x14ac:dyDescent="0.25">
      <c r="A2918" s="2" t="s">
        <v>150</v>
      </c>
      <c r="B2918" s="2" t="s">
        <v>151</v>
      </c>
      <c r="C2918" s="3">
        <v>47.66</v>
      </c>
      <c r="D2918" s="4">
        <v>712.99360000000001</v>
      </c>
      <c r="E2918" s="4">
        <v>467.06799999999998</v>
      </c>
      <c r="F2918" s="4">
        <f t="shared" si="197"/>
        <v>245.92560000000003</v>
      </c>
      <c r="G2918" s="5">
        <f t="shared" si="198"/>
        <v>0.34491978609625673</v>
      </c>
      <c r="H2918" s="2" t="s">
        <v>2016</v>
      </c>
      <c r="I2918" s="6" t="s">
        <v>39</v>
      </c>
      <c r="J2918" s="2" t="s">
        <v>2017</v>
      </c>
      <c r="K2918" s="2" t="s">
        <v>5</v>
      </c>
      <c r="L2918" s="2" t="s">
        <v>28</v>
      </c>
      <c r="M2918" s="2" t="s">
        <v>5</v>
      </c>
      <c r="N2918" s="4">
        <v>7043.33</v>
      </c>
    </row>
    <row r="2919" spans="1:14" x14ac:dyDescent="0.25">
      <c r="A2919" s="2" t="s">
        <v>118</v>
      </c>
      <c r="B2919" s="2" t="s">
        <v>119</v>
      </c>
      <c r="C2919" s="3">
        <v>24</v>
      </c>
      <c r="D2919" s="4">
        <v>375.84</v>
      </c>
      <c r="E2919" s="4">
        <v>180</v>
      </c>
      <c r="F2919" s="4">
        <f t="shared" si="197"/>
        <v>195.83999999999997</v>
      </c>
      <c r="G2919" s="5">
        <f t="shared" si="198"/>
        <v>0.52107279693486586</v>
      </c>
      <c r="H2919" s="2" t="s">
        <v>2016</v>
      </c>
      <c r="I2919" s="6" t="s">
        <v>39</v>
      </c>
      <c r="J2919" s="2" t="s">
        <v>2017</v>
      </c>
      <c r="K2919" s="2" t="s">
        <v>5</v>
      </c>
      <c r="L2919" s="2" t="s">
        <v>28</v>
      </c>
      <c r="M2919" s="2" t="s">
        <v>5</v>
      </c>
      <c r="N2919" s="4">
        <v>7043.33</v>
      </c>
    </row>
    <row r="2920" spans="1:14" x14ac:dyDescent="0.25">
      <c r="A2920" s="2" t="s">
        <v>211</v>
      </c>
      <c r="B2920" s="2" t="s">
        <v>212</v>
      </c>
      <c r="C2920" s="3">
        <v>14.965</v>
      </c>
      <c r="D2920" s="4">
        <v>65.247399999999999</v>
      </c>
      <c r="E2920" s="4">
        <v>37.412500000000001</v>
      </c>
      <c r="F2920" s="4">
        <f t="shared" si="197"/>
        <v>27.834899999999998</v>
      </c>
      <c r="G2920" s="5">
        <f t="shared" si="198"/>
        <v>0.42660550458715596</v>
      </c>
      <c r="H2920" s="2" t="s">
        <v>2016</v>
      </c>
      <c r="I2920" s="6" t="s">
        <v>39</v>
      </c>
      <c r="J2920" s="2" t="s">
        <v>2017</v>
      </c>
      <c r="K2920" s="2" t="s">
        <v>5</v>
      </c>
      <c r="L2920" s="2" t="s">
        <v>28</v>
      </c>
      <c r="M2920" s="2" t="s">
        <v>5</v>
      </c>
      <c r="N2920" s="4">
        <v>7043.33</v>
      </c>
    </row>
    <row r="2921" spans="1:14" x14ac:dyDescent="0.25">
      <c r="A2921" s="2" t="s">
        <v>246</v>
      </c>
      <c r="B2921" s="2" t="s">
        <v>247</v>
      </c>
      <c r="C2921" s="3">
        <v>32</v>
      </c>
      <c r="D2921" s="4">
        <v>651.20000000000005</v>
      </c>
      <c r="E2921" s="4">
        <v>520</v>
      </c>
      <c r="F2921" s="4">
        <f t="shared" si="197"/>
        <v>131.20000000000005</v>
      </c>
      <c r="G2921" s="5">
        <f t="shared" si="198"/>
        <v>0.20147420147420153</v>
      </c>
      <c r="H2921" s="2" t="s">
        <v>2016</v>
      </c>
      <c r="I2921" s="6" t="s">
        <v>39</v>
      </c>
      <c r="J2921" s="2" t="s">
        <v>2017</v>
      </c>
      <c r="K2921" s="2" t="s">
        <v>5</v>
      </c>
      <c r="L2921" s="2" t="s">
        <v>28</v>
      </c>
      <c r="M2921" s="2" t="s">
        <v>5</v>
      </c>
      <c r="N2921" s="4">
        <v>7043.33</v>
      </c>
    </row>
    <row r="2922" spans="1:14" x14ac:dyDescent="0.25">
      <c r="A2922" s="2" t="s">
        <v>603</v>
      </c>
      <c r="B2922" s="2" t="s">
        <v>604</v>
      </c>
      <c r="C2922" s="3">
        <v>30.05</v>
      </c>
      <c r="D2922" s="4">
        <v>519.56449999999995</v>
      </c>
      <c r="E2922" s="4">
        <v>348.58</v>
      </c>
      <c r="F2922" s="4">
        <f t="shared" si="197"/>
        <v>170.98449999999997</v>
      </c>
      <c r="G2922" s="5">
        <f t="shared" si="198"/>
        <v>0.32909196067090801</v>
      </c>
      <c r="H2922" s="2" t="s">
        <v>2016</v>
      </c>
      <c r="I2922" s="6" t="s">
        <v>39</v>
      </c>
      <c r="J2922" s="2" t="s">
        <v>2017</v>
      </c>
      <c r="K2922" s="2" t="s">
        <v>5</v>
      </c>
      <c r="L2922" s="2" t="s">
        <v>28</v>
      </c>
      <c r="M2922" s="2" t="s">
        <v>5</v>
      </c>
      <c r="N2922" s="4">
        <v>7043.33</v>
      </c>
    </row>
    <row r="2923" spans="1:14" x14ac:dyDescent="0.25">
      <c r="A2923" s="2" t="s">
        <v>215</v>
      </c>
      <c r="B2923" s="2" t="s">
        <v>216</v>
      </c>
      <c r="C2923" s="3">
        <v>38.799999999999997</v>
      </c>
      <c r="D2923" s="4">
        <v>690.64</v>
      </c>
      <c r="E2923" s="4">
        <v>591.70000000000005</v>
      </c>
      <c r="F2923" s="4">
        <f t="shared" si="197"/>
        <v>98.939999999999941</v>
      </c>
      <c r="G2923" s="5">
        <f t="shared" si="198"/>
        <v>0.14325842696629204</v>
      </c>
      <c r="H2923" s="2" t="s">
        <v>2016</v>
      </c>
      <c r="I2923" s="6" t="s">
        <v>39</v>
      </c>
      <c r="J2923" s="2" t="s">
        <v>2017</v>
      </c>
      <c r="K2923" s="2" t="s">
        <v>5</v>
      </c>
      <c r="L2923" s="2" t="s">
        <v>28</v>
      </c>
      <c r="M2923" s="2" t="s">
        <v>5</v>
      </c>
      <c r="N2923" s="4">
        <v>7043.33</v>
      </c>
    </row>
    <row r="2924" spans="1:14" x14ac:dyDescent="0.25">
      <c r="A2924" s="2" t="s">
        <v>624</v>
      </c>
      <c r="B2924" s="2" t="s">
        <v>625</v>
      </c>
      <c r="C2924" s="3">
        <v>15.39</v>
      </c>
      <c r="D2924" s="4">
        <v>164.82689999999999</v>
      </c>
      <c r="E2924" s="4">
        <v>115.425</v>
      </c>
      <c r="F2924" s="4">
        <f t="shared" si="197"/>
        <v>49.401899999999998</v>
      </c>
      <c r="G2924" s="5">
        <f t="shared" si="198"/>
        <v>0.29971988795518206</v>
      </c>
      <c r="H2924" s="2" t="s">
        <v>2016</v>
      </c>
      <c r="I2924" s="6" t="s">
        <v>39</v>
      </c>
      <c r="J2924" s="2" t="s">
        <v>2017</v>
      </c>
      <c r="K2924" s="2" t="s">
        <v>5</v>
      </c>
      <c r="L2924" s="2" t="s">
        <v>28</v>
      </c>
      <c r="M2924" s="2" t="s">
        <v>5</v>
      </c>
      <c r="N2924" s="4">
        <v>7043.33</v>
      </c>
    </row>
    <row r="2925" spans="1:14" x14ac:dyDescent="0.25">
      <c r="A2925" s="2" t="s">
        <v>692</v>
      </c>
      <c r="B2925" s="2" t="s">
        <v>693</v>
      </c>
      <c r="C2925" s="3">
        <v>60.005000000000003</v>
      </c>
      <c r="D2925" s="4">
        <v>1282.3068499999999</v>
      </c>
      <c r="E2925" s="4">
        <v>750.0625</v>
      </c>
      <c r="F2925" s="4">
        <f t="shared" si="197"/>
        <v>532.24434999999994</v>
      </c>
      <c r="G2925" s="5">
        <f t="shared" si="198"/>
        <v>0.41506785212915298</v>
      </c>
      <c r="H2925" s="2" t="s">
        <v>2016</v>
      </c>
      <c r="I2925" s="6" t="s">
        <v>39</v>
      </c>
      <c r="J2925" s="2" t="s">
        <v>2017</v>
      </c>
      <c r="K2925" s="2" t="s">
        <v>5</v>
      </c>
      <c r="L2925" s="2" t="s">
        <v>28</v>
      </c>
      <c r="M2925" s="2" t="s">
        <v>5</v>
      </c>
      <c r="N2925" s="4">
        <v>7043.33</v>
      </c>
    </row>
    <row r="2926" spans="1:14" x14ac:dyDescent="0.25">
      <c r="A2926" s="2" t="s">
        <v>593</v>
      </c>
      <c r="B2926" s="2" t="s">
        <v>594</v>
      </c>
      <c r="C2926" s="3">
        <v>28.35</v>
      </c>
      <c r="D2926" s="4">
        <v>258.83550000000002</v>
      </c>
      <c r="E2926" s="4">
        <v>164.43</v>
      </c>
      <c r="F2926" s="4">
        <f t="shared" si="197"/>
        <v>94.405500000000018</v>
      </c>
      <c r="G2926" s="5">
        <f t="shared" si="198"/>
        <v>0.36473165388828044</v>
      </c>
      <c r="H2926" s="2" t="s">
        <v>2016</v>
      </c>
      <c r="I2926" s="6" t="s">
        <v>39</v>
      </c>
      <c r="J2926" s="2" t="s">
        <v>2017</v>
      </c>
      <c r="K2926" s="2" t="s">
        <v>5</v>
      </c>
      <c r="L2926" s="2" t="s">
        <v>28</v>
      </c>
      <c r="M2926" s="2" t="s">
        <v>5</v>
      </c>
      <c r="N2926" s="4">
        <v>7043.33</v>
      </c>
    </row>
    <row r="2928" spans="1:14" x14ac:dyDescent="0.25">
      <c r="A2928" s="13" t="s">
        <v>59</v>
      </c>
      <c r="B2928" s="21"/>
      <c r="C2928" s="22">
        <f>SUM(C2910:C2927)</f>
        <v>479.66</v>
      </c>
      <c r="D2928" s="23">
        <f>SUM(D2910:D2927)</f>
        <v>7043.3309500000005</v>
      </c>
      <c r="E2928" s="23">
        <f>SUM(E2910:E2927)</f>
        <v>5169.094000000001</v>
      </c>
      <c r="F2928" s="23">
        <f>D2928-E2928</f>
        <v>1874.2369499999995</v>
      </c>
      <c r="G2928" s="24">
        <f>IF(((D2928)=0),0,(D2928-E2928)/ D2928)</f>
        <v>0.26610093481408814</v>
      </c>
      <c r="H2928" s="21"/>
      <c r="I2928" s="21"/>
      <c r="J2928" s="21"/>
      <c r="K2928" s="21"/>
      <c r="L2928" s="21"/>
      <c r="M2928" s="21"/>
      <c r="N2928" s="21"/>
    </row>
    <row r="2930" spans="1:14" s="17" customFormat="1" ht="18.75" x14ac:dyDescent="0.3"/>
    <row r="2931" spans="1:14" s="7" customFormat="1" x14ac:dyDescent="0.25">
      <c r="A2931" s="13" t="s">
        <v>2018</v>
      </c>
      <c r="B2931" s="18" t="s">
        <v>2019</v>
      </c>
      <c r="C2931" s="19"/>
      <c r="D2931" s="20" t="s">
        <v>5</v>
      </c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</row>
    <row r="2933" spans="1:14" x14ac:dyDescent="0.25">
      <c r="A2933" s="2" t="s">
        <v>566</v>
      </c>
      <c r="B2933" s="2" t="s">
        <v>567</v>
      </c>
      <c r="C2933" s="3">
        <v>1.006</v>
      </c>
      <c r="D2933" s="4">
        <v>17.61506</v>
      </c>
      <c r="E2933" s="4">
        <v>11.468400000000001</v>
      </c>
      <c r="F2933" s="4">
        <f t="shared" ref="F2933:F2940" si="199">D2933-E2933</f>
        <v>6.1466599999999989</v>
      </c>
      <c r="G2933" s="5">
        <f t="shared" ref="G2933:G2940" si="200">IF(((D2933)=0),0,(D2933-E2933)/ D2933)</f>
        <v>0.34894346087949735</v>
      </c>
      <c r="H2933" s="2" t="s">
        <v>2020</v>
      </c>
      <c r="I2933" s="6" t="s">
        <v>69</v>
      </c>
      <c r="J2933" s="2" t="s">
        <v>2021</v>
      </c>
      <c r="K2933" s="2" t="s">
        <v>5</v>
      </c>
      <c r="L2933" s="2" t="s">
        <v>28</v>
      </c>
      <c r="M2933" s="2" t="s">
        <v>5</v>
      </c>
      <c r="N2933" s="4">
        <v>1201.04</v>
      </c>
    </row>
    <row r="2934" spans="1:14" x14ac:dyDescent="0.25">
      <c r="A2934" s="2" t="s">
        <v>566</v>
      </c>
      <c r="B2934" s="2" t="s">
        <v>567</v>
      </c>
      <c r="C2934" s="3">
        <v>2.0179999999999998</v>
      </c>
      <c r="D2934" s="4">
        <v>35.335180000000001</v>
      </c>
      <c r="E2934" s="4">
        <v>23.005199999999999</v>
      </c>
      <c r="F2934" s="4">
        <f t="shared" si="199"/>
        <v>12.329980000000003</v>
      </c>
      <c r="G2934" s="5">
        <f t="shared" si="200"/>
        <v>0.34894346087949751</v>
      </c>
      <c r="H2934" s="2" t="s">
        <v>2022</v>
      </c>
      <c r="I2934" s="6" t="s">
        <v>32</v>
      </c>
      <c r="J2934" s="2" t="s">
        <v>2023</v>
      </c>
      <c r="K2934" s="2" t="s">
        <v>5</v>
      </c>
      <c r="L2934" s="2" t="s">
        <v>28</v>
      </c>
      <c r="M2934" s="2" t="s">
        <v>5</v>
      </c>
      <c r="N2934" s="4">
        <v>451.99</v>
      </c>
    </row>
    <row r="2935" spans="1:14" x14ac:dyDescent="0.25">
      <c r="A2935" s="2" t="s">
        <v>2024</v>
      </c>
      <c r="B2935" s="2" t="s">
        <v>2025</v>
      </c>
      <c r="C2935" s="3">
        <v>3.01</v>
      </c>
      <c r="D2935" s="4">
        <v>14.869400000000001</v>
      </c>
      <c r="E2935" s="4">
        <v>4.5149999999999997</v>
      </c>
      <c r="F2935" s="4">
        <f t="shared" si="199"/>
        <v>10.354400000000002</v>
      </c>
      <c r="G2935" s="5">
        <f t="shared" si="200"/>
        <v>0.69635627530364386</v>
      </c>
      <c r="H2935" s="2" t="s">
        <v>2022</v>
      </c>
      <c r="I2935" s="6" t="s">
        <v>32</v>
      </c>
      <c r="J2935" s="2" t="s">
        <v>2023</v>
      </c>
      <c r="K2935" s="2" t="s">
        <v>5</v>
      </c>
      <c r="L2935" s="2" t="s">
        <v>28</v>
      </c>
      <c r="M2935" s="2" t="s">
        <v>5</v>
      </c>
      <c r="N2935" s="4">
        <v>451.99</v>
      </c>
    </row>
    <row r="2936" spans="1:14" x14ac:dyDescent="0.25">
      <c r="A2936" s="2" t="s">
        <v>29</v>
      </c>
      <c r="B2936" s="2" t="s">
        <v>30</v>
      </c>
      <c r="C2936" s="3">
        <v>6.0960000000000001</v>
      </c>
      <c r="D2936" s="4">
        <v>93.390720000000002</v>
      </c>
      <c r="E2936" s="4">
        <v>60.96</v>
      </c>
      <c r="F2936" s="4">
        <f t="shared" si="199"/>
        <v>32.430720000000001</v>
      </c>
      <c r="G2936" s="5">
        <f t="shared" si="200"/>
        <v>0.3472584856396867</v>
      </c>
      <c r="H2936" s="2" t="s">
        <v>2022</v>
      </c>
      <c r="I2936" s="6" t="s">
        <v>32</v>
      </c>
      <c r="J2936" s="2" t="s">
        <v>2023</v>
      </c>
      <c r="K2936" s="2" t="s">
        <v>5</v>
      </c>
      <c r="L2936" s="2" t="s">
        <v>28</v>
      </c>
      <c r="M2936" s="2" t="s">
        <v>5</v>
      </c>
      <c r="N2936" s="4">
        <v>451.99</v>
      </c>
    </row>
    <row r="2937" spans="1:14" x14ac:dyDescent="0.25">
      <c r="A2937" s="2" t="s">
        <v>29</v>
      </c>
      <c r="B2937" s="2" t="s">
        <v>30</v>
      </c>
      <c r="C2937" s="3">
        <v>6.1139999999999999</v>
      </c>
      <c r="D2937" s="4">
        <v>93.666480000000007</v>
      </c>
      <c r="E2937" s="4">
        <v>61.14</v>
      </c>
      <c r="F2937" s="4">
        <f t="shared" si="199"/>
        <v>32.526480000000006</v>
      </c>
      <c r="G2937" s="5">
        <f t="shared" si="200"/>
        <v>0.34725848563968675</v>
      </c>
      <c r="H2937" s="2" t="s">
        <v>2020</v>
      </c>
      <c r="I2937" s="6" t="s">
        <v>69</v>
      </c>
      <c r="J2937" s="2" t="s">
        <v>2021</v>
      </c>
      <c r="K2937" s="2" t="s">
        <v>5</v>
      </c>
      <c r="L2937" s="2" t="s">
        <v>28</v>
      </c>
      <c r="M2937" s="2" t="s">
        <v>5</v>
      </c>
      <c r="N2937" s="4">
        <v>1201.04</v>
      </c>
    </row>
    <row r="2938" spans="1:14" x14ac:dyDescent="0.25">
      <c r="A2938" s="2" t="s">
        <v>966</v>
      </c>
      <c r="B2938" s="2" t="s">
        <v>967</v>
      </c>
      <c r="C2938" s="3">
        <v>20.13</v>
      </c>
      <c r="D2938" s="4">
        <v>308.39159999999998</v>
      </c>
      <c r="E2938" s="4">
        <v>237.53399999999999</v>
      </c>
      <c r="F2938" s="4">
        <f t="shared" si="199"/>
        <v>70.857599999999991</v>
      </c>
      <c r="G2938" s="5">
        <f t="shared" si="200"/>
        <v>0.22976501305483027</v>
      </c>
      <c r="H2938" s="2" t="s">
        <v>2022</v>
      </c>
      <c r="I2938" s="6" t="s">
        <v>32</v>
      </c>
      <c r="J2938" s="2" t="s">
        <v>2023</v>
      </c>
      <c r="K2938" s="2" t="s">
        <v>5</v>
      </c>
      <c r="L2938" s="2" t="s">
        <v>28</v>
      </c>
      <c r="M2938" s="2" t="s">
        <v>5</v>
      </c>
      <c r="N2938" s="4">
        <v>451.99</v>
      </c>
    </row>
    <row r="2939" spans="1:14" x14ac:dyDescent="0.25">
      <c r="A2939" s="2" t="s">
        <v>966</v>
      </c>
      <c r="B2939" s="2" t="s">
        <v>967</v>
      </c>
      <c r="C2939" s="3">
        <v>20.25</v>
      </c>
      <c r="D2939" s="4">
        <v>310.23</v>
      </c>
      <c r="E2939" s="4">
        <v>238.95</v>
      </c>
      <c r="F2939" s="4">
        <f t="shared" si="199"/>
        <v>71.28000000000003</v>
      </c>
      <c r="G2939" s="5">
        <f t="shared" si="200"/>
        <v>0.22976501305483038</v>
      </c>
      <c r="H2939" s="2" t="s">
        <v>2020</v>
      </c>
      <c r="I2939" s="6" t="s">
        <v>69</v>
      </c>
      <c r="J2939" s="2" t="s">
        <v>2021</v>
      </c>
      <c r="K2939" s="2" t="s">
        <v>5</v>
      </c>
      <c r="L2939" s="2" t="s">
        <v>28</v>
      </c>
      <c r="M2939" s="2" t="s">
        <v>5</v>
      </c>
      <c r="N2939" s="4">
        <v>1201.04</v>
      </c>
    </row>
    <row r="2940" spans="1:14" x14ac:dyDescent="0.25">
      <c r="A2940" s="2" t="s">
        <v>250</v>
      </c>
      <c r="B2940" s="2" t="s">
        <v>251</v>
      </c>
      <c r="C2940" s="3">
        <v>52.6</v>
      </c>
      <c r="D2940" s="4">
        <v>779.53200000000004</v>
      </c>
      <c r="E2940" s="4">
        <v>447.1</v>
      </c>
      <c r="F2940" s="4">
        <f t="shared" si="199"/>
        <v>332.43200000000002</v>
      </c>
      <c r="G2940" s="5">
        <f t="shared" si="200"/>
        <v>0.4264507422402159</v>
      </c>
      <c r="H2940" s="2" t="s">
        <v>2020</v>
      </c>
      <c r="I2940" s="6" t="s">
        <v>69</v>
      </c>
      <c r="J2940" s="2" t="s">
        <v>2021</v>
      </c>
      <c r="K2940" s="2" t="s">
        <v>5</v>
      </c>
      <c r="L2940" s="2" t="s">
        <v>28</v>
      </c>
      <c r="M2940" s="2" t="s">
        <v>5</v>
      </c>
      <c r="N2940" s="4">
        <v>1201.04</v>
      </c>
    </row>
    <row r="2942" spans="1:14" x14ac:dyDescent="0.25">
      <c r="A2942" s="13" t="s">
        <v>59</v>
      </c>
      <c r="B2942" s="21"/>
      <c r="C2942" s="22">
        <f>SUM(C2930:C2941)</f>
        <v>111.22399999999999</v>
      </c>
      <c r="D2942" s="23">
        <f>SUM(D2930:D2941)</f>
        <v>1653.03044</v>
      </c>
      <c r="E2942" s="23">
        <f>SUM(E2930:E2941)</f>
        <v>1084.6725999999999</v>
      </c>
      <c r="F2942" s="23">
        <f>D2942-E2942</f>
        <v>568.35784000000012</v>
      </c>
      <c r="G2942" s="24">
        <f>IF(((D2942)=0),0,(D2942-E2942)/ D2942)</f>
        <v>0.34382781239043614</v>
      </c>
      <c r="H2942" s="21"/>
      <c r="I2942" s="21"/>
      <c r="J2942" s="21"/>
      <c r="K2942" s="21"/>
      <c r="L2942" s="21"/>
      <c r="M2942" s="21"/>
      <c r="N2942" s="21"/>
    </row>
    <row r="2944" spans="1:14" s="17" customFormat="1" ht="18.75" x14ac:dyDescent="0.3"/>
    <row r="2945" spans="1:14" s="7" customFormat="1" x14ac:dyDescent="0.25">
      <c r="A2945" s="13" t="s">
        <v>2026</v>
      </c>
      <c r="B2945" s="18" t="s">
        <v>2027</v>
      </c>
      <c r="C2945" s="19"/>
      <c r="D2945" s="20" t="s">
        <v>5</v>
      </c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</row>
    <row r="2947" spans="1:14" x14ac:dyDescent="0.25">
      <c r="A2947" s="2" t="s">
        <v>128</v>
      </c>
      <c r="B2947" s="2" t="s">
        <v>129</v>
      </c>
      <c r="C2947" s="3">
        <v>60</v>
      </c>
      <c r="D2947" s="4">
        <v>777</v>
      </c>
      <c r="E2947" s="4">
        <v>658.8</v>
      </c>
      <c r="F2947" s="4">
        <f t="shared" ref="F2947:F2959" si="201">D2947-E2947</f>
        <v>118.20000000000005</v>
      </c>
      <c r="G2947" s="5">
        <f t="shared" ref="G2947:G2959" si="202">IF(((D2947)=0),0,(D2947-E2947)/ D2947)</f>
        <v>0.15212355212355219</v>
      </c>
      <c r="H2947" s="2" t="s">
        <v>2028</v>
      </c>
      <c r="I2947" s="6" t="s">
        <v>32</v>
      </c>
      <c r="J2947" s="2" t="s">
        <v>2029</v>
      </c>
      <c r="K2947" s="2" t="s">
        <v>2030</v>
      </c>
      <c r="L2947" s="2" t="s">
        <v>28</v>
      </c>
      <c r="M2947" s="2" t="s">
        <v>5</v>
      </c>
      <c r="N2947" s="4">
        <v>4985.71</v>
      </c>
    </row>
    <row r="2948" spans="1:14" x14ac:dyDescent="0.25">
      <c r="A2948" s="2" t="s">
        <v>146</v>
      </c>
      <c r="B2948" s="2" t="s">
        <v>147</v>
      </c>
      <c r="C2948" s="3">
        <v>43.94</v>
      </c>
      <c r="D2948" s="4">
        <v>594.50819999999999</v>
      </c>
      <c r="E2948" s="4">
        <v>496.52199999999999</v>
      </c>
      <c r="F2948" s="4">
        <f t="shared" si="201"/>
        <v>97.986199999999997</v>
      </c>
      <c r="G2948" s="5">
        <f t="shared" si="202"/>
        <v>0.1648189209164819</v>
      </c>
      <c r="H2948" s="2" t="s">
        <v>2028</v>
      </c>
      <c r="I2948" s="6" t="s">
        <v>32</v>
      </c>
      <c r="J2948" s="2" t="s">
        <v>2029</v>
      </c>
      <c r="K2948" s="2" t="s">
        <v>2030</v>
      </c>
      <c r="L2948" s="2" t="s">
        <v>28</v>
      </c>
      <c r="M2948" s="2" t="s">
        <v>5</v>
      </c>
      <c r="N2948" s="4">
        <v>4985.71</v>
      </c>
    </row>
    <row r="2949" spans="1:14" x14ac:dyDescent="0.25">
      <c r="A2949" s="2" t="s">
        <v>703</v>
      </c>
      <c r="B2949" s="2" t="s">
        <v>704</v>
      </c>
      <c r="C2949" s="3">
        <v>20</v>
      </c>
      <c r="D2949" s="4">
        <v>124</v>
      </c>
      <c r="E2949" s="4">
        <v>95</v>
      </c>
      <c r="F2949" s="4">
        <f t="shared" si="201"/>
        <v>29</v>
      </c>
      <c r="G2949" s="5">
        <f t="shared" si="202"/>
        <v>0.23387096774193547</v>
      </c>
      <c r="H2949" s="2" t="s">
        <v>2028</v>
      </c>
      <c r="I2949" s="6" t="s">
        <v>32</v>
      </c>
      <c r="J2949" s="2" t="s">
        <v>2029</v>
      </c>
      <c r="K2949" s="2" t="s">
        <v>2030</v>
      </c>
      <c r="L2949" s="2" t="s">
        <v>28</v>
      </c>
      <c r="M2949" s="2" t="s">
        <v>5</v>
      </c>
      <c r="N2949" s="4">
        <v>4985.71</v>
      </c>
    </row>
    <row r="2950" spans="1:14" x14ac:dyDescent="0.25">
      <c r="A2950" s="2" t="s">
        <v>1216</v>
      </c>
      <c r="B2950" s="2" t="s">
        <v>1217</v>
      </c>
      <c r="C2950" s="3">
        <v>16.07</v>
      </c>
      <c r="D2950" s="4">
        <v>72.314999999999998</v>
      </c>
      <c r="E2950" s="4">
        <v>56.244999999999997</v>
      </c>
      <c r="F2950" s="4">
        <f t="shared" si="201"/>
        <v>16.07</v>
      </c>
      <c r="G2950" s="5">
        <f t="shared" si="202"/>
        <v>0.22222222222222224</v>
      </c>
      <c r="H2950" s="2" t="s">
        <v>2028</v>
      </c>
      <c r="I2950" s="6" t="s">
        <v>32</v>
      </c>
      <c r="J2950" s="2" t="s">
        <v>2029</v>
      </c>
      <c r="K2950" s="2" t="s">
        <v>2030</v>
      </c>
      <c r="L2950" s="2" t="s">
        <v>28</v>
      </c>
      <c r="M2950" s="2" t="s">
        <v>5</v>
      </c>
      <c r="N2950" s="4">
        <v>4985.71</v>
      </c>
    </row>
    <row r="2951" spans="1:14" x14ac:dyDescent="0.25">
      <c r="A2951" s="2" t="s">
        <v>611</v>
      </c>
      <c r="B2951" s="2" t="s">
        <v>612</v>
      </c>
      <c r="C2951" s="3">
        <v>15.79</v>
      </c>
      <c r="D2951" s="4">
        <v>83.5291</v>
      </c>
      <c r="E2951" s="4">
        <v>56.844000000000001</v>
      </c>
      <c r="F2951" s="4">
        <f t="shared" si="201"/>
        <v>26.685099999999998</v>
      </c>
      <c r="G2951" s="5">
        <f t="shared" si="202"/>
        <v>0.31947069943289225</v>
      </c>
      <c r="H2951" s="2" t="s">
        <v>2028</v>
      </c>
      <c r="I2951" s="6" t="s">
        <v>32</v>
      </c>
      <c r="J2951" s="2" t="s">
        <v>2029</v>
      </c>
      <c r="K2951" s="2" t="s">
        <v>2030</v>
      </c>
      <c r="L2951" s="2" t="s">
        <v>28</v>
      </c>
      <c r="M2951" s="2" t="s">
        <v>5</v>
      </c>
      <c r="N2951" s="4">
        <v>4985.71</v>
      </c>
    </row>
    <row r="2952" spans="1:14" x14ac:dyDescent="0.25">
      <c r="A2952" s="2" t="s">
        <v>2031</v>
      </c>
      <c r="B2952" s="2" t="s">
        <v>2032</v>
      </c>
      <c r="C2952" s="3">
        <v>58.225000000000001</v>
      </c>
      <c r="D2952" s="4">
        <v>542.07474999999999</v>
      </c>
      <c r="E2952" s="4">
        <v>244.54499999999999</v>
      </c>
      <c r="F2952" s="4">
        <f t="shared" si="201"/>
        <v>297.52975000000004</v>
      </c>
      <c r="G2952" s="5">
        <f t="shared" si="202"/>
        <v>0.54887218045112784</v>
      </c>
      <c r="H2952" s="2" t="s">
        <v>2028</v>
      </c>
      <c r="I2952" s="6" t="s">
        <v>32</v>
      </c>
      <c r="J2952" s="2" t="s">
        <v>2029</v>
      </c>
      <c r="K2952" s="2" t="s">
        <v>2030</v>
      </c>
      <c r="L2952" s="2" t="s">
        <v>28</v>
      </c>
      <c r="M2952" s="2" t="s">
        <v>5</v>
      </c>
      <c r="N2952" s="4">
        <v>4985.71</v>
      </c>
    </row>
    <row r="2953" spans="1:14" x14ac:dyDescent="0.25">
      <c r="A2953" s="2" t="s">
        <v>118</v>
      </c>
      <c r="B2953" s="2" t="s">
        <v>119</v>
      </c>
      <c r="C2953" s="3">
        <v>48</v>
      </c>
      <c r="D2953" s="4">
        <v>504</v>
      </c>
      <c r="E2953" s="4">
        <v>360</v>
      </c>
      <c r="F2953" s="4">
        <f t="shared" si="201"/>
        <v>144</v>
      </c>
      <c r="G2953" s="5">
        <f t="shared" si="202"/>
        <v>0.2857142857142857</v>
      </c>
      <c r="H2953" s="2" t="s">
        <v>2028</v>
      </c>
      <c r="I2953" s="6" t="s">
        <v>32</v>
      </c>
      <c r="J2953" s="2" t="s">
        <v>2029</v>
      </c>
      <c r="K2953" s="2" t="s">
        <v>2030</v>
      </c>
      <c r="L2953" s="2" t="s">
        <v>28</v>
      </c>
      <c r="M2953" s="2" t="s">
        <v>5</v>
      </c>
      <c r="N2953" s="4">
        <v>4985.71</v>
      </c>
    </row>
    <row r="2954" spans="1:14" x14ac:dyDescent="0.25">
      <c r="A2954" s="2" t="s">
        <v>207</v>
      </c>
      <c r="B2954" s="2" t="s">
        <v>208</v>
      </c>
      <c r="C2954" s="3">
        <v>5</v>
      </c>
      <c r="D2954" s="4">
        <v>79.45</v>
      </c>
      <c r="E2954" s="4">
        <v>64.099999999999994</v>
      </c>
      <c r="F2954" s="4">
        <f t="shared" si="201"/>
        <v>15.350000000000009</v>
      </c>
      <c r="G2954" s="5">
        <f t="shared" si="202"/>
        <v>0.19320327249842678</v>
      </c>
      <c r="H2954" s="2" t="s">
        <v>2028</v>
      </c>
      <c r="I2954" s="6" t="s">
        <v>32</v>
      </c>
      <c r="J2954" s="2" t="s">
        <v>2029</v>
      </c>
      <c r="K2954" s="2" t="s">
        <v>2030</v>
      </c>
      <c r="L2954" s="2" t="s">
        <v>28</v>
      </c>
      <c r="M2954" s="2" t="s">
        <v>5</v>
      </c>
      <c r="N2954" s="4">
        <v>4985.71</v>
      </c>
    </row>
    <row r="2955" spans="1:14" x14ac:dyDescent="0.25">
      <c r="A2955" s="2" t="s">
        <v>49</v>
      </c>
      <c r="B2955" s="2" t="s">
        <v>50</v>
      </c>
      <c r="C2955" s="3">
        <v>24</v>
      </c>
      <c r="D2955" s="4">
        <v>461.52</v>
      </c>
      <c r="E2955" s="4">
        <v>264.72000000000003</v>
      </c>
      <c r="F2955" s="4">
        <f t="shared" si="201"/>
        <v>196.79999999999995</v>
      </c>
      <c r="G2955" s="5">
        <f t="shared" si="202"/>
        <v>0.4264170566822672</v>
      </c>
      <c r="H2955" s="2" t="s">
        <v>2028</v>
      </c>
      <c r="I2955" s="6" t="s">
        <v>32</v>
      </c>
      <c r="J2955" s="2" t="s">
        <v>2029</v>
      </c>
      <c r="K2955" s="2" t="s">
        <v>2030</v>
      </c>
      <c r="L2955" s="2" t="s">
        <v>28</v>
      </c>
      <c r="M2955" s="2" t="s">
        <v>5</v>
      </c>
      <c r="N2955" s="4">
        <v>4985.71</v>
      </c>
    </row>
    <row r="2956" spans="1:14" x14ac:dyDescent="0.25">
      <c r="A2956" s="2" t="s">
        <v>624</v>
      </c>
      <c r="B2956" s="2" t="s">
        <v>625</v>
      </c>
      <c r="C2956" s="3">
        <v>40.765000000000001</v>
      </c>
      <c r="D2956" s="4">
        <v>488.77235000000002</v>
      </c>
      <c r="E2956" s="4">
        <v>305.73750000000001</v>
      </c>
      <c r="F2956" s="4">
        <f t="shared" si="201"/>
        <v>183.03485000000001</v>
      </c>
      <c r="G2956" s="5">
        <f t="shared" si="202"/>
        <v>0.37447873227689743</v>
      </c>
      <c r="H2956" s="2" t="s">
        <v>2028</v>
      </c>
      <c r="I2956" s="6" t="s">
        <v>32</v>
      </c>
      <c r="J2956" s="2" t="s">
        <v>2029</v>
      </c>
      <c r="K2956" s="2" t="s">
        <v>2030</v>
      </c>
      <c r="L2956" s="2" t="s">
        <v>28</v>
      </c>
      <c r="M2956" s="2" t="s">
        <v>5</v>
      </c>
      <c r="N2956" s="4">
        <v>4985.71</v>
      </c>
    </row>
    <row r="2957" spans="1:14" x14ac:dyDescent="0.25">
      <c r="A2957" s="2" t="s">
        <v>1202</v>
      </c>
      <c r="B2957" s="2" t="s">
        <v>1203</v>
      </c>
      <c r="C2957" s="3">
        <v>10.255000000000001</v>
      </c>
      <c r="D2957" s="4">
        <v>84.193550000000002</v>
      </c>
      <c r="E2957" s="4">
        <v>56.402500000000003</v>
      </c>
      <c r="F2957" s="4">
        <f t="shared" si="201"/>
        <v>27.791049999999998</v>
      </c>
      <c r="G2957" s="5">
        <f t="shared" si="202"/>
        <v>0.33008526187576126</v>
      </c>
      <c r="H2957" s="2" t="s">
        <v>2028</v>
      </c>
      <c r="I2957" s="6" t="s">
        <v>32</v>
      </c>
      <c r="J2957" s="2" t="s">
        <v>2029</v>
      </c>
      <c r="K2957" s="2" t="s">
        <v>2030</v>
      </c>
      <c r="L2957" s="2" t="s">
        <v>28</v>
      </c>
      <c r="M2957" s="2" t="s">
        <v>5</v>
      </c>
      <c r="N2957" s="4">
        <v>4985.71</v>
      </c>
    </row>
    <row r="2958" spans="1:14" x14ac:dyDescent="0.25">
      <c r="A2958" s="2" t="s">
        <v>136</v>
      </c>
      <c r="B2958" s="2" t="s">
        <v>137</v>
      </c>
      <c r="C2958" s="3">
        <v>10.42</v>
      </c>
      <c r="D2958" s="4">
        <v>250.08</v>
      </c>
      <c r="E2958" s="4">
        <v>145.88</v>
      </c>
      <c r="F2958" s="4">
        <f t="shared" si="201"/>
        <v>104.20000000000002</v>
      </c>
      <c r="G2958" s="5">
        <f t="shared" si="202"/>
        <v>0.41666666666666674</v>
      </c>
      <c r="H2958" s="2" t="s">
        <v>2028</v>
      </c>
      <c r="I2958" s="6" t="s">
        <v>32</v>
      </c>
      <c r="J2958" s="2" t="s">
        <v>2029</v>
      </c>
      <c r="K2958" s="2" t="s">
        <v>2030</v>
      </c>
      <c r="L2958" s="2" t="s">
        <v>28</v>
      </c>
      <c r="M2958" s="2" t="s">
        <v>5</v>
      </c>
      <c r="N2958" s="4">
        <v>4985.71</v>
      </c>
    </row>
    <row r="2959" spans="1:14" x14ac:dyDescent="0.25">
      <c r="A2959" s="2" t="s">
        <v>589</v>
      </c>
      <c r="B2959" s="2" t="s">
        <v>590</v>
      </c>
      <c r="C2959" s="3">
        <v>54.465000000000003</v>
      </c>
      <c r="D2959" s="4">
        <v>924.27104999999995</v>
      </c>
      <c r="E2959" s="4">
        <v>748.89374999999995</v>
      </c>
      <c r="F2959" s="4">
        <f t="shared" si="201"/>
        <v>175.37729999999999</v>
      </c>
      <c r="G2959" s="5">
        <f t="shared" si="202"/>
        <v>0.18974661166764881</v>
      </c>
      <c r="H2959" s="2" t="s">
        <v>2028</v>
      </c>
      <c r="I2959" s="6" t="s">
        <v>32</v>
      </c>
      <c r="J2959" s="2" t="s">
        <v>2029</v>
      </c>
      <c r="K2959" s="2" t="s">
        <v>2030</v>
      </c>
      <c r="L2959" s="2" t="s">
        <v>28</v>
      </c>
      <c r="M2959" s="2" t="s">
        <v>5</v>
      </c>
      <c r="N2959" s="4">
        <v>4985.71</v>
      </c>
    </row>
    <row r="2961" spans="1:14" x14ac:dyDescent="0.25">
      <c r="A2961" s="13" t="s">
        <v>59</v>
      </c>
      <c r="B2961" s="21"/>
      <c r="C2961" s="22">
        <f>SUM(C2944:C2960)</f>
        <v>406.92999999999995</v>
      </c>
      <c r="D2961" s="23">
        <f>SUM(D2944:D2960)</f>
        <v>4985.7139999999999</v>
      </c>
      <c r="E2961" s="23">
        <f>SUM(E2944:E2960)</f>
        <v>3553.6897500000005</v>
      </c>
      <c r="F2961" s="23">
        <f>D2961-E2961</f>
        <v>1432.0242499999995</v>
      </c>
      <c r="G2961" s="24">
        <f>IF(((D2961)=0),0,(D2961-E2961)/ D2961)</f>
        <v>0.28722551072925551</v>
      </c>
      <c r="H2961" s="21"/>
      <c r="I2961" s="21"/>
      <c r="J2961" s="21"/>
      <c r="K2961" s="21"/>
      <c r="L2961" s="21"/>
      <c r="M2961" s="21"/>
      <c r="N2961" s="21"/>
    </row>
    <row r="2963" spans="1:14" s="17" customFormat="1" ht="18.75" x14ac:dyDescent="0.3"/>
    <row r="2964" spans="1:14" s="7" customFormat="1" x14ac:dyDescent="0.25">
      <c r="A2964" s="13" t="s">
        <v>2033</v>
      </c>
      <c r="B2964" s="18" t="s">
        <v>2034</v>
      </c>
      <c r="C2964" s="19"/>
      <c r="D2964" s="20" t="s">
        <v>5</v>
      </c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</row>
    <row r="2966" spans="1:14" x14ac:dyDescent="0.25">
      <c r="A2966" s="2" t="s">
        <v>45</v>
      </c>
      <c r="B2966" s="2" t="s">
        <v>46</v>
      </c>
      <c r="C2966" s="3">
        <v>30.76</v>
      </c>
      <c r="D2966" s="4">
        <v>412.79919999999998</v>
      </c>
      <c r="E2966" s="4">
        <v>224.548</v>
      </c>
      <c r="F2966" s="4">
        <f>D2966-E2966</f>
        <v>188.25119999999998</v>
      </c>
      <c r="G2966" s="5">
        <f>IF(((D2966)=0),0,(D2966-E2966)/ D2966)</f>
        <v>0.4560357675111773</v>
      </c>
      <c r="H2966" s="2" t="s">
        <v>2035</v>
      </c>
      <c r="I2966" s="6" t="s">
        <v>32</v>
      </c>
      <c r="J2966" s="2" t="s">
        <v>2036</v>
      </c>
      <c r="K2966" s="2" t="s">
        <v>5</v>
      </c>
      <c r="L2966" s="2" t="s">
        <v>28</v>
      </c>
      <c r="M2966" s="2" t="s">
        <v>5</v>
      </c>
      <c r="N2966" s="4">
        <v>627.55999999999995</v>
      </c>
    </row>
    <row r="2967" spans="1:14" x14ac:dyDescent="0.25">
      <c r="A2967" s="2" t="s">
        <v>215</v>
      </c>
      <c r="B2967" s="2" t="s">
        <v>216</v>
      </c>
      <c r="C2967" s="3">
        <v>10.355</v>
      </c>
      <c r="D2967" s="4">
        <v>214.7627</v>
      </c>
      <c r="E2967" s="4">
        <v>157.91374999999999</v>
      </c>
      <c r="F2967" s="4">
        <f>D2967-E2967</f>
        <v>56.848950000000002</v>
      </c>
      <c r="G2967" s="5">
        <f>IF(((D2967)=0),0,(D2967-E2967)/ D2967)</f>
        <v>0.26470588235294118</v>
      </c>
      <c r="H2967" s="2" t="s">
        <v>2035</v>
      </c>
      <c r="I2967" s="6" t="s">
        <v>32</v>
      </c>
      <c r="J2967" s="2" t="s">
        <v>2036</v>
      </c>
      <c r="K2967" s="2" t="s">
        <v>5</v>
      </c>
      <c r="L2967" s="2" t="s">
        <v>28</v>
      </c>
      <c r="M2967" s="2" t="s">
        <v>5</v>
      </c>
      <c r="N2967" s="4">
        <v>627.55999999999995</v>
      </c>
    </row>
    <row r="2969" spans="1:14" x14ac:dyDescent="0.25">
      <c r="A2969" s="13" t="s">
        <v>59</v>
      </c>
      <c r="B2969" s="21"/>
      <c r="C2969" s="22">
        <f>SUM(C2963:C2968)</f>
        <v>41.115000000000002</v>
      </c>
      <c r="D2969" s="23">
        <f>SUM(D2963:D2968)</f>
        <v>627.56189999999992</v>
      </c>
      <c r="E2969" s="23">
        <f>SUM(E2963:E2968)</f>
        <v>382.46174999999999</v>
      </c>
      <c r="F2969" s="23">
        <f>D2969-E2969</f>
        <v>245.10014999999993</v>
      </c>
      <c r="G2969" s="24">
        <f>IF(((D2969)=0),0,(D2969-E2969)/ D2969)</f>
        <v>0.39055932171790536</v>
      </c>
      <c r="H2969" s="21"/>
      <c r="I2969" s="21"/>
      <c r="J2969" s="21"/>
      <c r="K2969" s="21"/>
      <c r="L2969" s="21"/>
      <c r="M2969" s="21"/>
      <c r="N2969" s="21"/>
    </row>
    <row r="2971" spans="1:14" s="17" customFormat="1" ht="18.75" x14ac:dyDescent="0.3"/>
    <row r="2972" spans="1:14" s="7" customFormat="1" x14ac:dyDescent="0.25">
      <c r="A2972" s="13" t="s">
        <v>2037</v>
      </c>
      <c r="B2972" s="18" t="s">
        <v>2038</v>
      </c>
      <c r="C2972" s="19"/>
      <c r="D2972" s="20" t="s">
        <v>5</v>
      </c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</row>
    <row r="2974" spans="1:14" x14ac:dyDescent="0.25">
      <c r="A2974" s="2" t="s">
        <v>813</v>
      </c>
      <c r="B2974" s="2" t="s">
        <v>814</v>
      </c>
      <c r="C2974" s="3">
        <v>20</v>
      </c>
      <c r="D2974" s="4">
        <v>248.6</v>
      </c>
      <c r="E2974" s="4">
        <v>210.6</v>
      </c>
      <c r="F2974" s="4">
        <f t="shared" ref="F2974:F2989" si="203">D2974-E2974</f>
        <v>38</v>
      </c>
      <c r="G2974" s="5">
        <f t="shared" ref="G2974:G2989" si="204">IF(((D2974)=0),0,(D2974-E2974)/ D2974)</f>
        <v>0.15285599356395818</v>
      </c>
      <c r="H2974" s="2" t="s">
        <v>2039</v>
      </c>
      <c r="I2974" s="6" t="s">
        <v>25</v>
      </c>
      <c r="J2974" s="2" t="s">
        <v>2040</v>
      </c>
      <c r="K2974" s="2" t="s">
        <v>2041</v>
      </c>
      <c r="L2974" s="2" t="s">
        <v>28</v>
      </c>
      <c r="M2974" s="2" t="s">
        <v>5</v>
      </c>
      <c r="N2974" s="4">
        <v>5175.08</v>
      </c>
    </row>
    <row r="2975" spans="1:14" x14ac:dyDescent="0.25">
      <c r="A2975" s="2" t="s">
        <v>29</v>
      </c>
      <c r="B2975" s="2" t="s">
        <v>30</v>
      </c>
      <c r="C2975" s="3">
        <v>13.425000000000001</v>
      </c>
      <c r="D2975" s="4">
        <v>169.155</v>
      </c>
      <c r="E2975" s="4">
        <v>134.25</v>
      </c>
      <c r="F2975" s="4">
        <f t="shared" si="203"/>
        <v>34.905000000000001</v>
      </c>
      <c r="G2975" s="5">
        <f t="shared" si="204"/>
        <v>0.20634920634920637</v>
      </c>
      <c r="H2975" s="2" t="s">
        <v>2039</v>
      </c>
      <c r="I2975" s="6" t="s">
        <v>25</v>
      </c>
      <c r="J2975" s="2" t="s">
        <v>2040</v>
      </c>
      <c r="K2975" s="2" t="s">
        <v>2041</v>
      </c>
      <c r="L2975" s="2" t="s">
        <v>28</v>
      </c>
      <c r="M2975" s="2" t="s">
        <v>5</v>
      </c>
      <c r="N2975" s="4">
        <v>5175.08</v>
      </c>
    </row>
    <row r="2976" spans="1:14" x14ac:dyDescent="0.25">
      <c r="A2976" s="2" t="s">
        <v>146</v>
      </c>
      <c r="B2976" s="2" t="s">
        <v>147</v>
      </c>
      <c r="C2976" s="3">
        <v>65.45</v>
      </c>
      <c r="D2976" s="4">
        <v>885.5385</v>
      </c>
      <c r="E2976" s="4">
        <v>739.58500000000004</v>
      </c>
      <c r="F2976" s="4">
        <f t="shared" si="203"/>
        <v>145.95349999999996</v>
      </c>
      <c r="G2976" s="5">
        <f t="shared" si="204"/>
        <v>0.16481892091648184</v>
      </c>
      <c r="H2976" s="2" t="s">
        <v>2039</v>
      </c>
      <c r="I2976" s="6" t="s">
        <v>25</v>
      </c>
      <c r="J2976" s="2" t="s">
        <v>2040</v>
      </c>
      <c r="K2976" s="2" t="s">
        <v>2041</v>
      </c>
      <c r="L2976" s="2" t="s">
        <v>28</v>
      </c>
      <c r="M2976" s="2" t="s">
        <v>5</v>
      </c>
      <c r="N2976" s="4">
        <v>5175.08</v>
      </c>
    </row>
    <row r="2977" spans="1:14" x14ac:dyDescent="0.25">
      <c r="A2977" s="2" t="s">
        <v>2031</v>
      </c>
      <c r="B2977" s="2" t="s">
        <v>2032</v>
      </c>
      <c r="C2977" s="3">
        <v>60.045000000000002</v>
      </c>
      <c r="D2977" s="4">
        <v>559.01895000000002</v>
      </c>
      <c r="E2977" s="4">
        <v>252.18899999999999</v>
      </c>
      <c r="F2977" s="4">
        <f t="shared" si="203"/>
        <v>306.82995000000005</v>
      </c>
      <c r="G2977" s="5">
        <f t="shared" si="204"/>
        <v>0.54887218045112784</v>
      </c>
      <c r="H2977" s="2" t="s">
        <v>2039</v>
      </c>
      <c r="I2977" s="6" t="s">
        <v>25</v>
      </c>
      <c r="J2977" s="2" t="s">
        <v>2040</v>
      </c>
      <c r="K2977" s="2" t="s">
        <v>2041</v>
      </c>
      <c r="L2977" s="2" t="s">
        <v>28</v>
      </c>
      <c r="M2977" s="2" t="s">
        <v>5</v>
      </c>
      <c r="N2977" s="4">
        <v>5175.08</v>
      </c>
    </row>
    <row r="2978" spans="1:14" x14ac:dyDescent="0.25">
      <c r="A2978" s="2" t="s">
        <v>705</v>
      </c>
      <c r="B2978" s="2" t="s">
        <v>706</v>
      </c>
      <c r="C2978" s="3">
        <v>30</v>
      </c>
      <c r="D2978" s="4">
        <v>382.8</v>
      </c>
      <c r="E2978" s="4">
        <v>225</v>
      </c>
      <c r="F2978" s="4">
        <f t="shared" si="203"/>
        <v>157.80000000000001</v>
      </c>
      <c r="G2978" s="5">
        <f t="shared" si="204"/>
        <v>0.41222570532915365</v>
      </c>
      <c r="H2978" s="2" t="s">
        <v>2039</v>
      </c>
      <c r="I2978" s="6" t="s">
        <v>25</v>
      </c>
      <c r="J2978" s="2" t="s">
        <v>2040</v>
      </c>
      <c r="K2978" s="2" t="s">
        <v>2041</v>
      </c>
      <c r="L2978" s="2" t="s">
        <v>28</v>
      </c>
      <c r="M2978" s="2" t="s">
        <v>5</v>
      </c>
      <c r="N2978" s="4">
        <v>5175.08</v>
      </c>
    </row>
    <row r="2979" spans="1:14" x14ac:dyDescent="0.25">
      <c r="A2979" s="2" t="s">
        <v>211</v>
      </c>
      <c r="B2979" s="2" t="s">
        <v>212</v>
      </c>
      <c r="C2979" s="3">
        <v>31.19</v>
      </c>
      <c r="D2979" s="4">
        <v>124.4481</v>
      </c>
      <c r="E2979" s="4">
        <v>77.974999999999994</v>
      </c>
      <c r="F2979" s="4">
        <f t="shared" si="203"/>
        <v>46.473100000000002</v>
      </c>
      <c r="G2979" s="5">
        <f t="shared" si="204"/>
        <v>0.37343358395989978</v>
      </c>
      <c r="H2979" s="2" t="s">
        <v>2039</v>
      </c>
      <c r="I2979" s="6" t="s">
        <v>25</v>
      </c>
      <c r="J2979" s="2" t="s">
        <v>2040</v>
      </c>
      <c r="K2979" s="2" t="s">
        <v>2041</v>
      </c>
      <c r="L2979" s="2" t="s">
        <v>28</v>
      </c>
      <c r="M2979" s="2" t="s">
        <v>5</v>
      </c>
      <c r="N2979" s="4">
        <v>5175.08</v>
      </c>
    </row>
    <row r="2980" spans="1:14" x14ac:dyDescent="0.25">
      <c r="A2980" s="2" t="s">
        <v>807</v>
      </c>
      <c r="B2980" s="2" t="s">
        <v>808</v>
      </c>
      <c r="C2980" s="3">
        <v>10</v>
      </c>
      <c r="D2980" s="4">
        <v>85.8</v>
      </c>
      <c r="E2980" s="4">
        <v>60.9</v>
      </c>
      <c r="F2980" s="4">
        <f t="shared" si="203"/>
        <v>24.9</v>
      </c>
      <c r="G2980" s="5">
        <f t="shared" si="204"/>
        <v>0.29020979020979021</v>
      </c>
      <c r="H2980" s="2" t="s">
        <v>2039</v>
      </c>
      <c r="I2980" s="6" t="s">
        <v>25</v>
      </c>
      <c r="J2980" s="2" t="s">
        <v>2040</v>
      </c>
      <c r="K2980" s="2" t="s">
        <v>2041</v>
      </c>
      <c r="L2980" s="2" t="s">
        <v>28</v>
      </c>
      <c r="M2980" s="2" t="s">
        <v>5</v>
      </c>
      <c r="N2980" s="4">
        <v>5175.08</v>
      </c>
    </row>
    <row r="2981" spans="1:14" x14ac:dyDescent="0.25">
      <c r="A2981" s="2" t="s">
        <v>49</v>
      </c>
      <c r="B2981" s="2" t="s">
        <v>50</v>
      </c>
      <c r="C2981" s="3">
        <v>8</v>
      </c>
      <c r="D2981" s="4">
        <v>153.84</v>
      </c>
      <c r="E2981" s="4">
        <v>88.24</v>
      </c>
      <c r="F2981" s="4">
        <f t="shared" si="203"/>
        <v>65.600000000000009</v>
      </c>
      <c r="G2981" s="5">
        <f t="shared" si="204"/>
        <v>0.42641705668226731</v>
      </c>
      <c r="H2981" s="2" t="s">
        <v>2039</v>
      </c>
      <c r="I2981" s="6" t="s">
        <v>25</v>
      </c>
      <c r="J2981" s="2" t="s">
        <v>2040</v>
      </c>
      <c r="K2981" s="2" t="s">
        <v>2041</v>
      </c>
      <c r="L2981" s="2" t="s">
        <v>28</v>
      </c>
      <c r="M2981" s="2" t="s">
        <v>5</v>
      </c>
      <c r="N2981" s="4">
        <v>5175.08</v>
      </c>
    </row>
    <row r="2982" spans="1:14" x14ac:dyDescent="0.25">
      <c r="A2982" s="2" t="s">
        <v>622</v>
      </c>
      <c r="B2982" s="2" t="s">
        <v>623</v>
      </c>
      <c r="C2982" s="3">
        <v>16</v>
      </c>
      <c r="D2982" s="4">
        <v>296.8</v>
      </c>
      <c r="E2982" s="4">
        <v>224</v>
      </c>
      <c r="F2982" s="4">
        <f t="shared" si="203"/>
        <v>72.800000000000011</v>
      </c>
      <c r="G2982" s="5">
        <f t="shared" si="204"/>
        <v>0.24528301886792456</v>
      </c>
      <c r="H2982" s="2" t="s">
        <v>2039</v>
      </c>
      <c r="I2982" s="6" t="s">
        <v>25</v>
      </c>
      <c r="J2982" s="2" t="s">
        <v>2040</v>
      </c>
      <c r="K2982" s="2" t="s">
        <v>2041</v>
      </c>
      <c r="L2982" s="2" t="s">
        <v>28</v>
      </c>
      <c r="M2982" s="2" t="s">
        <v>5</v>
      </c>
      <c r="N2982" s="4">
        <v>5175.08</v>
      </c>
    </row>
    <row r="2983" spans="1:14" x14ac:dyDescent="0.25">
      <c r="A2983" s="2" t="s">
        <v>579</v>
      </c>
      <c r="B2983" s="2" t="s">
        <v>580</v>
      </c>
      <c r="C2983" s="3">
        <v>29.45</v>
      </c>
      <c r="D2983" s="4">
        <v>447.64</v>
      </c>
      <c r="E2983" s="4">
        <v>273.88499999999999</v>
      </c>
      <c r="F2983" s="4">
        <f t="shared" si="203"/>
        <v>173.755</v>
      </c>
      <c r="G2983" s="5">
        <f t="shared" si="204"/>
        <v>0.38815789473684209</v>
      </c>
      <c r="H2983" s="2" t="s">
        <v>2039</v>
      </c>
      <c r="I2983" s="6" t="s">
        <v>25</v>
      </c>
      <c r="J2983" s="2" t="s">
        <v>2040</v>
      </c>
      <c r="K2983" s="2" t="s">
        <v>2041</v>
      </c>
      <c r="L2983" s="2" t="s">
        <v>28</v>
      </c>
      <c r="M2983" s="2" t="s">
        <v>5</v>
      </c>
      <c r="N2983" s="4">
        <v>5175.08</v>
      </c>
    </row>
    <row r="2984" spans="1:14" x14ac:dyDescent="0.25">
      <c r="A2984" s="2" t="s">
        <v>713</v>
      </c>
      <c r="B2984" s="2" t="s">
        <v>714</v>
      </c>
      <c r="C2984" s="3">
        <v>29.9</v>
      </c>
      <c r="D2984" s="4">
        <v>313.053</v>
      </c>
      <c r="E2984" s="4">
        <v>261.625</v>
      </c>
      <c r="F2984" s="4">
        <f t="shared" si="203"/>
        <v>51.427999999999997</v>
      </c>
      <c r="G2984" s="5">
        <f t="shared" si="204"/>
        <v>0.16427889207258833</v>
      </c>
      <c r="H2984" s="2" t="s">
        <v>2039</v>
      </c>
      <c r="I2984" s="6" t="s">
        <v>25</v>
      </c>
      <c r="J2984" s="2" t="s">
        <v>2040</v>
      </c>
      <c r="K2984" s="2" t="s">
        <v>2041</v>
      </c>
      <c r="L2984" s="2" t="s">
        <v>28</v>
      </c>
      <c r="M2984" s="2" t="s">
        <v>5</v>
      </c>
      <c r="N2984" s="4">
        <v>5175.08</v>
      </c>
    </row>
    <row r="2985" spans="1:14" x14ac:dyDescent="0.25">
      <c r="A2985" s="2" t="s">
        <v>624</v>
      </c>
      <c r="B2985" s="2" t="s">
        <v>625</v>
      </c>
      <c r="C2985" s="3">
        <v>15.05</v>
      </c>
      <c r="D2985" s="4">
        <v>180.4495</v>
      </c>
      <c r="E2985" s="4">
        <v>112.875</v>
      </c>
      <c r="F2985" s="4">
        <f t="shared" si="203"/>
        <v>67.5745</v>
      </c>
      <c r="G2985" s="5">
        <f t="shared" si="204"/>
        <v>0.37447873227689743</v>
      </c>
      <c r="H2985" s="2" t="s">
        <v>2039</v>
      </c>
      <c r="I2985" s="6" t="s">
        <v>25</v>
      </c>
      <c r="J2985" s="2" t="s">
        <v>2040</v>
      </c>
      <c r="K2985" s="2" t="s">
        <v>2041</v>
      </c>
      <c r="L2985" s="2" t="s">
        <v>28</v>
      </c>
      <c r="M2985" s="2" t="s">
        <v>5</v>
      </c>
      <c r="N2985" s="4">
        <v>5175.08</v>
      </c>
    </row>
    <row r="2986" spans="1:14" x14ac:dyDescent="0.25">
      <c r="A2986" s="2" t="s">
        <v>53</v>
      </c>
      <c r="B2986" s="2" t="s">
        <v>54</v>
      </c>
      <c r="C2986" s="3">
        <v>27.94</v>
      </c>
      <c r="D2986" s="4">
        <v>237.49</v>
      </c>
      <c r="E2986" s="4">
        <v>203.96199999999999</v>
      </c>
      <c r="F2986" s="4">
        <f t="shared" si="203"/>
        <v>33.52800000000002</v>
      </c>
      <c r="G2986" s="5">
        <f t="shared" si="204"/>
        <v>0.14117647058823538</v>
      </c>
      <c r="H2986" s="2" t="s">
        <v>2039</v>
      </c>
      <c r="I2986" s="6" t="s">
        <v>25</v>
      </c>
      <c r="J2986" s="2" t="s">
        <v>2040</v>
      </c>
      <c r="K2986" s="2" t="s">
        <v>2041</v>
      </c>
      <c r="L2986" s="2" t="s">
        <v>28</v>
      </c>
      <c r="M2986" s="2" t="s">
        <v>5</v>
      </c>
      <c r="N2986" s="4">
        <v>5175.08</v>
      </c>
    </row>
    <row r="2987" spans="1:14" x14ac:dyDescent="0.25">
      <c r="A2987" s="2" t="s">
        <v>136</v>
      </c>
      <c r="B2987" s="2" t="s">
        <v>137</v>
      </c>
      <c r="C2987" s="3">
        <v>30.45</v>
      </c>
      <c r="D2987" s="4">
        <v>730.8</v>
      </c>
      <c r="E2987" s="4">
        <v>426.3</v>
      </c>
      <c r="F2987" s="4">
        <f t="shared" si="203"/>
        <v>304.49999999999994</v>
      </c>
      <c r="G2987" s="5">
        <f t="shared" si="204"/>
        <v>0.41666666666666663</v>
      </c>
      <c r="H2987" s="2" t="s">
        <v>2039</v>
      </c>
      <c r="I2987" s="6" t="s">
        <v>25</v>
      </c>
      <c r="J2987" s="2" t="s">
        <v>2040</v>
      </c>
      <c r="K2987" s="2" t="s">
        <v>2041</v>
      </c>
      <c r="L2987" s="2" t="s">
        <v>28</v>
      </c>
      <c r="M2987" s="2" t="s">
        <v>5</v>
      </c>
      <c r="N2987" s="4">
        <v>5175.08</v>
      </c>
    </row>
    <row r="2988" spans="1:14" x14ac:dyDescent="0.25">
      <c r="A2988" s="2" t="s">
        <v>741</v>
      </c>
      <c r="B2988" s="2" t="s">
        <v>742</v>
      </c>
      <c r="C2988" s="3">
        <v>4</v>
      </c>
      <c r="D2988" s="4">
        <v>86.44</v>
      </c>
      <c r="E2988" s="4">
        <v>61</v>
      </c>
      <c r="F2988" s="4">
        <f t="shared" si="203"/>
        <v>25.439999999999998</v>
      </c>
      <c r="G2988" s="5">
        <f t="shared" si="204"/>
        <v>0.29430819065247571</v>
      </c>
      <c r="H2988" s="2" t="s">
        <v>2039</v>
      </c>
      <c r="I2988" s="6" t="s">
        <v>25</v>
      </c>
      <c r="J2988" s="2" t="s">
        <v>2040</v>
      </c>
      <c r="K2988" s="2" t="s">
        <v>2041</v>
      </c>
      <c r="L2988" s="2" t="s">
        <v>28</v>
      </c>
      <c r="M2988" s="2" t="s">
        <v>5</v>
      </c>
      <c r="N2988" s="4">
        <v>5175.08</v>
      </c>
    </row>
    <row r="2989" spans="1:14" x14ac:dyDescent="0.25">
      <c r="A2989" s="2" t="s">
        <v>250</v>
      </c>
      <c r="B2989" s="2" t="s">
        <v>251</v>
      </c>
      <c r="C2989" s="3">
        <v>21.7</v>
      </c>
      <c r="D2989" s="4">
        <v>273.20299999999997</v>
      </c>
      <c r="E2989" s="4">
        <v>184.45</v>
      </c>
      <c r="F2989" s="4">
        <f t="shared" si="203"/>
        <v>88.752999999999986</v>
      </c>
      <c r="G2989" s="5">
        <f t="shared" si="204"/>
        <v>0.32486100079428115</v>
      </c>
      <c r="H2989" s="2" t="s">
        <v>2039</v>
      </c>
      <c r="I2989" s="6" t="s">
        <v>25</v>
      </c>
      <c r="J2989" s="2" t="s">
        <v>2040</v>
      </c>
      <c r="K2989" s="2" t="s">
        <v>2041</v>
      </c>
      <c r="L2989" s="2" t="s">
        <v>28</v>
      </c>
      <c r="M2989" s="2" t="s">
        <v>5</v>
      </c>
      <c r="N2989" s="4">
        <v>5175.08</v>
      </c>
    </row>
    <row r="2991" spans="1:14" x14ac:dyDescent="0.25">
      <c r="A2991" s="13" t="s">
        <v>59</v>
      </c>
      <c r="B2991" s="21"/>
      <c r="C2991" s="22">
        <f>SUM(C2971:C2990)</f>
        <v>412.59999999999997</v>
      </c>
      <c r="D2991" s="23">
        <f>SUM(D2971:D2990)</f>
        <v>5175.0760499999997</v>
      </c>
      <c r="E2991" s="23">
        <f>SUM(E2971:E2990)</f>
        <v>3536.8359999999998</v>
      </c>
      <c r="F2991" s="23">
        <f>D2991-E2991</f>
        <v>1638.2400499999999</v>
      </c>
      <c r="G2991" s="24">
        <f>IF(((D2991)=0),0,(D2991-E2991)/ D2991)</f>
        <v>0.31656347349716724</v>
      </c>
      <c r="H2991" s="21"/>
      <c r="I2991" s="21"/>
      <c r="J2991" s="21"/>
      <c r="K2991" s="21"/>
      <c r="L2991" s="21"/>
      <c r="M2991" s="21"/>
      <c r="N2991" s="21"/>
    </row>
    <row r="2993" spans="1:14" s="17" customFormat="1" ht="18.75" x14ac:dyDescent="0.3"/>
    <row r="2994" spans="1:14" s="7" customFormat="1" x14ac:dyDescent="0.25">
      <c r="A2994" s="13" t="s">
        <v>2042</v>
      </c>
      <c r="B2994" s="18" t="s">
        <v>2043</v>
      </c>
      <c r="C2994" s="19"/>
      <c r="D2994" s="20" t="s">
        <v>5</v>
      </c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</row>
    <row r="2996" spans="1:14" x14ac:dyDescent="0.25">
      <c r="A2996" s="2" t="s">
        <v>966</v>
      </c>
      <c r="B2996" s="2" t="s">
        <v>967</v>
      </c>
      <c r="C2996" s="3">
        <v>15</v>
      </c>
      <c r="D2996" s="4">
        <v>229.8</v>
      </c>
      <c r="E2996" s="4">
        <v>177</v>
      </c>
      <c r="F2996" s="4">
        <f>D2996-E2996</f>
        <v>52.800000000000011</v>
      </c>
      <c r="G2996" s="5">
        <f>IF(((D2996)=0),0,(D2996-E2996)/ D2996)</f>
        <v>0.22976501305483032</v>
      </c>
      <c r="H2996" s="2" t="s">
        <v>2044</v>
      </c>
      <c r="I2996" s="6" t="s">
        <v>69</v>
      </c>
      <c r="J2996" s="2" t="s">
        <v>2045</v>
      </c>
      <c r="K2996" s="2" t="s">
        <v>5</v>
      </c>
      <c r="L2996" s="2" t="s">
        <v>28</v>
      </c>
      <c r="M2996" s="2" t="s">
        <v>5</v>
      </c>
      <c r="N2996" s="4">
        <v>229.8</v>
      </c>
    </row>
    <row r="2997" spans="1:14" x14ac:dyDescent="0.25">
      <c r="A2997" s="2" t="s">
        <v>966</v>
      </c>
      <c r="B2997" s="2" t="s">
        <v>967</v>
      </c>
      <c r="C2997" s="3">
        <v>10.055</v>
      </c>
      <c r="D2997" s="4">
        <v>154.04259999999999</v>
      </c>
      <c r="E2997" s="4">
        <v>118.649</v>
      </c>
      <c r="F2997" s="4">
        <f>D2997-E2997</f>
        <v>35.393599999999992</v>
      </c>
      <c r="G2997" s="5">
        <f>IF(((D2997)=0),0,(D2997-E2997)/ D2997)</f>
        <v>0.22976501305483024</v>
      </c>
      <c r="H2997" s="2" t="s">
        <v>2046</v>
      </c>
      <c r="I2997" s="6" t="s">
        <v>32</v>
      </c>
      <c r="J2997" s="2" t="s">
        <v>2047</v>
      </c>
      <c r="K2997" s="2" t="s">
        <v>5</v>
      </c>
      <c r="L2997" s="2" t="s">
        <v>28</v>
      </c>
      <c r="M2997" s="2" t="s">
        <v>5</v>
      </c>
      <c r="N2997" s="4">
        <v>154.04</v>
      </c>
    </row>
    <row r="2999" spans="1:14" x14ac:dyDescent="0.25">
      <c r="A2999" s="13" t="s">
        <v>59</v>
      </c>
      <c r="B2999" s="21"/>
      <c r="C2999" s="22">
        <f>SUM(C2993:C2998)</f>
        <v>25.055</v>
      </c>
      <c r="D2999" s="23">
        <f>SUM(D2993:D2998)</f>
        <v>383.8426</v>
      </c>
      <c r="E2999" s="23">
        <f>SUM(E2993:E2998)</f>
        <v>295.649</v>
      </c>
      <c r="F2999" s="23">
        <f>D2999-E2999</f>
        <v>88.193600000000004</v>
      </c>
      <c r="G2999" s="24">
        <f>IF(((D2999)=0),0,(D2999-E2999)/ D2999)</f>
        <v>0.2297650130548303</v>
      </c>
      <c r="H2999" s="21"/>
      <c r="I2999" s="21"/>
      <c r="J2999" s="21"/>
      <c r="K2999" s="21"/>
      <c r="L2999" s="21"/>
      <c r="M2999" s="21"/>
      <c r="N2999" s="21"/>
    </row>
    <row r="3001" spans="1:14" s="17" customFormat="1" ht="18.75" x14ac:dyDescent="0.3"/>
    <row r="3002" spans="1:14" s="7" customFormat="1" x14ac:dyDescent="0.25">
      <c r="A3002" s="13" t="s">
        <v>2048</v>
      </c>
      <c r="B3002" s="18" t="s">
        <v>2049</v>
      </c>
      <c r="C3002" s="19"/>
      <c r="D3002" s="20" t="s">
        <v>5</v>
      </c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</row>
    <row r="3004" spans="1:14" x14ac:dyDescent="0.25">
      <c r="A3004" s="2" t="s">
        <v>128</v>
      </c>
      <c r="B3004" s="2" t="s">
        <v>129</v>
      </c>
      <c r="C3004" s="3">
        <v>40</v>
      </c>
      <c r="D3004" s="4">
        <v>602</v>
      </c>
      <c r="E3004" s="4">
        <v>439.2</v>
      </c>
      <c r="F3004" s="4">
        <f t="shared" ref="F3004:F3017" si="205">D3004-E3004</f>
        <v>162.80000000000001</v>
      </c>
      <c r="G3004" s="5">
        <f t="shared" ref="G3004:G3017" si="206">IF(((D3004)=0),0,(D3004-E3004)/ D3004)</f>
        <v>0.27043189368770765</v>
      </c>
      <c r="H3004" s="2" t="s">
        <v>2050</v>
      </c>
      <c r="I3004" s="6" t="s">
        <v>25</v>
      </c>
      <c r="J3004" s="2" t="s">
        <v>2051</v>
      </c>
      <c r="K3004" s="2" t="s">
        <v>2052</v>
      </c>
      <c r="L3004" s="2" t="s">
        <v>28</v>
      </c>
      <c r="M3004" s="2" t="s">
        <v>5</v>
      </c>
      <c r="N3004" s="4">
        <v>9584.11</v>
      </c>
    </row>
    <row r="3005" spans="1:14" x14ac:dyDescent="0.25">
      <c r="A3005" s="2" t="s">
        <v>22</v>
      </c>
      <c r="B3005" s="2" t="s">
        <v>23</v>
      </c>
      <c r="C3005" s="3">
        <v>48.83</v>
      </c>
      <c r="D3005" s="4">
        <v>682.15509999999995</v>
      </c>
      <c r="E3005" s="4">
        <v>537.13</v>
      </c>
      <c r="F3005" s="4">
        <f t="shared" si="205"/>
        <v>145.02509999999995</v>
      </c>
      <c r="G3005" s="5">
        <f t="shared" si="206"/>
        <v>0.21259842519685035</v>
      </c>
      <c r="H3005" s="2" t="s">
        <v>2050</v>
      </c>
      <c r="I3005" s="6" t="s">
        <v>25</v>
      </c>
      <c r="J3005" s="2" t="s">
        <v>2051</v>
      </c>
      <c r="K3005" s="2" t="s">
        <v>2052</v>
      </c>
      <c r="L3005" s="2" t="s">
        <v>28</v>
      </c>
      <c r="M3005" s="2" t="s">
        <v>5</v>
      </c>
      <c r="N3005" s="4">
        <v>9584.11</v>
      </c>
    </row>
    <row r="3006" spans="1:14" x14ac:dyDescent="0.25">
      <c r="A3006" s="2" t="s">
        <v>29</v>
      </c>
      <c r="B3006" s="2" t="s">
        <v>30</v>
      </c>
      <c r="C3006" s="3">
        <v>12.77</v>
      </c>
      <c r="D3006" s="4">
        <v>158.60339999999999</v>
      </c>
      <c r="E3006" s="4">
        <v>127.7</v>
      </c>
      <c r="F3006" s="4">
        <f t="shared" si="205"/>
        <v>30.903399999999991</v>
      </c>
      <c r="G3006" s="5">
        <f t="shared" si="206"/>
        <v>0.19484702093397741</v>
      </c>
      <c r="H3006" s="2" t="s">
        <v>2050</v>
      </c>
      <c r="I3006" s="6" t="s">
        <v>25</v>
      </c>
      <c r="J3006" s="2" t="s">
        <v>2051</v>
      </c>
      <c r="K3006" s="2" t="s">
        <v>2052</v>
      </c>
      <c r="L3006" s="2" t="s">
        <v>28</v>
      </c>
      <c r="M3006" s="2" t="s">
        <v>5</v>
      </c>
      <c r="N3006" s="4">
        <v>9584.11</v>
      </c>
    </row>
    <row r="3007" spans="1:14" x14ac:dyDescent="0.25">
      <c r="A3007" s="2" t="s">
        <v>1226</v>
      </c>
      <c r="B3007" s="2" t="s">
        <v>1227</v>
      </c>
      <c r="C3007" s="3">
        <v>30</v>
      </c>
      <c r="D3007" s="4">
        <v>387</v>
      </c>
      <c r="E3007" s="4">
        <v>144.9</v>
      </c>
      <c r="F3007" s="4">
        <f t="shared" si="205"/>
        <v>242.1</v>
      </c>
      <c r="G3007" s="5">
        <f t="shared" si="206"/>
        <v>0.62558139534883717</v>
      </c>
      <c r="H3007" s="2" t="s">
        <v>2050</v>
      </c>
      <c r="I3007" s="6" t="s">
        <v>25</v>
      </c>
      <c r="J3007" s="2" t="s">
        <v>2051</v>
      </c>
      <c r="K3007" s="2" t="s">
        <v>2052</v>
      </c>
      <c r="L3007" s="2" t="s">
        <v>28</v>
      </c>
      <c r="M3007" s="2" t="s">
        <v>5</v>
      </c>
      <c r="N3007" s="4">
        <v>9584.11</v>
      </c>
    </row>
    <row r="3008" spans="1:14" x14ac:dyDescent="0.25">
      <c r="A3008" s="2" t="s">
        <v>150</v>
      </c>
      <c r="B3008" s="2" t="s">
        <v>151</v>
      </c>
      <c r="C3008" s="3">
        <v>26.215</v>
      </c>
      <c r="D3008" s="4">
        <v>366.22354999999999</v>
      </c>
      <c r="E3008" s="4">
        <v>256.90699999999998</v>
      </c>
      <c r="F3008" s="4">
        <f t="shared" si="205"/>
        <v>109.31655000000001</v>
      </c>
      <c r="G3008" s="5">
        <f t="shared" si="206"/>
        <v>0.29849677881173947</v>
      </c>
      <c r="H3008" s="2" t="s">
        <v>2050</v>
      </c>
      <c r="I3008" s="6" t="s">
        <v>25</v>
      </c>
      <c r="J3008" s="2" t="s">
        <v>2051</v>
      </c>
      <c r="K3008" s="2" t="s">
        <v>2052</v>
      </c>
      <c r="L3008" s="2" t="s">
        <v>28</v>
      </c>
      <c r="M3008" s="2" t="s">
        <v>5</v>
      </c>
      <c r="N3008" s="4">
        <v>9584.11</v>
      </c>
    </row>
    <row r="3009" spans="1:14" x14ac:dyDescent="0.25">
      <c r="A3009" s="2" t="s">
        <v>203</v>
      </c>
      <c r="B3009" s="2" t="s">
        <v>204</v>
      </c>
      <c r="C3009" s="3">
        <v>90.76</v>
      </c>
      <c r="D3009" s="4">
        <v>1170.8040000000001</v>
      </c>
      <c r="E3009" s="4">
        <v>453.8</v>
      </c>
      <c r="F3009" s="4">
        <f t="shared" si="205"/>
        <v>717.00400000000013</v>
      </c>
      <c r="G3009" s="5">
        <f t="shared" si="206"/>
        <v>0.61240310077519389</v>
      </c>
      <c r="H3009" s="2" t="s">
        <v>2050</v>
      </c>
      <c r="I3009" s="6" t="s">
        <v>25</v>
      </c>
      <c r="J3009" s="2" t="s">
        <v>2051</v>
      </c>
      <c r="K3009" s="2" t="s">
        <v>2052</v>
      </c>
      <c r="L3009" s="2" t="s">
        <v>28</v>
      </c>
      <c r="M3009" s="2" t="s">
        <v>5</v>
      </c>
      <c r="N3009" s="4">
        <v>9584.11</v>
      </c>
    </row>
    <row r="3010" spans="1:14" x14ac:dyDescent="0.25">
      <c r="A3010" s="2" t="s">
        <v>45</v>
      </c>
      <c r="B3010" s="2" t="s">
        <v>46</v>
      </c>
      <c r="C3010" s="3">
        <v>84</v>
      </c>
      <c r="D3010" s="4">
        <v>1037.4000000000001</v>
      </c>
      <c r="E3010" s="4">
        <v>613.20000000000005</v>
      </c>
      <c r="F3010" s="4">
        <f t="shared" si="205"/>
        <v>424.20000000000005</v>
      </c>
      <c r="G3010" s="5">
        <f t="shared" si="206"/>
        <v>0.40890688259109315</v>
      </c>
      <c r="H3010" s="2" t="s">
        <v>2050</v>
      </c>
      <c r="I3010" s="6" t="s">
        <v>25</v>
      </c>
      <c r="J3010" s="2" t="s">
        <v>2051</v>
      </c>
      <c r="K3010" s="2" t="s">
        <v>2052</v>
      </c>
      <c r="L3010" s="2" t="s">
        <v>28</v>
      </c>
      <c r="M3010" s="2" t="s">
        <v>5</v>
      </c>
      <c r="N3010" s="4">
        <v>9584.11</v>
      </c>
    </row>
    <row r="3011" spans="1:14" x14ac:dyDescent="0.25">
      <c r="A3011" s="2" t="s">
        <v>51</v>
      </c>
      <c r="B3011" s="2" t="s">
        <v>52</v>
      </c>
      <c r="C3011" s="3">
        <v>84.18</v>
      </c>
      <c r="D3011" s="4">
        <v>1358.6651999999999</v>
      </c>
      <c r="E3011" s="4">
        <v>1388.97</v>
      </c>
      <c r="F3011" s="4">
        <f t="shared" si="205"/>
        <v>-30.304800000000114</v>
      </c>
      <c r="G3011" s="5">
        <f t="shared" si="206"/>
        <v>-2.2304832713754733E-2</v>
      </c>
      <c r="H3011" s="2" t="s">
        <v>2050</v>
      </c>
      <c r="I3011" s="6" t="s">
        <v>25</v>
      </c>
      <c r="J3011" s="2" t="s">
        <v>2051</v>
      </c>
      <c r="K3011" s="2" t="s">
        <v>2052</v>
      </c>
      <c r="L3011" s="2" t="s">
        <v>28</v>
      </c>
      <c r="M3011" s="2" t="s">
        <v>5</v>
      </c>
      <c r="N3011" s="4">
        <v>9584.11</v>
      </c>
    </row>
    <row r="3012" spans="1:14" x14ac:dyDescent="0.25">
      <c r="A3012" s="2" t="s">
        <v>217</v>
      </c>
      <c r="B3012" s="2" t="s">
        <v>218</v>
      </c>
      <c r="C3012" s="3">
        <v>80.84</v>
      </c>
      <c r="D3012" s="4">
        <v>1177.8388</v>
      </c>
      <c r="E3012" s="4">
        <v>881.15599999999995</v>
      </c>
      <c r="F3012" s="4">
        <f t="shared" si="205"/>
        <v>296.68280000000004</v>
      </c>
      <c r="G3012" s="5">
        <f t="shared" si="206"/>
        <v>0.25188743994509272</v>
      </c>
      <c r="H3012" s="2" t="s">
        <v>2050</v>
      </c>
      <c r="I3012" s="6" t="s">
        <v>25</v>
      </c>
      <c r="J3012" s="2" t="s">
        <v>2051</v>
      </c>
      <c r="K3012" s="2" t="s">
        <v>2052</v>
      </c>
      <c r="L3012" s="2" t="s">
        <v>28</v>
      </c>
      <c r="M3012" s="2" t="s">
        <v>5</v>
      </c>
      <c r="N3012" s="4">
        <v>9584.11</v>
      </c>
    </row>
    <row r="3013" spans="1:14" x14ac:dyDescent="0.25">
      <c r="A3013" s="2" t="s">
        <v>713</v>
      </c>
      <c r="B3013" s="2" t="s">
        <v>714</v>
      </c>
      <c r="C3013" s="3">
        <v>29.9</v>
      </c>
      <c r="D3013" s="4">
        <v>414.71300000000002</v>
      </c>
      <c r="E3013" s="4">
        <v>261.625</v>
      </c>
      <c r="F3013" s="4">
        <f t="shared" si="205"/>
        <v>153.08800000000002</v>
      </c>
      <c r="G3013" s="5">
        <f t="shared" si="206"/>
        <v>0.36914203316510458</v>
      </c>
      <c r="H3013" s="2" t="s">
        <v>2050</v>
      </c>
      <c r="I3013" s="6" t="s">
        <v>25</v>
      </c>
      <c r="J3013" s="2" t="s">
        <v>2051</v>
      </c>
      <c r="K3013" s="2" t="s">
        <v>2052</v>
      </c>
      <c r="L3013" s="2" t="s">
        <v>28</v>
      </c>
      <c r="M3013" s="2" t="s">
        <v>5</v>
      </c>
      <c r="N3013" s="4">
        <v>9584.11</v>
      </c>
    </row>
    <row r="3014" spans="1:14" x14ac:dyDescent="0.25">
      <c r="A3014" s="2" t="s">
        <v>2053</v>
      </c>
      <c r="B3014" s="2" t="s">
        <v>2054</v>
      </c>
      <c r="C3014" s="3">
        <v>25.04</v>
      </c>
      <c r="D3014" s="4">
        <v>229.8672</v>
      </c>
      <c r="E3014" s="4">
        <v>182.792</v>
      </c>
      <c r="F3014" s="4">
        <f t="shared" si="205"/>
        <v>47.075199999999995</v>
      </c>
      <c r="G3014" s="5">
        <f t="shared" si="206"/>
        <v>0.20479302832244006</v>
      </c>
      <c r="H3014" s="2" t="s">
        <v>2050</v>
      </c>
      <c r="I3014" s="6" t="s">
        <v>25</v>
      </c>
      <c r="J3014" s="2" t="s">
        <v>2051</v>
      </c>
      <c r="K3014" s="2" t="s">
        <v>2052</v>
      </c>
      <c r="L3014" s="2" t="s">
        <v>28</v>
      </c>
      <c r="M3014" s="2" t="s">
        <v>5</v>
      </c>
      <c r="N3014" s="4">
        <v>9584.11</v>
      </c>
    </row>
    <row r="3015" spans="1:14" x14ac:dyDescent="0.25">
      <c r="A3015" s="2" t="s">
        <v>1209</v>
      </c>
      <c r="B3015" s="2" t="s">
        <v>1210</v>
      </c>
      <c r="C3015" s="3">
        <v>23.36</v>
      </c>
      <c r="D3015" s="4">
        <v>383.33760000000001</v>
      </c>
      <c r="E3015" s="4">
        <v>175.2</v>
      </c>
      <c r="F3015" s="4">
        <f t="shared" si="205"/>
        <v>208.13760000000002</v>
      </c>
      <c r="G3015" s="5">
        <f t="shared" si="206"/>
        <v>0.54296160877513711</v>
      </c>
      <c r="H3015" s="2" t="s">
        <v>2050</v>
      </c>
      <c r="I3015" s="6" t="s">
        <v>25</v>
      </c>
      <c r="J3015" s="2" t="s">
        <v>2051</v>
      </c>
      <c r="K3015" s="2" t="s">
        <v>2052</v>
      </c>
      <c r="L3015" s="2" t="s">
        <v>28</v>
      </c>
      <c r="M3015" s="2" t="s">
        <v>5</v>
      </c>
      <c r="N3015" s="4">
        <v>9584.11</v>
      </c>
    </row>
    <row r="3016" spans="1:14" x14ac:dyDescent="0.25">
      <c r="A3016" s="2" t="s">
        <v>589</v>
      </c>
      <c r="B3016" s="2" t="s">
        <v>590</v>
      </c>
      <c r="C3016" s="3">
        <v>60.7</v>
      </c>
      <c r="D3016" s="4">
        <v>1329.33</v>
      </c>
      <c r="E3016" s="4">
        <v>834.625</v>
      </c>
      <c r="F3016" s="4">
        <f t="shared" si="205"/>
        <v>494.70499999999993</v>
      </c>
      <c r="G3016" s="5">
        <f t="shared" si="206"/>
        <v>0.37214611872146114</v>
      </c>
      <c r="H3016" s="2" t="s">
        <v>2050</v>
      </c>
      <c r="I3016" s="6" t="s">
        <v>25</v>
      </c>
      <c r="J3016" s="2" t="s">
        <v>2051</v>
      </c>
      <c r="K3016" s="2" t="s">
        <v>2052</v>
      </c>
      <c r="L3016" s="2" t="s">
        <v>28</v>
      </c>
      <c r="M3016" s="2" t="s">
        <v>5</v>
      </c>
      <c r="N3016" s="4">
        <v>9584.11</v>
      </c>
    </row>
    <row r="3017" spans="1:14" x14ac:dyDescent="0.25">
      <c r="A3017" s="2" t="s">
        <v>55</v>
      </c>
      <c r="B3017" s="2" t="s">
        <v>56</v>
      </c>
      <c r="C3017" s="3">
        <v>14.33</v>
      </c>
      <c r="D3017" s="4">
        <v>286.17009999999999</v>
      </c>
      <c r="E3017" s="4">
        <v>169.09399999999999</v>
      </c>
      <c r="F3017" s="4">
        <f t="shared" si="205"/>
        <v>117.0761</v>
      </c>
      <c r="G3017" s="5">
        <f t="shared" si="206"/>
        <v>0.40911367050575864</v>
      </c>
      <c r="H3017" s="2" t="s">
        <v>2050</v>
      </c>
      <c r="I3017" s="6" t="s">
        <v>25</v>
      </c>
      <c r="J3017" s="2" t="s">
        <v>2051</v>
      </c>
      <c r="K3017" s="2" t="s">
        <v>2052</v>
      </c>
      <c r="L3017" s="2" t="s">
        <v>28</v>
      </c>
      <c r="M3017" s="2" t="s">
        <v>5</v>
      </c>
      <c r="N3017" s="4">
        <v>9584.11</v>
      </c>
    </row>
    <row r="3019" spans="1:14" x14ac:dyDescent="0.25">
      <c r="A3019" s="13" t="s">
        <v>59</v>
      </c>
      <c r="B3019" s="21"/>
      <c r="C3019" s="22">
        <f>SUM(C3001:C3018)</f>
        <v>650.92500000000007</v>
      </c>
      <c r="D3019" s="23">
        <f>SUM(D3001:D3018)</f>
        <v>9584.1079499999978</v>
      </c>
      <c r="E3019" s="23">
        <f>SUM(E3001:E3018)</f>
        <v>6466.299</v>
      </c>
      <c r="F3019" s="23">
        <f>D3019-E3019</f>
        <v>3117.8089499999978</v>
      </c>
      <c r="G3019" s="24">
        <f>IF(((D3019)=0),0,(D3019-E3019)/ D3019)</f>
        <v>0.32531029139754197</v>
      </c>
      <c r="H3019" s="21"/>
      <c r="I3019" s="21"/>
      <c r="J3019" s="21"/>
      <c r="K3019" s="21"/>
      <c r="L3019" s="21"/>
      <c r="M3019" s="21"/>
      <c r="N3019" s="21"/>
    </row>
    <row r="3021" spans="1:14" s="17" customFormat="1" ht="18.75" x14ac:dyDescent="0.3"/>
    <row r="3022" spans="1:14" s="7" customFormat="1" x14ac:dyDescent="0.25">
      <c r="A3022" s="13" t="s">
        <v>2055</v>
      </c>
      <c r="B3022" s="18" t="s">
        <v>2056</v>
      </c>
      <c r="C3022" s="19"/>
      <c r="D3022" s="20" t="s">
        <v>5</v>
      </c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</row>
    <row r="3024" spans="1:14" x14ac:dyDescent="0.25">
      <c r="A3024" s="2" t="s">
        <v>1803</v>
      </c>
      <c r="B3024" s="2" t="s">
        <v>1804</v>
      </c>
      <c r="C3024" s="3">
        <v>20.27</v>
      </c>
      <c r="D3024" s="4">
        <v>389.38670000000002</v>
      </c>
      <c r="E3024" s="4">
        <v>247.29400000000001</v>
      </c>
      <c r="F3024" s="4">
        <f>D3024-E3024</f>
        <v>142.09270000000001</v>
      </c>
      <c r="G3024" s="5">
        <f>IF(((D3024)=0),0,(D3024-E3024)/ D3024)</f>
        <v>0.36491410723581469</v>
      </c>
      <c r="H3024" s="2" t="s">
        <v>2057</v>
      </c>
      <c r="I3024" s="6" t="s">
        <v>25</v>
      </c>
      <c r="J3024" s="2" t="s">
        <v>2058</v>
      </c>
      <c r="K3024" s="2" t="s">
        <v>2059</v>
      </c>
      <c r="L3024" s="2" t="s">
        <v>28</v>
      </c>
      <c r="M3024" s="2" t="s">
        <v>5</v>
      </c>
      <c r="N3024" s="4">
        <v>389.39</v>
      </c>
    </row>
    <row r="3026" spans="1:14" x14ac:dyDescent="0.25">
      <c r="A3026" s="13" t="s">
        <v>59</v>
      </c>
      <c r="B3026" s="21"/>
      <c r="C3026" s="22">
        <f>SUM(C3021:C3025)</f>
        <v>20.27</v>
      </c>
      <c r="D3026" s="23">
        <f>SUM(D3021:D3025)</f>
        <v>389.38670000000002</v>
      </c>
      <c r="E3026" s="23">
        <f>SUM(E3021:E3025)</f>
        <v>247.29400000000001</v>
      </c>
      <c r="F3026" s="23">
        <f>D3026-E3026</f>
        <v>142.09270000000001</v>
      </c>
      <c r="G3026" s="24">
        <f>IF(((D3026)=0),0,(D3026-E3026)/ D3026)</f>
        <v>0.36491410723581469</v>
      </c>
      <c r="H3026" s="21"/>
      <c r="I3026" s="21"/>
      <c r="J3026" s="21"/>
      <c r="K3026" s="21"/>
      <c r="L3026" s="21"/>
      <c r="M3026" s="21"/>
      <c r="N3026" s="21"/>
    </row>
    <row r="3028" spans="1:14" s="17" customFormat="1" ht="18.75" x14ac:dyDescent="0.3"/>
    <row r="3029" spans="1:14" s="7" customFormat="1" x14ac:dyDescent="0.25">
      <c r="A3029" s="13" t="s">
        <v>2060</v>
      </c>
      <c r="B3029" s="18" t="s">
        <v>2061</v>
      </c>
      <c r="C3029" s="19"/>
      <c r="D3029" s="20" t="s">
        <v>5</v>
      </c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</row>
    <row r="3031" spans="1:14" x14ac:dyDescent="0.25">
      <c r="A3031" s="2" t="s">
        <v>1948</v>
      </c>
      <c r="B3031" s="2" t="s">
        <v>1799</v>
      </c>
      <c r="C3031" s="3">
        <v>20.100000000000001</v>
      </c>
      <c r="D3031" s="4">
        <v>445.81799999999998</v>
      </c>
      <c r="E3031" s="4">
        <v>237.18</v>
      </c>
      <c r="F3031" s="4">
        <f>D3031-E3031</f>
        <v>208.63799999999998</v>
      </c>
      <c r="G3031" s="5">
        <f>IF(((D3031)=0),0,(D3031-E3031)/ D3031)</f>
        <v>0.46798917944093776</v>
      </c>
      <c r="H3031" s="2" t="s">
        <v>2062</v>
      </c>
      <c r="I3031" s="6" t="s">
        <v>25</v>
      </c>
      <c r="J3031" s="2" t="s">
        <v>2063</v>
      </c>
      <c r="K3031" s="2" t="s">
        <v>2064</v>
      </c>
      <c r="L3031" s="2" t="s">
        <v>28</v>
      </c>
      <c r="M3031" s="2" t="s">
        <v>5</v>
      </c>
      <c r="N3031" s="4">
        <v>828.29</v>
      </c>
    </row>
    <row r="3032" spans="1:14" x14ac:dyDescent="0.25">
      <c r="A3032" s="2" t="s">
        <v>1803</v>
      </c>
      <c r="B3032" s="2" t="s">
        <v>1804</v>
      </c>
      <c r="C3032" s="3">
        <v>9.89</v>
      </c>
      <c r="D3032" s="4">
        <v>189.98689999999999</v>
      </c>
      <c r="E3032" s="4">
        <v>120.658</v>
      </c>
      <c r="F3032" s="4">
        <f>D3032-E3032</f>
        <v>69.32889999999999</v>
      </c>
      <c r="G3032" s="5">
        <f>IF(((D3032)=0),0,(D3032-E3032)/ D3032)</f>
        <v>0.36491410723581463</v>
      </c>
      <c r="H3032" s="2" t="s">
        <v>2062</v>
      </c>
      <c r="I3032" s="6" t="s">
        <v>25</v>
      </c>
      <c r="J3032" s="2" t="s">
        <v>2063</v>
      </c>
      <c r="K3032" s="2" t="s">
        <v>2064</v>
      </c>
      <c r="L3032" s="2" t="s">
        <v>28</v>
      </c>
      <c r="M3032" s="2" t="s">
        <v>5</v>
      </c>
      <c r="N3032" s="4">
        <v>828.29</v>
      </c>
    </row>
    <row r="3033" spans="1:14" x14ac:dyDescent="0.25">
      <c r="A3033" s="2" t="s">
        <v>1842</v>
      </c>
      <c r="B3033" s="2" t="s">
        <v>1843</v>
      </c>
      <c r="C3033" s="3">
        <v>10.02</v>
      </c>
      <c r="D3033" s="4">
        <v>192.48419999999999</v>
      </c>
      <c r="E3033" s="4">
        <v>95.19</v>
      </c>
      <c r="F3033" s="4">
        <f>D3033-E3033</f>
        <v>97.294199999999989</v>
      </c>
      <c r="G3033" s="5">
        <f>IF(((D3033)=0),0,(D3033-E3033)/ D3033)</f>
        <v>0.50546590317542939</v>
      </c>
      <c r="H3033" s="2" t="s">
        <v>2062</v>
      </c>
      <c r="I3033" s="6" t="s">
        <v>25</v>
      </c>
      <c r="J3033" s="2" t="s">
        <v>2063</v>
      </c>
      <c r="K3033" s="2" t="s">
        <v>2064</v>
      </c>
      <c r="L3033" s="2" t="s">
        <v>28</v>
      </c>
      <c r="M3033" s="2" t="s">
        <v>5</v>
      </c>
      <c r="N3033" s="4">
        <v>828.29</v>
      </c>
    </row>
    <row r="3035" spans="1:14" x14ac:dyDescent="0.25">
      <c r="A3035" s="13" t="s">
        <v>59</v>
      </c>
      <c r="B3035" s="21"/>
      <c r="C3035" s="22">
        <f>SUM(C3028:C3034)</f>
        <v>40.010000000000005</v>
      </c>
      <c r="D3035" s="23">
        <f>SUM(D3028:D3034)</f>
        <v>828.28909999999996</v>
      </c>
      <c r="E3035" s="23">
        <f>SUM(E3028:E3034)</f>
        <v>453.02800000000002</v>
      </c>
      <c r="F3035" s="23">
        <f>D3035-E3035</f>
        <v>375.26109999999994</v>
      </c>
      <c r="G3035" s="24">
        <f>IF(((D3035)=0),0,(D3035-E3035)/ D3035)</f>
        <v>0.45305570241115084</v>
      </c>
      <c r="H3035" s="21"/>
      <c r="I3035" s="21"/>
      <c r="J3035" s="21"/>
      <c r="K3035" s="21"/>
      <c r="L3035" s="21"/>
      <c r="M3035" s="21"/>
      <c r="N3035" s="21"/>
    </row>
    <row r="3037" spans="1:14" s="17" customFormat="1" ht="18.75" x14ac:dyDescent="0.3"/>
    <row r="3038" spans="1:14" s="7" customFormat="1" x14ac:dyDescent="0.25">
      <c r="A3038" s="13" t="s">
        <v>2065</v>
      </c>
      <c r="B3038" s="18" t="s">
        <v>2066</v>
      </c>
      <c r="C3038" s="19"/>
      <c r="D3038" s="20" t="s">
        <v>5</v>
      </c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</row>
    <row r="3040" spans="1:14" x14ac:dyDescent="0.25">
      <c r="A3040" s="2" t="s">
        <v>2067</v>
      </c>
      <c r="B3040" s="2" t="s">
        <v>2068</v>
      </c>
      <c r="C3040" s="3">
        <v>7.95</v>
      </c>
      <c r="D3040" s="4">
        <v>123.6225</v>
      </c>
      <c r="E3040" s="4">
        <v>54.854999999999997</v>
      </c>
      <c r="F3040" s="4">
        <f t="shared" ref="F3040:F3046" si="207">D3040-E3040</f>
        <v>68.767500000000013</v>
      </c>
      <c r="G3040" s="5">
        <f t="shared" ref="G3040:G3046" si="208">IF(((D3040)=0),0,(D3040-E3040)/ D3040)</f>
        <v>0.55627009646302261</v>
      </c>
      <c r="H3040" s="2" t="s">
        <v>2069</v>
      </c>
      <c r="I3040" s="6" t="s">
        <v>25</v>
      </c>
      <c r="J3040" s="2" t="s">
        <v>2070</v>
      </c>
      <c r="K3040" s="2" t="s">
        <v>5</v>
      </c>
      <c r="L3040" s="2" t="s">
        <v>28</v>
      </c>
      <c r="M3040" s="2" t="s">
        <v>5</v>
      </c>
      <c r="N3040" s="4">
        <v>990.11</v>
      </c>
    </row>
    <row r="3041" spans="1:14" x14ac:dyDescent="0.25">
      <c r="A3041" s="2" t="s">
        <v>1695</v>
      </c>
      <c r="B3041" s="2" t="s">
        <v>1696</v>
      </c>
      <c r="C3041" s="3">
        <v>14.61</v>
      </c>
      <c r="D3041" s="4">
        <v>163.63200000000001</v>
      </c>
      <c r="E3041" s="4">
        <v>106.65300000000001</v>
      </c>
      <c r="F3041" s="4">
        <f t="shared" si="207"/>
        <v>56.978999999999999</v>
      </c>
      <c r="G3041" s="5">
        <f t="shared" si="208"/>
        <v>0.3482142857142857</v>
      </c>
      <c r="H3041" s="2" t="s">
        <v>2069</v>
      </c>
      <c r="I3041" s="6" t="s">
        <v>25</v>
      </c>
      <c r="J3041" s="2" t="s">
        <v>2070</v>
      </c>
      <c r="K3041" s="2" t="s">
        <v>5</v>
      </c>
      <c r="L3041" s="2" t="s">
        <v>28</v>
      </c>
      <c r="M3041" s="2" t="s">
        <v>5</v>
      </c>
      <c r="N3041" s="4">
        <v>990.11</v>
      </c>
    </row>
    <row r="3042" spans="1:14" x14ac:dyDescent="0.25">
      <c r="A3042" s="2" t="s">
        <v>1486</v>
      </c>
      <c r="B3042" s="2" t="s">
        <v>1487</v>
      </c>
      <c r="C3042" s="3">
        <v>6.2320000000000002</v>
      </c>
      <c r="D3042" s="4">
        <v>150.87672000000001</v>
      </c>
      <c r="E3042" s="4">
        <v>87.248000000000005</v>
      </c>
      <c r="F3042" s="4">
        <f t="shared" si="207"/>
        <v>63.628720000000001</v>
      </c>
      <c r="G3042" s="5">
        <f t="shared" si="208"/>
        <v>0.42172655927302766</v>
      </c>
      <c r="H3042" s="2" t="s">
        <v>2069</v>
      </c>
      <c r="I3042" s="6" t="s">
        <v>25</v>
      </c>
      <c r="J3042" s="2" t="s">
        <v>2070</v>
      </c>
      <c r="K3042" s="2" t="s">
        <v>5</v>
      </c>
      <c r="L3042" s="2" t="s">
        <v>28</v>
      </c>
      <c r="M3042" s="2" t="s">
        <v>5</v>
      </c>
      <c r="N3042" s="4">
        <v>990.11</v>
      </c>
    </row>
    <row r="3043" spans="1:14" x14ac:dyDescent="0.25">
      <c r="A3043" s="2" t="s">
        <v>2071</v>
      </c>
      <c r="B3043" s="2" t="s">
        <v>2072</v>
      </c>
      <c r="C3043" s="3">
        <v>13.37</v>
      </c>
      <c r="D3043" s="4">
        <v>256.57029999999997</v>
      </c>
      <c r="E3043" s="4">
        <v>187.18</v>
      </c>
      <c r="F3043" s="4">
        <f t="shared" si="207"/>
        <v>69.390299999999968</v>
      </c>
      <c r="G3043" s="5">
        <f t="shared" si="208"/>
        <v>0.27045336112558616</v>
      </c>
      <c r="H3043" s="2" t="s">
        <v>2069</v>
      </c>
      <c r="I3043" s="6" t="s">
        <v>25</v>
      </c>
      <c r="J3043" s="2" t="s">
        <v>2070</v>
      </c>
      <c r="K3043" s="2" t="s">
        <v>5</v>
      </c>
      <c r="L3043" s="2" t="s">
        <v>28</v>
      </c>
      <c r="M3043" s="2" t="s">
        <v>5</v>
      </c>
      <c r="N3043" s="4">
        <v>990.11</v>
      </c>
    </row>
    <row r="3044" spans="1:14" x14ac:dyDescent="0.25">
      <c r="A3044" s="2" t="s">
        <v>1510</v>
      </c>
      <c r="B3044" s="2" t="s">
        <v>1511</v>
      </c>
      <c r="C3044" s="3">
        <v>2.4820000000000002</v>
      </c>
      <c r="D3044" s="4">
        <v>84.56174</v>
      </c>
      <c r="E3044" s="4">
        <v>54.603999999999999</v>
      </c>
      <c r="F3044" s="4">
        <f t="shared" si="207"/>
        <v>29.957740000000001</v>
      </c>
      <c r="G3044" s="5">
        <f t="shared" si="208"/>
        <v>0.35427061931317877</v>
      </c>
      <c r="H3044" s="2" t="s">
        <v>2069</v>
      </c>
      <c r="I3044" s="6" t="s">
        <v>25</v>
      </c>
      <c r="J3044" s="2" t="s">
        <v>2070</v>
      </c>
      <c r="K3044" s="2" t="s">
        <v>5</v>
      </c>
      <c r="L3044" s="2" t="s">
        <v>28</v>
      </c>
      <c r="M3044" s="2" t="s">
        <v>5</v>
      </c>
      <c r="N3044" s="4">
        <v>990.11</v>
      </c>
    </row>
    <row r="3045" spans="1:14" x14ac:dyDescent="0.25">
      <c r="A3045" s="2" t="s">
        <v>550</v>
      </c>
      <c r="B3045" s="2" t="s">
        <v>551</v>
      </c>
      <c r="C3045" s="3">
        <v>2.9940000000000002</v>
      </c>
      <c r="D3045" s="4">
        <v>94.191239999999993</v>
      </c>
      <c r="E3045" s="4">
        <v>70.358999999999995</v>
      </c>
      <c r="F3045" s="4">
        <f t="shared" si="207"/>
        <v>23.832239999999999</v>
      </c>
      <c r="G3045" s="5">
        <f t="shared" si="208"/>
        <v>0.25301970756516212</v>
      </c>
      <c r="H3045" s="2" t="s">
        <v>2069</v>
      </c>
      <c r="I3045" s="6" t="s">
        <v>25</v>
      </c>
      <c r="J3045" s="2" t="s">
        <v>2070</v>
      </c>
      <c r="K3045" s="2" t="s">
        <v>5</v>
      </c>
      <c r="L3045" s="2" t="s">
        <v>28</v>
      </c>
      <c r="M3045" s="2" t="s">
        <v>5</v>
      </c>
      <c r="N3045" s="4">
        <v>990.11</v>
      </c>
    </row>
    <row r="3046" spans="1:14" x14ac:dyDescent="0.25">
      <c r="A3046" s="2" t="s">
        <v>1745</v>
      </c>
      <c r="B3046" s="2" t="s">
        <v>1746</v>
      </c>
      <c r="C3046" s="3">
        <v>3.78</v>
      </c>
      <c r="D3046" s="4">
        <v>116.6508</v>
      </c>
      <c r="E3046" s="4">
        <v>77.489999999999995</v>
      </c>
      <c r="F3046" s="4">
        <f t="shared" si="207"/>
        <v>39.160800000000009</v>
      </c>
      <c r="G3046" s="5">
        <f t="shared" si="208"/>
        <v>0.33570965651328588</v>
      </c>
      <c r="H3046" s="2" t="s">
        <v>2069</v>
      </c>
      <c r="I3046" s="6" t="s">
        <v>25</v>
      </c>
      <c r="J3046" s="2" t="s">
        <v>2070</v>
      </c>
      <c r="K3046" s="2" t="s">
        <v>5</v>
      </c>
      <c r="L3046" s="2" t="s">
        <v>28</v>
      </c>
      <c r="M3046" s="2" t="s">
        <v>5</v>
      </c>
      <c r="N3046" s="4">
        <v>990.11</v>
      </c>
    </row>
    <row r="3048" spans="1:14" x14ac:dyDescent="0.25">
      <c r="A3048" s="13" t="s">
        <v>59</v>
      </c>
      <c r="B3048" s="21"/>
      <c r="C3048" s="22">
        <f>SUM(C3037:C3047)</f>
        <v>51.417999999999999</v>
      </c>
      <c r="D3048" s="23">
        <f>SUM(D3037:D3047)</f>
        <v>990.10529999999994</v>
      </c>
      <c r="E3048" s="23">
        <f>SUM(E3037:E3047)</f>
        <v>638.38900000000001</v>
      </c>
      <c r="F3048" s="23">
        <f>D3048-E3048</f>
        <v>351.71629999999993</v>
      </c>
      <c r="G3048" s="24">
        <f>IF(((D3048)=0),0,(D3048-E3048)/ D3048)</f>
        <v>0.35523120621614684</v>
      </c>
      <c r="H3048" s="21"/>
      <c r="I3048" s="21"/>
      <c r="J3048" s="21"/>
      <c r="K3048" s="21"/>
      <c r="L3048" s="21"/>
      <c r="M3048" s="21"/>
      <c r="N3048" s="21"/>
    </row>
    <row r="3050" spans="1:14" s="17" customFormat="1" ht="18.75" x14ac:dyDescent="0.3"/>
    <row r="3051" spans="1:14" s="7" customFormat="1" x14ac:dyDescent="0.25">
      <c r="A3051" s="13" t="s">
        <v>2073</v>
      </c>
      <c r="B3051" s="18" t="s">
        <v>2074</v>
      </c>
      <c r="C3051" s="19"/>
      <c r="D3051" s="20" t="s">
        <v>5</v>
      </c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</row>
    <row r="3053" spans="1:14" x14ac:dyDescent="0.25">
      <c r="A3053" s="2" t="s">
        <v>128</v>
      </c>
      <c r="B3053" s="2" t="s">
        <v>129</v>
      </c>
      <c r="C3053" s="3">
        <v>30</v>
      </c>
      <c r="D3053" s="4">
        <v>427.8</v>
      </c>
      <c r="E3053" s="4">
        <v>329.4</v>
      </c>
      <c r="F3053" s="4">
        <f t="shared" ref="F3053:F3069" si="209">D3053-E3053</f>
        <v>98.400000000000034</v>
      </c>
      <c r="G3053" s="5">
        <f t="shared" ref="G3053:G3069" si="210">IF(((D3053)=0),0,(D3053-E3053)/ D3053)</f>
        <v>0.23001402524544187</v>
      </c>
      <c r="H3053" s="2" t="s">
        <v>2075</v>
      </c>
      <c r="I3053" s="6" t="s">
        <v>32</v>
      </c>
      <c r="J3053" s="2" t="s">
        <v>2076</v>
      </c>
      <c r="K3053" s="2" t="s">
        <v>2077</v>
      </c>
      <c r="L3053" s="2" t="s">
        <v>28</v>
      </c>
      <c r="M3053" s="2" t="s">
        <v>5</v>
      </c>
      <c r="N3053" s="4">
        <v>4116.1499999999996</v>
      </c>
    </row>
    <row r="3054" spans="1:14" x14ac:dyDescent="0.25">
      <c r="A3054" s="2" t="s">
        <v>566</v>
      </c>
      <c r="B3054" s="2" t="s">
        <v>567</v>
      </c>
      <c r="C3054" s="3">
        <v>15.27</v>
      </c>
      <c r="D3054" s="4">
        <v>247.52670000000001</v>
      </c>
      <c r="E3054" s="4">
        <v>174.078</v>
      </c>
      <c r="F3054" s="4">
        <f t="shared" si="209"/>
        <v>73.448700000000002</v>
      </c>
      <c r="G3054" s="5">
        <f t="shared" si="210"/>
        <v>0.29673041332510797</v>
      </c>
      <c r="H3054" s="2" t="s">
        <v>2075</v>
      </c>
      <c r="I3054" s="6" t="s">
        <v>32</v>
      </c>
      <c r="J3054" s="2" t="s">
        <v>2076</v>
      </c>
      <c r="K3054" s="2" t="s">
        <v>2077</v>
      </c>
      <c r="L3054" s="2" t="s">
        <v>28</v>
      </c>
      <c r="M3054" s="2" t="s">
        <v>5</v>
      </c>
      <c r="N3054" s="4">
        <v>4116.1499999999996</v>
      </c>
    </row>
    <row r="3055" spans="1:14" x14ac:dyDescent="0.25">
      <c r="A3055" s="2" t="s">
        <v>29</v>
      </c>
      <c r="B3055" s="2" t="s">
        <v>30</v>
      </c>
      <c r="C3055" s="3">
        <v>10.795</v>
      </c>
      <c r="D3055" s="4">
        <v>139.9032</v>
      </c>
      <c r="E3055" s="4">
        <v>107.95</v>
      </c>
      <c r="F3055" s="4">
        <f t="shared" si="209"/>
        <v>31.953199999999995</v>
      </c>
      <c r="G3055" s="5">
        <f t="shared" si="210"/>
        <v>0.22839506172839502</v>
      </c>
      <c r="H3055" s="2" t="s">
        <v>2075</v>
      </c>
      <c r="I3055" s="6" t="s">
        <v>32</v>
      </c>
      <c r="J3055" s="2" t="s">
        <v>2076</v>
      </c>
      <c r="K3055" s="2" t="s">
        <v>2077</v>
      </c>
      <c r="L3055" s="2" t="s">
        <v>28</v>
      </c>
      <c r="M3055" s="2" t="s">
        <v>5</v>
      </c>
      <c r="N3055" s="4">
        <v>4116.1499999999996</v>
      </c>
    </row>
    <row r="3056" spans="1:14" x14ac:dyDescent="0.25">
      <c r="A3056" s="2" t="s">
        <v>146</v>
      </c>
      <c r="B3056" s="2" t="s">
        <v>147</v>
      </c>
      <c r="C3056" s="3">
        <v>18.88</v>
      </c>
      <c r="D3056" s="4">
        <v>287.54239999999999</v>
      </c>
      <c r="E3056" s="4">
        <v>213.34399999999999</v>
      </c>
      <c r="F3056" s="4">
        <f t="shared" si="209"/>
        <v>74.198399999999992</v>
      </c>
      <c r="G3056" s="5">
        <f t="shared" si="210"/>
        <v>0.25804333552199604</v>
      </c>
      <c r="H3056" s="2" t="s">
        <v>2075</v>
      </c>
      <c r="I3056" s="6" t="s">
        <v>32</v>
      </c>
      <c r="J3056" s="2" t="s">
        <v>2076</v>
      </c>
      <c r="K3056" s="2" t="s">
        <v>2077</v>
      </c>
      <c r="L3056" s="2" t="s">
        <v>28</v>
      </c>
      <c r="M3056" s="2" t="s">
        <v>5</v>
      </c>
      <c r="N3056" s="4">
        <v>4116.1499999999996</v>
      </c>
    </row>
    <row r="3057" spans="1:14" x14ac:dyDescent="0.25">
      <c r="A3057" s="2" t="s">
        <v>1226</v>
      </c>
      <c r="B3057" s="2" t="s">
        <v>1227</v>
      </c>
      <c r="C3057" s="3">
        <v>10</v>
      </c>
      <c r="D3057" s="4">
        <v>149.6</v>
      </c>
      <c r="E3057" s="4">
        <v>48.3</v>
      </c>
      <c r="F3057" s="4">
        <f t="shared" si="209"/>
        <v>101.3</v>
      </c>
      <c r="G3057" s="5">
        <f t="shared" si="210"/>
        <v>0.67713903743315507</v>
      </c>
      <c r="H3057" s="2" t="s">
        <v>2075</v>
      </c>
      <c r="I3057" s="6" t="s">
        <v>32</v>
      </c>
      <c r="J3057" s="2" t="s">
        <v>2076</v>
      </c>
      <c r="K3057" s="2" t="s">
        <v>2077</v>
      </c>
      <c r="L3057" s="2" t="s">
        <v>28</v>
      </c>
      <c r="M3057" s="2" t="s">
        <v>5</v>
      </c>
      <c r="N3057" s="4">
        <v>4116.1499999999996</v>
      </c>
    </row>
    <row r="3058" spans="1:14" x14ac:dyDescent="0.25">
      <c r="A3058" s="2" t="s">
        <v>611</v>
      </c>
      <c r="B3058" s="2" t="s">
        <v>612</v>
      </c>
      <c r="C3058" s="3">
        <v>15.15</v>
      </c>
      <c r="D3058" s="4">
        <v>83.779499999999999</v>
      </c>
      <c r="E3058" s="4">
        <v>54.54</v>
      </c>
      <c r="F3058" s="4">
        <f t="shared" si="209"/>
        <v>29.2395</v>
      </c>
      <c r="G3058" s="5">
        <f t="shared" si="210"/>
        <v>0.34900542495479203</v>
      </c>
      <c r="H3058" s="2" t="s">
        <v>2075</v>
      </c>
      <c r="I3058" s="6" t="s">
        <v>32</v>
      </c>
      <c r="J3058" s="2" t="s">
        <v>2076</v>
      </c>
      <c r="K3058" s="2" t="s">
        <v>2077</v>
      </c>
      <c r="L3058" s="2" t="s">
        <v>28</v>
      </c>
      <c r="M3058" s="2" t="s">
        <v>5</v>
      </c>
      <c r="N3058" s="4">
        <v>4116.1499999999996</v>
      </c>
    </row>
    <row r="3059" spans="1:14" x14ac:dyDescent="0.25">
      <c r="A3059" s="2" t="s">
        <v>203</v>
      </c>
      <c r="B3059" s="2" t="s">
        <v>204</v>
      </c>
      <c r="C3059" s="3">
        <v>15.32</v>
      </c>
      <c r="D3059" s="4">
        <v>246.19239999999999</v>
      </c>
      <c r="E3059" s="4">
        <v>76.599999999999994</v>
      </c>
      <c r="F3059" s="4">
        <f t="shared" si="209"/>
        <v>169.5924</v>
      </c>
      <c r="G3059" s="5">
        <f t="shared" si="210"/>
        <v>0.68886123210952088</v>
      </c>
      <c r="H3059" s="2" t="s">
        <v>2075</v>
      </c>
      <c r="I3059" s="6" t="s">
        <v>32</v>
      </c>
      <c r="J3059" s="2" t="s">
        <v>2076</v>
      </c>
      <c r="K3059" s="2" t="s">
        <v>2077</v>
      </c>
      <c r="L3059" s="2" t="s">
        <v>28</v>
      </c>
      <c r="M3059" s="2" t="s">
        <v>5</v>
      </c>
      <c r="N3059" s="4">
        <v>4116.1499999999996</v>
      </c>
    </row>
    <row r="3060" spans="1:14" x14ac:dyDescent="0.25">
      <c r="A3060" s="2" t="s">
        <v>118</v>
      </c>
      <c r="B3060" s="2" t="s">
        <v>119</v>
      </c>
      <c r="C3060" s="3">
        <v>12</v>
      </c>
      <c r="D3060" s="4">
        <v>192.12</v>
      </c>
      <c r="E3060" s="4">
        <v>90</v>
      </c>
      <c r="F3060" s="4">
        <f t="shared" si="209"/>
        <v>102.12</v>
      </c>
      <c r="G3060" s="5">
        <f t="shared" si="210"/>
        <v>0.53154278575890068</v>
      </c>
      <c r="H3060" s="2" t="s">
        <v>2075</v>
      </c>
      <c r="I3060" s="6" t="s">
        <v>32</v>
      </c>
      <c r="J3060" s="2" t="s">
        <v>2076</v>
      </c>
      <c r="K3060" s="2" t="s">
        <v>2077</v>
      </c>
      <c r="L3060" s="2" t="s">
        <v>28</v>
      </c>
      <c r="M3060" s="2" t="s">
        <v>5</v>
      </c>
      <c r="N3060" s="4">
        <v>4116.1499999999996</v>
      </c>
    </row>
    <row r="3061" spans="1:14" x14ac:dyDescent="0.25">
      <c r="A3061" s="2" t="s">
        <v>620</v>
      </c>
      <c r="B3061" s="2" t="s">
        <v>621</v>
      </c>
      <c r="C3061" s="3">
        <v>14.715</v>
      </c>
      <c r="D3061" s="4">
        <v>152.74170000000001</v>
      </c>
      <c r="E3061" s="4">
        <v>147.15</v>
      </c>
      <c r="F3061" s="4">
        <f t="shared" si="209"/>
        <v>5.591700000000003</v>
      </c>
      <c r="G3061" s="5">
        <f t="shared" si="210"/>
        <v>3.6608863198458595E-2</v>
      </c>
      <c r="H3061" s="2" t="s">
        <v>2075</v>
      </c>
      <c r="I3061" s="6" t="s">
        <v>32</v>
      </c>
      <c r="J3061" s="2" t="s">
        <v>2076</v>
      </c>
      <c r="K3061" s="2" t="s">
        <v>2077</v>
      </c>
      <c r="L3061" s="2" t="s">
        <v>28</v>
      </c>
      <c r="M3061" s="2" t="s">
        <v>5</v>
      </c>
      <c r="N3061" s="4">
        <v>4116.1499999999996</v>
      </c>
    </row>
    <row r="3062" spans="1:14" x14ac:dyDescent="0.25">
      <c r="A3062" s="2" t="s">
        <v>577</v>
      </c>
      <c r="B3062" s="2" t="s">
        <v>578</v>
      </c>
      <c r="C3062" s="3">
        <v>10</v>
      </c>
      <c r="D3062" s="4">
        <v>106.7</v>
      </c>
      <c r="E3062" s="4">
        <v>61</v>
      </c>
      <c r="F3062" s="4">
        <f t="shared" si="209"/>
        <v>45.7</v>
      </c>
      <c r="G3062" s="5">
        <f t="shared" si="210"/>
        <v>0.42830365510777885</v>
      </c>
      <c r="H3062" s="2" t="s">
        <v>2075</v>
      </c>
      <c r="I3062" s="6" t="s">
        <v>32</v>
      </c>
      <c r="J3062" s="2" t="s">
        <v>2076</v>
      </c>
      <c r="K3062" s="2" t="s">
        <v>2077</v>
      </c>
      <c r="L3062" s="2" t="s">
        <v>28</v>
      </c>
      <c r="M3062" s="2" t="s">
        <v>5</v>
      </c>
      <c r="N3062" s="4">
        <v>4116.1499999999996</v>
      </c>
    </row>
    <row r="3063" spans="1:14" x14ac:dyDescent="0.25">
      <c r="A3063" s="2" t="s">
        <v>581</v>
      </c>
      <c r="B3063" s="2" t="s">
        <v>582</v>
      </c>
      <c r="C3063" s="3">
        <v>21.02</v>
      </c>
      <c r="D3063" s="4">
        <v>295.12079999999997</v>
      </c>
      <c r="E3063" s="4">
        <v>182.874</v>
      </c>
      <c r="F3063" s="4">
        <f t="shared" si="209"/>
        <v>112.24679999999998</v>
      </c>
      <c r="G3063" s="5">
        <f t="shared" si="210"/>
        <v>0.38034188034188032</v>
      </c>
      <c r="H3063" s="2" t="s">
        <v>2075</v>
      </c>
      <c r="I3063" s="6" t="s">
        <v>32</v>
      </c>
      <c r="J3063" s="2" t="s">
        <v>2076</v>
      </c>
      <c r="K3063" s="2" t="s">
        <v>2077</v>
      </c>
      <c r="L3063" s="2" t="s">
        <v>28</v>
      </c>
      <c r="M3063" s="2" t="s">
        <v>5</v>
      </c>
      <c r="N3063" s="4">
        <v>4116.1499999999996</v>
      </c>
    </row>
    <row r="3064" spans="1:14" x14ac:dyDescent="0.25">
      <c r="A3064" s="2" t="s">
        <v>624</v>
      </c>
      <c r="B3064" s="2" t="s">
        <v>625</v>
      </c>
      <c r="C3064" s="3">
        <v>15.41</v>
      </c>
      <c r="D3064" s="4">
        <v>175.82810000000001</v>
      </c>
      <c r="E3064" s="4">
        <v>115.575</v>
      </c>
      <c r="F3064" s="4">
        <f t="shared" si="209"/>
        <v>60.253100000000003</v>
      </c>
      <c r="G3064" s="5">
        <f t="shared" si="210"/>
        <v>0.34268185801928136</v>
      </c>
      <c r="H3064" s="2" t="s">
        <v>2075</v>
      </c>
      <c r="I3064" s="6" t="s">
        <v>32</v>
      </c>
      <c r="J3064" s="2" t="s">
        <v>2076</v>
      </c>
      <c r="K3064" s="2" t="s">
        <v>2077</v>
      </c>
      <c r="L3064" s="2" t="s">
        <v>28</v>
      </c>
      <c r="M3064" s="2" t="s">
        <v>5</v>
      </c>
      <c r="N3064" s="4">
        <v>4116.1499999999996</v>
      </c>
    </row>
    <row r="3065" spans="1:14" x14ac:dyDescent="0.25">
      <c r="A3065" s="2" t="s">
        <v>585</v>
      </c>
      <c r="B3065" s="2" t="s">
        <v>586</v>
      </c>
      <c r="C3065" s="3">
        <v>14.845000000000001</v>
      </c>
      <c r="D3065" s="4">
        <v>290.3682</v>
      </c>
      <c r="E3065" s="4">
        <v>226.38624999999999</v>
      </c>
      <c r="F3065" s="4">
        <f t="shared" si="209"/>
        <v>63.981950000000012</v>
      </c>
      <c r="G3065" s="5">
        <f t="shared" si="210"/>
        <v>0.22034764826175873</v>
      </c>
      <c r="H3065" s="2" t="s">
        <v>2075</v>
      </c>
      <c r="I3065" s="6" t="s">
        <v>32</v>
      </c>
      <c r="J3065" s="2" t="s">
        <v>2076</v>
      </c>
      <c r="K3065" s="2" t="s">
        <v>2077</v>
      </c>
      <c r="L3065" s="2" t="s">
        <v>28</v>
      </c>
      <c r="M3065" s="2" t="s">
        <v>5</v>
      </c>
      <c r="N3065" s="4">
        <v>4116.1499999999996</v>
      </c>
    </row>
    <row r="3066" spans="1:14" x14ac:dyDescent="0.25">
      <c r="A3066" s="2" t="s">
        <v>136</v>
      </c>
      <c r="B3066" s="2" t="s">
        <v>137</v>
      </c>
      <c r="C3066" s="3">
        <v>25.945</v>
      </c>
      <c r="D3066" s="4">
        <v>667.56484999999998</v>
      </c>
      <c r="E3066" s="4">
        <v>363.23</v>
      </c>
      <c r="F3066" s="4">
        <f t="shared" si="209"/>
        <v>304.33484999999996</v>
      </c>
      <c r="G3066" s="5">
        <f t="shared" si="210"/>
        <v>0.45588806840264279</v>
      </c>
      <c r="H3066" s="2" t="s">
        <v>2075</v>
      </c>
      <c r="I3066" s="6" t="s">
        <v>32</v>
      </c>
      <c r="J3066" s="2" t="s">
        <v>2076</v>
      </c>
      <c r="K3066" s="2" t="s">
        <v>2077</v>
      </c>
      <c r="L3066" s="2" t="s">
        <v>28</v>
      </c>
      <c r="M3066" s="2" t="s">
        <v>5</v>
      </c>
      <c r="N3066" s="4">
        <v>4116.1499999999996</v>
      </c>
    </row>
    <row r="3067" spans="1:14" x14ac:dyDescent="0.25">
      <c r="A3067" s="2" t="s">
        <v>694</v>
      </c>
      <c r="B3067" s="2" t="s">
        <v>695</v>
      </c>
      <c r="C3067" s="3">
        <v>9.9</v>
      </c>
      <c r="D3067" s="4">
        <v>159.09299999999999</v>
      </c>
      <c r="E3067" s="4">
        <v>90.09</v>
      </c>
      <c r="F3067" s="4">
        <f t="shared" si="209"/>
        <v>69.002999999999986</v>
      </c>
      <c r="G3067" s="5">
        <f t="shared" si="210"/>
        <v>0.43372744243932787</v>
      </c>
      <c r="H3067" s="2" t="s">
        <v>2075</v>
      </c>
      <c r="I3067" s="6" t="s">
        <v>32</v>
      </c>
      <c r="J3067" s="2" t="s">
        <v>2076</v>
      </c>
      <c r="K3067" s="2" t="s">
        <v>2077</v>
      </c>
      <c r="L3067" s="2" t="s">
        <v>28</v>
      </c>
      <c r="M3067" s="2" t="s">
        <v>5</v>
      </c>
      <c r="N3067" s="4">
        <v>4116.1499999999996</v>
      </c>
    </row>
    <row r="3068" spans="1:14" x14ac:dyDescent="0.25">
      <c r="A3068" s="2" t="s">
        <v>250</v>
      </c>
      <c r="B3068" s="2" t="s">
        <v>251</v>
      </c>
      <c r="C3068" s="3">
        <v>23.5</v>
      </c>
      <c r="D3068" s="4">
        <v>346.625</v>
      </c>
      <c r="E3068" s="4">
        <v>199.75</v>
      </c>
      <c r="F3068" s="4">
        <f t="shared" si="209"/>
        <v>146.875</v>
      </c>
      <c r="G3068" s="5">
        <f t="shared" si="210"/>
        <v>0.42372881355932202</v>
      </c>
      <c r="H3068" s="2" t="s">
        <v>2075</v>
      </c>
      <c r="I3068" s="6" t="s">
        <v>32</v>
      </c>
      <c r="J3068" s="2" t="s">
        <v>2076</v>
      </c>
      <c r="K3068" s="2" t="s">
        <v>2077</v>
      </c>
      <c r="L3068" s="2" t="s">
        <v>28</v>
      </c>
      <c r="M3068" s="2" t="s">
        <v>5</v>
      </c>
      <c r="N3068" s="4">
        <v>4116.1499999999996</v>
      </c>
    </row>
    <row r="3069" spans="1:14" x14ac:dyDescent="0.25">
      <c r="A3069" s="2" t="s">
        <v>591</v>
      </c>
      <c r="B3069" s="2" t="s">
        <v>592</v>
      </c>
      <c r="C3069" s="3">
        <v>14.265000000000001</v>
      </c>
      <c r="D3069" s="4">
        <v>147.64275000000001</v>
      </c>
      <c r="E3069" s="4">
        <v>82.736999999999995</v>
      </c>
      <c r="F3069" s="4">
        <f t="shared" si="209"/>
        <v>64.905750000000012</v>
      </c>
      <c r="G3069" s="5">
        <f t="shared" si="210"/>
        <v>0.43961352657004837</v>
      </c>
      <c r="H3069" s="2" t="s">
        <v>2075</v>
      </c>
      <c r="I3069" s="6" t="s">
        <v>32</v>
      </c>
      <c r="J3069" s="2" t="s">
        <v>2076</v>
      </c>
      <c r="K3069" s="2" t="s">
        <v>2077</v>
      </c>
      <c r="L3069" s="2" t="s">
        <v>28</v>
      </c>
      <c r="M3069" s="2" t="s">
        <v>5</v>
      </c>
      <c r="N3069" s="4">
        <v>4116.1499999999996</v>
      </c>
    </row>
    <row r="3071" spans="1:14" x14ac:dyDescent="0.25">
      <c r="A3071" s="13" t="s">
        <v>59</v>
      </c>
      <c r="B3071" s="21"/>
      <c r="C3071" s="22">
        <f>SUM(C3050:C3070)</f>
        <v>277.01499999999999</v>
      </c>
      <c r="D3071" s="23">
        <f>SUM(D3050:D3070)</f>
        <v>4116.1485999999995</v>
      </c>
      <c r="E3071" s="23">
        <f>SUM(E3050:E3070)</f>
        <v>2563.0042500000004</v>
      </c>
      <c r="F3071" s="23">
        <f>D3071-E3071</f>
        <v>1553.1443499999991</v>
      </c>
      <c r="G3071" s="24">
        <f>IF(((D3071)=0),0,(D3071-E3071)/ D3071)</f>
        <v>0.37732951380812618</v>
      </c>
      <c r="H3071" s="21"/>
      <c r="I3071" s="21"/>
      <c r="J3071" s="21"/>
      <c r="K3071" s="21"/>
      <c r="L3071" s="21"/>
      <c r="M3071" s="21"/>
      <c r="N3071" s="21"/>
    </row>
    <row r="3073" spans="1:14" s="17" customFormat="1" ht="18.75" x14ac:dyDescent="0.3"/>
    <row r="3074" spans="1:14" s="7" customFormat="1" x14ac:dyDescent="0.25">
      <c r="A3074" s="13" t="s">
        <v>2078</v>
      </c>
      <c r="B3074" s="18" t="s">
        <v>2079</v>
      </c>
      <c r="C3074" s="19"/>
      <c r="D3074" s="20" t="s">
        <v>5</v>
      </c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</row>
    <row r="3076" spans="1:14" x14ac:dyDescent="0.25">
      <c r="A3076" s="2" t="s">
        <v>1478</v>
      </c>
      <c r="B3076" s="2" t="s">
        <v>1479</v>
      </c>
      <c r="C3076" s="3">
        <v>40</v>
      </c>
      <c r="D3076" s="4">
        <v>550.4</v>
      </c>
      <c r="E3076" s="4">
        <v>439.2</v>
      </c>
      <c r="F3076" s="4">
        <f t="shared" ref="F3076:F3088" si="211">D3076-E3076</f>
        <v>111.19999999999999</v>
      </c>
      <c r="G3076" s="5">
        <f t="shared" ref="G3076:G3088" si="212">IF(((D3076)=0),0,(D3076-E3076)/ D3076)</f>
        <v>0.20203488372093023</v>
      </c>
      <c r="H3076" s="2" t="s">
        <v>2080</v>
      </c>
      <c r="I3076" s="6" t="s">
        <v>74</v>
      </c>
      <c r="J3076" s="2" t="s">
        <v>2081</v>
      </c>
      <c r="K3076" s="2" t="s">
        <v>5</v>
      </c>
      <c r="L3076" s="2" t="s">
        <v>28</v>
      </c>
      <c r="M3076" s="2" t="s">
        <v>5</v>
      </c>
      <c r="N3076" s="4">
        <v>6059.96</v>
      </c>
    </row>
    <row r="3077" spans="1:14" x14ac:dyDescent="0.25">
      <c r="A3077" s="2" t="s">
        <v>1661</v>
      </c>
      <c r="B3077" s="2" t="s">
        <v>1662</v>
      </c>
      <c r="C3077" s="3">
        <v>31.245000000000001</v>
      </c>
      <c r="D3077" s="4">
        <v>383.06369999999998</v>
      </c>
      <c r="E3077" s="4">
        <v>381.18900000000002</v>
      </c>
      <c r="F3077" s="4">
        <f t="shared" si="211"/>
        <v>1.8746999999999616</v>
      </c>
      <c r="G3077" s="5">
        <f t="shared" si="212"/>
        <v>4.893964110929753E-3</v>
      </c>
      <c r="H3077" s="2" t="s">
        <v>2080</v>
      </c>
      <c r="I3077" s="6" t="s">
        <v>74</v>
      </c>
      <c r="J3077" s="2" t="s">
        <v>2081</v>
      </c>
      <c r="K3077" s="2" t="s">
        <v>5</v>
      </c>
      <c r="L3077" s="2" t="s">
        <v>28</v>
      </c>
      <c r="M3077" s="2" t="s">
        <v>5</v>
      </c>
      <c r="N3077" s="4">
        <v>6059.96</v>
      </c>
    </row>
    <row r="3078" spans="1:14" x14ac:dyDescent="0.25">
      <c r="A3078" s="2" t="s">
        <v>1731</v>
      </c>
      <c r="B3078" s="2" t="s">
        <v>1732</v>
      </c>
      <c r="C3078" s="3">
        <v>119.82</v>
      </c>
      <c r="D3078" s="4">
        <v>745.28039999999999</v>
      </c>
      <c r="E3078" s="4">
        <v>419.37</v>
      </c>
      <c r="F3078" s="4">
        <f t="shared" si="211"/>
        <v>325.91039999999998</v>
      </c>
      <c r="G3078" s="5">
        <f t="shared" si="212"/>
        <v>0.43729903536977488</v>
      </c>
      <c r="H3078" s="2" t="s">
        <v>2080</v>
      </c>
      <c r="I3078" s="6" t="s">
        <v>74</v>
      </c>
      <c r="J3078" s="2" t="s">
        <v>2081</v>
      </c>
      <c r="K3078" s="2" t="s">
        <v>5</v>
      </c>
      <c r="L3078" s="2" t="s">
        <v>28</v>
      </c>
      <c r="M3078" s="2" t="s">
        <v>5</v>
      </c>
      <c r="N3078" s="4">
        <v>6059.96</v>
      </c>
    </row>
    <row r="3079" spans="1:14" x14ac:dyDescent="0.25">
      <c r="A3079" s="2" t="s">
        <v>1484</v>
      </c>
      <c r="B3079" s="2" t="s">
        <v>1485</v>
      </c>
      <c r="C3079" s="3">
        <v>24</v>
      </c>
      <c r="D3079" s="4">
        <v>304.08</v>
      </c>
      <c r="E3079" s="4">
        <v>175.2</v>
      </c>
      <c r="F3079" s="4">
        <f t="shared" si="211"/>
        <v>128.88</v>
      </c>
      <c r="G3079" s="5">
        <f t="shared" si="212"/>
        <v>0.4238358326756117</v>
      </c>
      <c r="H3079" s="2" t="s">
        <v>2080</v>
      </c>
      <c r="I3079" s="6" t="s">
        <v>74</v>
      </c>
      <c r="J3079" s="2" t="s">
        <v>2081</v>
      </c>
      <c r="K3079" s="2" t="s">
        <v>5</v>
      </c>
      <c r="L3079" s="2" t="s">
        <v>28</v>
      </c>
      <c r="M3079" s="2" t="s">
        <v>5</v>
      </c>
      <c r="N3079" s="4">
        <v>6059.96</v>
      </c>
    </row>
    <row r="3080" spans="1:14" x14ac:dyDescent="0.25">
      <c r="A3080" s="2" t="s">
        <v>540</v>
      </c>
      <c r="B3080" s="2" t="s">
        <v>541</v>
      </c>
      <c r="C3080" s="3">
        <v>8.4049999999999994</v>
      </c>
      <c r="D3080" s="4">
        <v>384.94900000000001</v>
      </c>
      <c r="E3080" s="4">
        <v>235.34</v>
      </c>
      <c r="F3080" s="4">
        <f t="shared" si="211"/>
        <v>149.60900000000001</v>
      </c>
      <c r="G3080" s="5">
        <f t="shared" si="212"/>
        <v>0.388646288209607</v>
      </c>
      <c r="H3080" s="2" t="s">
        <v>2080</v>
      </c>
      <c r="I3080" s="6" t="s">
        <v>74</v>
      </c>
      <c r="J3080" s="2" t="s">
        <v>2081</v>
      </c>
      <c r="K3080" s="2" t="s">
        <v>5</v>
      </c>
      <c r="L3080" s="2" t="s">
        <v>28</v>
      </c>
      <c r="M3080" s="2" t="s">
        <v>5</v>
      </c>
      <c r="N3080" s="4">
        <v>6059.96</v>
      </c>
    </row>
    <row r="3081" spans="1:14" x14ac:dyDescent="0.25">
      <c r="A3081" s="2" t="s">
        <v>2082</v>
      </c>
      <c r="B3081" s="2" t="s">
        <v>2083</v>
      </c>
      <c r="C3081" s="3">
        <v>12.28</v>
      </c>
      <c r="D3081" s="4">
        <v>392.22320000000002</v>
      </c>
      <c r="E3081" s="4">
        <v>288.58</v>
      </c>
      <c r="F3081" s="4">
        <f t="shared" si="211"/>
        <v>103.64320000000004</v>
      </c>
      <c r="G3081" s="5">
        <f t="shared" si="212"/>
        <v>0.26424546023794621</v>
      </c>
      <c r="H3081" s="2" t="s">
        <v>2080</v>
      </c>
      <c r="I3081" s="6" t="s">
        <v>74</v>
      </c>
      <c r="J3081" s="2" t="s">
        <v>2081</v>
      </c>
      <c r="K3081" s="2" t="s">
        <v>5</v>
      </c>
      <c r="L3081" s="2" t="s">
        <v>28</v>
      </c>
      <c r="M3081" s="2" t="s">
        <v>5</v>
      </c>
      <c r="N3081" s="4">
        <v>6059.96</v>
      </c>
    </row>
    <row r="3082" spans="1:14" x14ac:dyDescent="0.25">
      <c r="A3082" s="2" t="s">
        <v>2084</v>
      </c>
      <c r="B3082" s="2" t="s">
        <v>2085</v>
      </c>
      <c r="C3082" s="3">
        <v>10</v>
      </c>
      <c r="D3082" s="4">
        <v>273.7</v>
      </c>
      <c r="E3082" s="4">
        <v>175</v>
      </c>
      <c r="F3082" s="4">
        <f t="shared" si="211"/>
        <v>98.699999999999989</v>
      </c>
      <c r="G3082" s="5">
        <f t="shared" si="212"/>
        <v>0.36061381074168797</v>
      </c>
      <c r="H3082" s="2" t="s">
        <v>2080</v>
      </c>
      <c r="I3082" s="6" t="s">
        <v>74</v>
      </c>
      <c r="J3082" s="2" t="s">
        <v>2081</v>
      </c>
      <c r="K3082" s="2" t="s">
        <v>5</v>
      </c>
      <c r="L3082" s="2" t="s">
        <v>28</v>
      </c>
      <c r="M3082" s="2" t="s">
        <v>5</v>
      </c>
      <c r="N3082" s="4">
        <v>6059.96</v>
      </c>
    </row>
    <row r="3083" spans="1:14" x14ac:dyDescent="0.25">
      <c r="A3083" s="2" t="s">
        <v>544</v>
      </c>
      <c r="B3083" s="2" t="s">
        <v>545</v>
      </c>
      <c r="C3083" s="3">
        <v>18.315000000000001</v>
      </c>
      <c r="D3083" s="4">
        <v>799.81605000000002</v>
      </c>
      <c r="E3083" s="4">
        <v>567.76499999999999</v>
      </c>
      <c r="F3083" s="4">
        <f t="shared" si="211"/>
        <v>232.05105000000003</v>
      </c>
      <c r="G3083" s="5">
        <f t="shared" si="212"/>
        <v>0.29013052438745135</v>
      </c>
      <c r="H3083" s="2" t="s">
        <v>2080</v>
      </c>
      <c r="I3083" s="6" t="s">
        <v>74</v>
      </c>
      <c r="J3083" s="2" t="s">
        <v>2081</v>
      </c>
      <c r="K3083" s="2" t="s">
        <v>5</v>
      </c>
      <c r="L3083" s="2" t="s">
        <v>28</v>
      </c>
      <c r="M3083" s="2" t="s">
        <v>5</v>
      </c>
      <c r="N3083" s="4">
        <v>6059.96</v>
      </c>
    </row>
    <row r="3084" spans="1:14" x14ac:dyDescent="0.25">
      <c r="A3084" s="2" t="s">
        <v>1486</v>
      </c>
      <c r="B3084" s="2" t="s">
        <v>1487</v>
      </c>
      <c r="C3084" s="3">
        <v>39.354999999999997</v>
      </c>
      <c r="D3084" s="4">
        <v>952.78454999999997</v>
      </c>
      <c r="E3084" s="4">
        <v>550.97</v>
      </c>
      <c r="F3084" s="4">
        <f t="shared" si="211"/>
        <v>401.81454999999994</v>
      </c>
      <c r="G3084" s="5">
        <f t="shared" si="212"/>
        <v>0.4217265592730276</v>
      </c>
      <c r="H3084" s="2" t="s">
        <v>2080</v>
      </c>
      <c r="I3084" s="6" t="s">
        <v>74</v>
      </c>
      <c r="J3084" s="2" t="s">
        <v>2081</v>
      </c>
      <c r="K3084" s="2" t="s">
        <v>5</v>
      </c>
      <c r="L3084" s="2" t="s">
        <v>28</v>
      </c>
      <c r="M3084" s="2" t="s">
        <v>5</v>
      </c>
      <c r="N3084" s="4">
        <v>6059.96</v>
      </c>
    </row>
    <row r="3085" spans="1:14" x14ac:dyDescent="0.25">
      <c r="A3085" s="2" t="s">
        <v>2086</v>
      </c>
      <c r="B3085" s="2" t="s">
        <v>2087</v>
      </c>
      <c r="C3085" s="3">
        <v>5.9649999999999999</v>
      </c>
      <c r="D3085" s="4">
        <v>232.21745000000001</v>
      </c>
      <c r="E3085" s="4">
        <v>104.3875</v>
      </c>
      <c r="F3085" s="4">
        <f t="shared" si="211"/>
        <v>127.82995000000001</v>
      </c>
      <c r="G3085" s="5">
        <f t="shared" si="212"/>
        <v>0.55047521191882864</v>
      </c>
      <c r="H3085" s="2" t="s">
        <v>2080</v>
      </c>
      <c r="I3085" s="6" t="s">
        <v>74</v>
      </c>
      <c r="J3085" s="2" t="s">
        <v>2081</v>
      </c>
      <c r="K3085" s="2" t="s">
        <v>5</v>
      </c>
      <c r="L3085" s="2" t="s">
        <v>28</v>
      </c>
      <c r="M3085" s="2" t="s">
        <v>5</v>
      </c>
      <c r="N3085" s="4">
        <v>6059.96</v>
      </c>
    </row>
    <row r="3086" spans="1:14" x14ac:dyDescent="0.25">
      <c r="A3086" s="2" t="s">
        <v>548</v>
      </c>
      <c r="B3086" s="2" t="s">
        <v>549</v>
      </c>
      <c r="C3086" s="3">
        <v>12.26</v>
      </c>
      <c r="D3086" s="4">
        <v>451.65839999999997</v>
      </c>
      <c r="E3086" s="4">
        <v>300.37</v>
      </c>
      <c r="F3086" s="4">
        <f t="shared" si="211"/>
        <v>151.28839999999997</v>
      </c>
      <c r="G3086" s="5">
        <f t="shared" si="212"/>
        <v>0.33496199782844727</v>
      </c>
      <c r="H3086" s="2" t="s">
        <v>2080</v>
      </c>
      <c r="I3086" s="6" t="s">
        <v>74</v>
      </c>
      <c r="J3086" s="2" t="s">
        <v>2081</v>
      </c>
      <c r="K3086" s="2" t="s">
        <v>5</v>
      </c>
      <c r="L3086" s="2" t="s">
        <v>28</v>
      </c>
      <c r="M3086" s="2" t="s">
        <v>5</v>
      </c>
      <c r="N3086" s="4">
        <v>6059.96</v>
      </c>
    </row>
    <row r="3087" spans="1:14" x14ac:dyDescent="0.25">
      <c r="A3087" s="2" t="s">
        <v>2088</v>
      </c>
      <c r="B3087" s="2" t="s">
        <v>2089</v>
      </c>
      <c r="C3087" s="3">
        <v>10</v>
      </c>
      <c r="D3087" s="4">
        <v>133.30000000000001</v>
      </c>
      <c r="E3087" s="4">
        <v>105</v>
      </c>
      <c r="F3087" s="4">
        <f t="shared" si="211"/>
        <v>28.300000000000011</v>
      </c>
      <c r="G3087" s="5">
        <f t="shared" si="212"/>
        <v>0.21230307576894231</v>
      </c>
      <c r="H3087" s="2" t="s">
        <v>2080</v>
      </c>
      <c r="I3087" s="6" t="s">
        <v>74</v>
      </c>
      <c r="J3087" s="2" t="s">
        <v>2081</v>
      </c>
      <c r="K3087" s="2" t="s">
        <v>5</v>
      </c>
      <c r="L3087" s="2" t="s">
        <v>28</v>
      </c>
      <c r="M3087" s="2" t="s">
        <v>5</v>
      </c>
      <c r="N3087" s="4">
        <v>6059.96</v>
      </c>
    </row>
    <row r="3088" spans="1:14" x14ac:dyDescent="0.25">
      <c r="A3088" s="2" t="s">
        <v>550</v>
      </c>
      <c r="B3088" s="2" t="s">
        <v>551</v>
      </c>
      <c r="C3088" s="3">
        <v>14.51</v>
      </c>
      <c r="D3088" s="4">
        <v>456.4846</v>
      </c>
      <c r="E3088" s="4">
        <v>340.98500000000001</v>
      </c>
      <c r="F3088" s="4">
        <f t="shared" si="211"/>
        <v>115.49959999999999</v>
      </c>
      <c r="G3088" s="5">
        <f t="shared" si="212"/>
        <v>0.25301970756516207</v>
      </c>
      <c r="H3088" s="2" t="s">
        <v>2080</v>
      </c>
      <c r="I3088" s="6" t="s">
        <v>74</v>
      </c>
      <c r="J3088" s="2" t="s">
        <v>2081</v>
      </c>
      <c r="K3088" s="2" t="s">
        <v>5</v>
      </c>
      <c r="L3088" s="2" t="s">
        <v>28</v>
      </c>
      <c r="M3088" s="2" t="s">
        <v>5</v>
      </c>
      <c r="N3088" s="4">
        <v>6059.96</v>
      </c>
    </row>
    <row r="3090" spans="1:14" x14ac:dyDescent="0.25">
      <c r="A3090" s="13" t="s">
        <v>59</v>
      </c>
      <c r="B3090" s="21"/>
      <c r="C3090" s="22">
        <f>SUM(C3073:C3089)</f>
        <v>346.15499999999997</v>
      </c>
      <c r="D3090" s="23">
        <f>SUM(D3073:D3089)</f>
        <v>6059.9573499999997</v>
      </c>
      <c r="E3090" s="23">
        <f>SUM(E3073:E3089)</f>
        <v>4083.3564999999994</v>
      </c>
      <c r="F3090" s="23">
        <f>D3090-E3090</f>
        <v>1976.6008500000003</v>
      </c>
      <c r="G3090" s="24">
        <f>IF(((D3090)=0),0,(D3090-E3090)/ D3090)</f>
        <v>0.32617405302365704</v>
      </c>
      <c r="H3090" s="21"/>
      <c r="I3090" s="21"/>
      <c r="J3090" s="21"/>
      <c r="K3090" s="21"/>
      <c r="L3090" s="21"/>
      <c r="M3090" s="21"/>
      <c r="N3090" s="21"/>
    </row>
    <row r="3092" spans="1:14" s="17" customFormat="1" ht="18.75" x14ac:dyDescent="0.3"/>
    <row r="3093" spans="1:14" s="7" customFormat="1" x14ac:dyDescent="0.25">
      <c r="A3093" s="13" t="s">
        <v>2090</v>
      </c>
      <c r="B3093" s="18" t="s">
        <v>2091</v>
      </c>
      <c r="C3093" s="19"/>
      <c r="D3093" s="20" t="s">
        <v>5</v>
      </c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</row>
    <row r="3095" spans="1:14" x14ac:dyDescent="0.25">
      <c r="A3095" s="2" t="s">
        <v>22</v>
      </c>
      <c r="B3095" s="2" t="s">
        <v>23</v>
      </c>
      <c r="C3095" s="3">
        <v>10.31</v>
      </c>
      <c r="D3095" s="4">
        <v>157.94919999999999</v>
      </c>
      <c r="E3095" s="4">
        <v>113.41</v>
      </c>
      <c r="F3095" s="4">
        <f>D3095-E3095</f>
        <v>44.539199999999994</v>
      </c>
      <c r="G3095" s="5">
        <f>IF(((D3095)=0),0,(D3095-E3095)/ D3095)</f>
        <v>0.28198433420365532</v>
      </c>
      <c r="H3095" s="2" t="s">
        <v>2092</v>
      </c>
      <c r="I3095" s="6" t="s">
        <v>69</v>
      </c>
      <c r="J3095" s="2" t="s">
        <v>2093</v>
      </c>
      <c r="K3095" s="2" t="s">
        <v>5</v>
      </c>
      <c r="L3095" s="2" t="s">
        <v>28</v>
      </c>
      <c r="M3095" s="2" t="s">
        <v>5</v>
      </c>
      <c r="N3095" s="4">
        <v>285.08</v>
      </c>
    </row>
    <row r="3096" spans="1:14" x14ac:dyDescent="0.25">
      <c r="A3096" s="2" t="s">
        <v>41</v>
      </c>
      <c r="B3096" s="2" t="s">
        <v>42</v>
      </c>
      <c r="C3096" s="3">
        <v>2.028</v>
      </c>
      <c r="D3096" s="4">
        <v>35.510280000000002</v>
      </c>
      <c r="E3096" s="4">
        <v>23.829000000000001</v>
      </c>
      <c r="F3096" s="4">
        <f>D3096-E3096</f>
        <v>11.681280000000001</v>
      </c>
      <c r="G3096" s="5">
        <f>IF(((D3096)=0),0,(D3096-E3096)/ D3096)</f>
        <v>0.3289548829240434</v>
      </c>
      <c r="H3096" s="2" t="s">
        <v>2092</v>
      </c>
      <c r="I3096" s="6" t="s">
        <v>69</v>
      </c>
      <c r="J3096" s="2" t="s">
        <v>2093</v>
      </c>
      <c r="K3096" s="2" t="s">
        <v>5</v>
      </c>
      <c r="L3096" s="2" t="s">
        <v>28</v>
      </c>
      <c r="M3096" s="2" t="s">
        <v>5</v>
      </c>
      <c r="N3096" s="4">
        <v>285.08</v>
      </c>
    </row>
    <row r="3097" spans="1:14" x14ac:dyDescent="0.25">
      <c r="A3097" s="2" t="s">
        <v>118</v>
      </c>
      <c r="B3097" s="2" t="s">
        <v>119</v>
      </c>
      <c r="C3097" s="3">
        <v>5.6</v>
      </c>
      <c r="D3097" s="4">
        <v>91.616</v>
      </c>
      <c r="E3097" s="4">
        <v>42</v>
      </c>
      <c r="F3097" s="4">
        <f>D3097-E3097</f>
        <v>49.616</v>
      </c>
      <c r="G3097" s="5">
        <f>IF(((D3097)=0),0,(D3097-E3097)/ D3097)</f>
        <v>0.54156479217603914</v>
      </c>
      <c r="H3097" s="2" t="s">
        <v>2092</v>
      </c>
      <c r="I3097" s="6" t="s">
        <v>69</v>
      </c>
      <c r="J3097" s="2" t="s">
        <v>2093</v>
      </c>
      <c r="K3097" s="2" t="s">
        <v>5</v>
      </c>
      <c r="L3097" s="2" t="s">
        <v>28</v>
      </c>
      <c r="M3097" s="2" t="s">
        <v>5</v>
      </c>
      <c r="N3097" s="4">
        <v>285.08</v>
      </c>
    </row>
    <row r="3099" spans="1:14" x14ac:dyDescent="0.25">
      <c r="A3099" s="13" t="s">
        <v>59</v>
      </c>
      <c r="B3099" s="21"/>
      <c r="C3099" s="22">
        <f>SUM(C3092:C3098)</f>
        <v>17.938000000000002</v>
      </c>
      <c r="D3099" s="23">
        <f>SUM(D3092:D3098)</f>
        <v>285.07547999999997</v>
      </c>
      <c r="E3099" s="23">
        <f>SUM(E3092:E3098)</f>
        <v>179.239</v>
      </c>
      <c r="F3099" s="23">
        <f>D3099-E3099</f>
        <v>105.83647999999997</v>
      </c>
      <c r="G3099" s="24">
        <f>IF(((D3099)=0),0,(D3099-E3099)/ D3099)</f>
        <v>0.37125774549252705</v>
      </c>
      <c r="H3099" s="21"/>
      <c r="I3099" s="21"/>
      <c r="J3099" s="21"/>
      <c r="K3099" s="21"/>
      <c r="L3099" s="21"/>
      <c r="M3099" s="21"/>
      <c r="N3099" s="21"/>
    </row>
    <row r="3101" spans="1:14" s="17" customFormat="1" ht="18.75" x14ac:dyDescent="0.3"/>
    <row r="3102" spans="1:14" s="7" customFormat="1" x14ac:dyDescent="0.25">
      <c r="A3102" s="13" t="s">
        <v>2094</v>
      </c>
      <c r="B3102" s="18" t="s">
        <v>2095</v>
      </c>
      <c r="C3102" s="19"/>
      <c r="D3102" s="20" t="s">
        <v>5</v>
      </c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</row>
    <row r="3104" spans="1:14" x14ac:dyDescent="0.25">
      <c r="A3104" s="2" t="s">
        <v>593</v>
      </c>
      <c r="B3104" s="2" t="s">
        <v>594</v>
      </c>
      <c r="C3104" s="3">
        <v>14.105</v>
      </c>
      <c r="D3104" s="4">
        <v>137.24164999999999</v>
      </c>
      <c r="E3104" s="4">
        <v>81.808999999999997</v>
      </c>
      <c r="F3104" s="4">
        <f>D3104-E3104</f>
        <v>55.432649999999995</v>
      </c>
      <c r="G3104" s="5">
        <f>IF(((D3104)=0),0,(D3104-E3104)/ D3104)</f>
        <v>0.40390544707091469</v>
      </c>
      <c r="H3104" s="2" t="s">
        <v>2096</v>
      </c>
      <c r="I3104" s="6" t="s">
        <v>32</v>
      </c>
      <c r="J3104" s="2" t="s">
        <v>2097</v>
      </c>
      <c r="K3104" s="2" t="s">
        <v>2098</v>
      </c>
      <c r="L3104" s="2" t="s">
        <v>28</v>
      </c>
      <c r="M3104" s="2" t="s">
        <v>5</v>
      </c>
      <c r="N3104" s="4">
        <v>137.24</v>
      </c>
    </row>
    <row r="3106" spans="1:14" x14ac:dyDescent="0.25">
      <c r="A3106" s="13" t="s">
        <v>59</v>
      </c>
      <c r="B3106" s="21"/>
      <c r="C3106" s="22">
        <f>SUM(C3101:C3105)</f>
        <v>14.105</v>
      </c>
      <c r="D3106" s="23">
        <f>SUM(D3101:D3105)</f>
        <v>137.24164999999999</v>
      </c>
      <c r="E3106" s="23">
        <f>SUM(E3101:E3105)</f>
        <v>81.808999999999997</v>
      </c>
      <c r="F3106" s="23">
        <f>D3106-E3106</f>
        <v>55.432649999999995</v>
      </c>
      <c r="G3106" s="24">
        <f>IF(((D3106)=0),0,(D3106-E3106)/ D3106)</f>
        <v>0.40390544707091469</v>
      </c>
      <c r="H3106" s="21"/>
      <c r="I3106" s="21"/>
      <c r="J3106" s="21"/>
      <c r="K3106" s="21"/>
      <c r="L3106" s="21"/>
      <c r="M3106" s="21"/>
      <c r="N3106" s="21"/>
    </row>
    <row r="3108" spans="1:14" s="17" customFormat="1" ht="18.75" x14ac:dyDescent="0.3"/>
    <row r="3109" spans="1:14" s="7" customFormat="1" x14ac:dyDescent="0.25">
      <c r="A3109" s="13" t="s">
        <v>2099</v>
      </c>
      <c r="B3109" s="18" t="s">
        <v>2100</v>
      </c>
      <c r="C3109" s="19"/>
      <c r="D3109" s="20" t="s">
        <v>5</v>
      </c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</row>
    <row r="3111" spans="1:14" x14ac:dyDescent="0.25">
      <c r="A3111" s="2" t="s">
        <v>546</v>
      </c>
      <c r="B3111" s="2" t="s">
        <v>547</v>
      </c>
      <c r="C3111" s="3">
        <v>15.897</v>
      </c>
      <c r="D3111" s="4">
        <v>398.37882000000002</v>
      </c>
      <c r="E3111" s="4">
        <v>230.50649999999999</v>
      </c>
      <c r="F3111" s="4">
        <f>D3111-E3111</f>
        <v>167.87232000000003</v>
      </c>
      <c r="G3111" s="5">
        <f>IF(((D3111)=0),0,(D3111-E3111)/ D3111)</f>
        <v>0.42138866719872314</v>
      </c>
      <c r="H3111" s="2" t="s">
        <v>2101</v>
      </c>
      <c r="I3111" s="6" t="s">
        <v>25</v>
      </c>
      <c r="J3111" s="2" t="s">
        <v>2102</v>
      </c>
      <c r="K3111" s="2" t="s">
        <v>5</v>
      </c>
      <c r="L3111" s="2" t="s">
        <v>28</v>
      </c>
      <c r="M3111" s="2" t="s">
        <v>5</v>
      </c>
      <c r="N3111" s="4">
        <v>831.15</v>
      </c>
    </row>
    <row r="3112" spans="1:14" x14ac:dyDescent="0.25">
      <c r="A3112" s="2" t="s">
        <v>1673</v>
      </c>
      <c r="B3112" s="2" t="s">
        <v>1674</v>
      </c>
      <c r="C3112" s="3">
        <v>6.2249999999999996</v>
      </c>
      <c r="D3112" s="4">
        <v>99.226500000000001</v>
      </c>
      <c r="E3112" s="4">
        <v>77.8125</v>
      </c>
      <c r="F3112" s="4">
        <f>D3112-E3112</f>
        <v>21.414000000000001</v>
      </c>
      <c r="G3112" s="5">
        <f>IF(((D3112)=0),0,(D3112-E3112)/ D3112)</f>
        <v>0.21580928481806777</v>
      </c>
      <c r="H3112" s="2" t="s">
        <v>2101</v>
      </c>
      <c r="I3112" s="6" t="s">
        <v>25</v>
      </c>
      <c r="J3112" s="2" t="s">
        <v>2102</v>
      </c>
      <c r="K3112" s="2" t="s">
        <v>5</v>
      </c>
      <c r="L3112" s="2" t="s">
        <v>28</v>
      </c>
      <c r="M3112" s="2" t="s">
        <v>5</v>
      </c>
      <c r="N3112" s="4">
        <v>831.15</v>
      </c>
    </row>
    <row r="3113" spans="1:14" x14ac:dyDescent="0.25">
      <c r="A3113" s="2" t="s">
        <v>1510</v>
      </c>
      <c r="B3113" s="2" t="s">
        <v>1511</v>
      </c>
      <c r="C3113" s="3">
        <v>9.7899999999999991</v>
      </c>
      <c r="D3113" s="4">
        <v>333.5453</v>
      </c>
      <c r="E3113" s="4">
        <v>215.38</v>
      </c>
      <c r="F3113" s="4">
        <f>D3113-E3113</f>
        <v>118.1653</v>
      </c>
      <c r="G3113" s="5">
        <f>IF(((D3113)=0),0,(D3113-E3113)/ D3113)</f>
        <v>0.35427061931317877</v>
      </c>
      <c r="H3113" s="2" t="s">
        <v>2101</v>
      </c>
      <c r="I3113" s="6" t="s">
        <v>25</v>
      </c>
      <c r="J3113" s="2" t="s">
        <v>2102</v>
      </c>
      <c r="K3113" s="2" t="s">
        <v>5</v>
      </c>
      <c r="L3113" s="2" t="s">
        <v>28</v>
      </c>
      <c r="M3113" s="2" t="s">
        <v>5</v>
      </c>
      <c r="N3113" s="4">
        <v>831.15</v>
      </c>
    </row>
    <row r="3115" spans="1:14" x14ac:dyDescent="0.25">
      <c r="A3115" s="13" t="s">
        <v>59</v>
      </c>
      <c r="B3115" s="21"/>
      <c r="C3115" s="22">
        <f>SUM(C3108:C3114)</f>
        <v>31.911999999999999</v>
      </c>
      <c r="D3115" s="23">
        <f>SUM(D3108:D3114)</f>
        <v>831.15062</v>
      </c>
      <c r="E3115" s="23">
        <f>SUM(E3108:E3114)</f>
        <v>523.69899999999996</v>
      </c>
      <c r="F3115" s="23">
        <f>D3115-E3115</f>
        <v>307.45162000000005</v>
      </c>
      <c r="G3115" s="24">
        <f>IF(((D3115)=0),0,(D3115-E3115)/ D3115)</f>
        <v>0.36991083517449586</v>
      </c>
      <c r="H3115" s="21"/>
      <c r="I3115" s="21"/>
      <c r="J3115" s="21"/>
      <c r="K3115" s="21"/>
      <c r="L3115" s="21"/>
      <c r="M3115" s="21"/>
      <c r="N3115" s="21"/>
    </row>
    <row r="3117" spans="1:14" s="17" customFormat="1" ht="18.75" x14ac:dyDescent="0.3"/>
    <row r="3118" spans="1:14" s="7" customFormat="1" x14ac:dyDescent="0.25">
      <c r="A3118" s="13" t="s">
        <v>2103</v>
      </c>
      <c r="B3118" s="18" t="s">
        <v>2104</v>
      </c>
      <c r="C3118" s="19"/>
      <c r="D3118" s="20" t="s">
        <v>5</v>
      </c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</row>
    <row r="3120" spans="1:14" x14ac:dyDescent="0.25">
      <c r="A3120" s="2" t="s">
        <v>41</v>
      </c>
      <c r="B3120" s="2" t="s">
        <v>42</v>
      </c>
      <c r="C3120" s="3">
        <v>4.3680000000000003</v>
      </c>
      <c r="D3120" s="4">
        <v>76.483680000000007</v>
      </c>
      <c r="E3120" s="4">
        <v>51.323999999999998</v>
      </c>
      <c r="F3120" s="4">
        <f t="shared" ref="F3120:F3126" si="213">D3120-E3120</f>
        <v>25.159680000000009</v>
      </c>
      <c r="G3120" s="5">
        <f t="shared" ref="G3120:G3126" si="214">IF(((D3120)=0),0,(D3120-E3120)/ D3120)</f>
        <v>0.32895488292404351</v>
      </c>
      <c r="H3120" s="2" t="s">
        <v>2105</v>
      </c>
      <c r="I3120" s="6" t="s">
        <v>69</v>
      </c>
      <c r="J3120" s="2" t="s">
        <v>2106</v>
      </c>
      <c r="K3120" s="2" t="s">
        <v>5</v>
      </c>
      <c r="L3120" s="2" t="s">
        <v>28</v>
      </c>
      <c r="M3120" s="2" t="s">
        <v>5</v>
      </c>
      <c r="N3120" s="4">
        <v>846.86</v>
      </c>
    </row>
    <row r="3121" spans="1:14" x14ac:dyDescent="0.25">
      <c r="A3121" s="2" t="s">
        <v>41</v>
      </c>
      <c r="B3121" s="2" t="s">
        <v>42</v>
      </c>
      <c r="C3121" s="3">
        <v>4.0940000000000003</v>
      </c>
      <c r="D3121" s="4">
        <v>71.685940000000002</v>
      </c>
      <c r="E3121" s="4">
        <v>48.104500000000002</v>
      </c>
      <c r="F3121" s="4">
        <f t="shared" si="213"/>
        <v>23.581440000000001</v>
      </c>
      <c r="G3121" s="5">
        <f t="shared" si="214"/>
        <v>0.3289548829240434</v>
      </c>
      <c r="H3121" s="2" t="s">
        <v>2107</v>
      </c>
      <c r="I3121" s="6" t="s">
        <v>32</v>
      </c>
      <c r="J3121" s="2" t="s">
        <v>2108</v>
      </c>
      <c r="K3121" s="2" t="s">
        <v>5</v>
      </c>
      <c r="L3121" s="2" t="s">
        <v>28</v>
      </c>
      <c r="M3121" s="2" t="s">
        <v>5</v>
      </c>
      <c r="N3121" s="4">
        <v>907.67</v>
      </c>
    </row>
    <row r="3122" spans="1:14" x14ac:dyDescent="0.25">
      <c r="A3122" s="2" t="s">
        <v>1340</v>
      </c>
      <c r="B3122" s="2" t="s">
        <v>1341</v>
      </c>
      <c r="C3122" s="3">
        <v>8.0150000000000006</v>
      </c>
      <c r="D3122" s="4">
        <v>254.31594999999999</v>
      </c>
      <c r="E3122" s="4">
        <v>215.6035</v>
      </c>
      <c r="F3122" s="4">
        <f t="shared" si="213"/>
        <v>38.71244999999999</v>
      </c>
      <c r="G3122" s="5">
        <f t="shared" si="214"/>
        <v>0.1522218720453829</v>
      </c>
      <c r="H3122" s="2" t="s">
        <v>2107</v>
      </c>
      <c r="I3122" s="6" t="s">
        <v>32</v>
      </c>
      <c r="J3122" s="2" t="s">
        <v>2108</v>
      </c>
      <c r="K3122" s="2" t="s">
        <v>5</v>
      </c>
      <c r="L3122" s="2" t="s">
        <v>28</v>
      </c>
      <c r="M3122" s="2" t="s">
        <v>5</v>
      </c>
      <c r="N3122" s="4">
        <v>907.67</v>
      </c>
    </row>
    <row r="3123" spans="1:14" x14ac:dyDescent="0.25">
      <c r="A3123" s="2" t="s">
        <v>737</v>
      </c>
      <c r="B3123" s="2" t="s">
        <v>738</v>
      </c>
      <c r="C3123" s="3">
        <v>11.25</v>
      </c>
      <c r="D3123" s="4">
        <v>592.3125</v>
      </c>
      <c r="E3123" s="4">
        <v>444.375</v>
      </c>
      <c r="F3123" s="4">
        <f t="shared" si="213"/>
        <v>147.9375</v>
      </c>
      <c r="G3123" s="5">
        <f t="shared" si="214"/>
        <v>0.24976258309591642</v>
      </c>
      <c r="H3123" s="2" t="s">
        <v>2105</v>
      </c>
      <c r="I3123" s="6" t="s">
        <v>69</v>
      </c>
      <c r="J3123" s="2" t="s">
        <v>2106</v>
      </c>
      <c r="K3123" s="2" t="s">
        <v>5</v>
      </c>
      <c r="L3123" s="2" t="s">
        <v>28</v>
      </c>
      <c r="M3123" s="2" t="s">
        <v>5</v>
      </c>
      <c r="N3123" s="4">
        <v>846.86</v>
      </c>
    </row>
    <row r="3124" spans="1:14" x14ac:dyDescent="0.25">
      <c r="A3124" s="2" t="s">
        <v>737</v>
      </c>
      <c r="B3124" s="2" t="s">
        <v>738</v>
      </c>
      <c r="C3124" s="3">
        <v>4.2919999999999998</v>
      </c>
      <c r="D3124" s="4">
        <v>225.97380000000001</v>
      </c>
      <c r="E3124" s="4">
        <v>169.53399999999999</v>
      </c>
      <c r="F3124" s="4">
        <f t="shared" si="213"/>
        <v>56.43980000000002</v>
      </c>
      <c r="G3124" s="5">
        <f t="shared" si="214"/>
        <v>0.24976258309591651</v>
      </c>
      <c r="H3124" s="2" t="s">
        <v>2107</v>
      </c>
      <c r="I3124" s="6" t="s">
        <v>32</v>
      </c>
      <c r="J3124" s="2" t="s">
        <v>2108</v>
      </c>
      <c r="K3124" s="2" t="s">
        <v>5</v>
      </c>
      <c r="L3124" s="2" t="s">
        <v>28</v>
      </c>
      <c r="M3124" s="2" t="s">
        <v>5</v>
      </c>
      <c r="N3124" s="4">
        <v>907.67</v>
      </c>
    </row>
    <row r="3125" spans="1:14" x14ac:dyDescent="0.25">
      <c r="A3125" s="2" t="s">
        <v>739</v>
      </c>
      <c r="B3125" s="2" t="s">
        <v>740</v>
      </c>
      <c r="C3125" s="3">
        <v>12.484999999999999</v>
      </c>
      <c r="D3125" s="4">
        <v>355.69765000000001</v>
      </c>
      <c r="E3125" s="4">
        <v>184.15375</v>
      </c>
      <c r="F3125" s="4">
        <f t="shared" si="213"/>
        <v>171.54390000000001</v>
      </c>
      <c r="G3125" s="5">
        <f t="shared" si="214"/>
        <v>0.48227448227448227</v>
      </c>
      <c r="H3125" s="2" t="s">
        <v>2107</v>
      </c>
      <c r="I3125" s="6" t="s">
        <v>32</v>
      </c>
      <c r="J3125" s="2" t="s">
        <v>2108</v>
      </c>
      <c r="K3125" s="2" t="s">
        <v>5</v>
      </c>
      <c r="L3125" s="2" t="s">
        <v>28</v>
      </c>
      <c r="M3125" s="2" t="s">
        <v>5</v>
      </c>
      <c r="N3125" s="4">
        <v>907.67</v>
      </c>
    </row>
    <row r="3126" spans="1:14" x14ac:dyDescent="0.25">
      <c r="A3126" s="2" t="s">
        <v>1296</v>
      </c>
      <c r="B3126" s="2" t="s">
        <v>1297</v>
      </c>
      <c r="C3126" s="3">
        <v>6.25</v>
      </c>
      <c r="D3126" s="4">
        <v>178.0625</v>
      </c>
      <c r="E3126" s="4">
        <v>92.1875</v>
      </c>
      <c r="F3126" s="4">
        <f t="shared" si="213"/>
        <v>85.875</v>
      </c>
      <c r="G3126" s="5">
        <f t="shared" si="214"/>
        <v>0.48227448227448227</v>
      </c>
      <c r="H3126" s="2" t="s">
        <v>2105</v>
      </c>
      <c r="I3126" s="6" t="s">
        <v>69</v>
      </c>
      <c r="J3126" s="2" t="s">
        <v>2106</v>
      </c>
      <c r="K3126" s="2" t="s">
        <v>5</v>
      </c>
      <c r="L3126" s="2" t="s">
        <v>28</v>
      </c>
      <c r="M3126" s="2" t="s">
        <v>5</v>
      </c>
      <c r="N3126" s="4">
        <v>846.86</v>
      </c>
    </row>
    <row r="3128" spans="1:14" x14ac:dyDescent="0.25">
      <c r="A3128" s="13" t="s">
        <v>59</v>
      </c>
      <c r="B3128" s="21"/>
      <c r="C3128" s="22">
        <f>SUM(C3117:C3127)</f>
        <v>50.753999999999998</v>
      </c>
      <c r="D3128" s="23">
        <f>SUM(D3117:D3127)</f>
        <v>1754.5320200000001</v>
      </c>
      <c r="E3128" s="23">
        <f>SUM(E3117:E3127)</f>
        <v>1205.28225</v>
      </c>
      <c r="F3128" s="23">
        <f>D3128-E3128</f>
        <v>549.24977000000013</v>
      </c>
      <c r="G3128" s="24">
        <f>IF(((D3128)=0),0,(D3128-E3128)/ D3128)</f>
        <v>0.31304630735664779</v>
      </c>
      <c r="H3128" s="21"/>
      <c r="I3128" s="21"/>
      <c r="J3128" s="21"/>
      <c r="K3128" s="21"/>
      <c r="L3128" s="21"/>
      <c r="M3128" s="21"/>
      <c r="N3128" s="21"/>
    </row>
    <row r="3130" spans="1:14" s="17" customFormat="1" ht="18.75" x14ac:dyDescent="0.3"/>
    <row r="3131" spans="1:14" s="7" customFormat="1" x14ac:dyDescent="0.25">
      <c r="A3131" s="13" t="s">
        <v>2109</v>
      </c>
      <c r="B3131" s="18" t="s">
        <v>2110</v>
      </c>
      <c r="C3131" s="19"/>
      <c r="D3131" s="20" t="s">
        <v>5</v>
      </c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</row>
    <row r="3133" spans="1:14" x14ac:dyDescent="0.25">
      <c r="A3133" s="2" t="s">
        <v>128</v>
      </c>
      <c r="B3133" s="2" t="s">
        <v>129</v>
      </c>
      <c r="C3133" s="3">
        <v>70</v>
      </c>
      <c r="D3133" s="4">
        <v>906.5</v>
      </c>
      <c r="E3133" s="4">
        <v>768.6</v>
      </c>
      <c r="F3133" s="4">
        <f t="shared" ref="F3133:F3144" si="215">D3133-E3133</f>
        <v>137.89999999999998</v>
      </c>
      <c r="G3133" s="5">
        <f t="shared" ref="G3133:G3144" si="216">IF(((D3133)=0),0,(D3133-E3133)/ D3133)</f>
        <v>0.15212355212355211</v>
      </c>
      <c r="H3133" s="2" t="s">
        <v>2111</v>
      </c>
      <c r="I3133" s="6" t="s">
        <v>32</v>
      </c>
      <c r="J3133" s="2" t="s">
        <v>2112</v>
      </c>
      <c r="K3133" s="2" t="s">
        <v>2113</v>
      </c>
      <c r="L3133" s="2" t="s">
        <v>28</v>
      </c>
      <c r="M3133" s="2" t="s">
        <v>5</v>
      </c>
      <c r="N3133" s="4">
        <v>6021.31</v>
      </c>
    </row>
    <row r="3134" spans="1:14" x14ac:dyDescent="0.25">
      <c r="A3134" s="2" t="s">
        <v>22</v>
      </c>
      <c r="B3134" s="2" t="s">
        <v>23</v>
      </c>
      <c r="C3134" s="3">
        <v>20.16</v>
      </c>
      <c r="D3134" s="4">
        <v>272.76479999999998</v>
      </c>
      <c r="E3134" s="4">
        <v>221.76</v>
      </c>
      <c r="F3134" s="4">
        <f t="shared" si="215"/>
        <v>51.004799999999989</v>
      </c>
      <c r="G3134" s="5">
        <f t="shared" si="216"/>
        <v>0.18699186991869915</v>
      </c>
      <c r="H3134" s="2" t="s">
        <v>2111</v>
      </c>
      <c r="I3134" s="6" t="s">
        <v>32</v>
      </c>
      <c r="J3134" s="2" t="s">
        <v>2112</v>
      </c>
      <c r="K3134" s="2" t="s">
        <v>2113</v>
      </c>
      <c r="L3134" s="2" t="s">
        <v>28</v>
      </c>
      <c r="M3134" s="2" t="s">
        <v>5</v>
      </c>
      <c r="N3134" s="4">
        <v>6021.31</v>
      </c>
    </row>
    <row r="3135" spans="1:14" x14ac:dyDescent="0.25">
      <c r="A3135" s="2" t="s">
        <v>703</v>
      </c>
      <c r="B3135" s="2" t="s">
        <v>704</v>
      </c>
      <c r="C3135" s="3">
        <v>50</v>
      </c>
      <c r="D3135" s="4">
        <v>310</v>
      </c>
      <c r="E3135" s="4">
        <v>237.5</v>
      </c>
      <c r="F3135" s="4">
        <f t="shared" si="215"/>
        <v>72.5</v>
      </c>
      <c r="G3135" s="5">
        <f t="shared" si="216"/>
        <v>0.23387096774193547</v>
      </c>
      <c r="H3135" s="2" t="s">
        <v>2111</v>
      </c>
      <c r="I3135" s="6" t="s">
        <v>32</v>
      </c>
      <c r="J3135" s="2" t="s">
        <v>2112</v>
      </c>
      <c r="K3135" s="2" t="s">
        <v>2113</v>
      </c>
      <c r="L3135" s="2" t="s">
        <v>28</v>
      </c>
      <c r="M3135" s="2" t="s">
        <v>5</v>
      </c>
      <c r="N3135" s="4">
        <v>6021.31</v>
      </c>
    </row>
    <row r="3136" spans="1:14" x14ac:dyDescent="0.25">
      <c r="A3136" s="2" t="s">
        <v>203</v>
      </c>
      <c r="B3136" s="2" t="s">
        <v>204</v>
      </c>
      <c r="C3136" s="3">
        <v>14.82</v>
      </c>
      <c r="D3136" s="4">
        <v>192.66</v>
      </c>
      <c r="E3136" s="4">
        <v>74.099999999999994</v>
      </c>
      <c r="F3136" s="4">
        <f t="shared" si="215"/>
        <v>118.56</v>
      </c>
      <c r="G3136" s="5">
        <f t="shared" si="216"/>
        <v>0.61538461538461542</v>
      </c>
      <c r="H3136" s="2" t="s">
        <v>2111</v>
      </c>
      <c r="I3136" s="6" t="s">
        <v>32</v>
      </c>
      <c r="J3136" s="2" t="s">
        <v>2112</v>
      </c>
      <c r="K3136" s="2" t="s">
        <v>2113</v>
      </c>
      <c r="L3136" s="2" t="s">
        <v>28</v>
      </c>
      <c r="M3136" s="2" t="s">
        <v>5</v>
      </c>
      <c r="N3136" s="4">
        <v>6021.31</v>
      </c>
    </row>
    <row r="3137" spans="1:14" x14ac:dyDescent="0.25">
      <c r="A3137" s="2" t="s">
        <v>118</v>
      </c>
      <c r="B3137" s="2" t="s">
        <v>119</v>
      </c>
      <c r="C3137" s="3">
        <v>12</v>
      </c>
      <c r="D3137" s="4">
        <v>126</v>
      </c>
      <c r="E3137" s="4">
        <v>90</v>
      </c>
      <c r="F3137" s="4">
        <f t="shared" si="215"/>
        <v>36</v>
      </c>
      <c r="G3137" s="5">
        <f t="shared" si="216"/>
        <v>0.2857142857142857</v>
      </c>
      <c r="H3137" s="2" t="s">
        <v>2111</v>
      </c>
      <c r="I3137" s="6" t="s">
        <v>32</v>
      </c>
      <c r="J3137" s="2" t="s">
        <v>2112</v>
      </c>
      <c r="K3137" s="2" t="s">
        <v>2113</v>
      </c>
      <c r="L3137" s="2" t="s">
        <v>28</v>
      </c>
      <c r="M3137" s="2" t="s">
        <v>5</v>
      </c>
      <c r="N3137" s="4">
        <v>6021.31</v>
      </c>
    </row>
    <row r="3138" spans="1:14" x14ac:dyDescent="0.25">
      <c r="A3138" s="2" t="s">
        <v>51</v>
      </c>
      <c r="B3138" s="2" t="s">
        <v>52</v>
      </c>
      <c r="C3138" s="3">
        <v>51.12</v>
      </c>
      <c r="D3138" s="4">
        <v>836.32320000000004</v>
      </c>
      <c r="E3138" s="4">
        <v>843.48</v>
      </c>
      <c r="F3138" s="4">
        <f t="shared" si="215"/>
        <v>-7.1567999999999756</v>
      </c>
      <c r="G3138" s="5">
        <f t="shared" si="216"/>
        <v>-8.5574572127139065E-3</v>
      </c>
      <c r="H3138" s="2" t="s">
        <v>2111</v>
      </c>
      <c r="I3138" s="6" t="s">
        <v>32</v>
      </c>
      <c r="J3138" s="2" t="s">
        <v>2112</v>
      </c>
      <c r="K3138" s="2" t="s">
        <v>2113</v>
      </c>
      <c r="L3138" s="2" t="s">
        <v>28</v>
      </c>
      <c r="M3138" s="2" t="s">
        <v>5</v>
      </c>
      <c r="N3138" s="4">
        <v>6021.31</v>
      </c>
    </row>
    <row r="3139" spans="1:14" x14ac:dyDescent="0.25">
      <c r="A3139" s="2" t="s">
        <v>624</v>
      </c>
      <c r="B3139" s="2" t="s">
        <v>625</v>
      </c>
      <c r="C3139" s="3">
        <v>15.23</v>
      </c>
      <c r="D3139" s="4">
        <v>182.60769999999999</v>
      </c>
      <c r="E3139" s="4">
        <v>114.22499999999999</v>
      </c>
      <c r="F3139" s="4">
        <f t="shared" si="215"/>
        <v>68.3827</v>
      </c>
      <c r="G3139" s="5">
        <f t="shared" si="216"/>
        <v>0.37447873227689743</v>
      </c>
      <c r="H3139" s="2" t="s">
        <v>2111</v>
      </c>
      <c r="I3139" s="6" t="s">
        <v>32</v>
      </c>
      <c r="J3139" s="2" t="s">
        <v>2112</v>
      </c>
      <c r="K3139" s="2" t="s">
        <v>2113</v>
      </c>
      <c r="L3139" s="2" t="s">
        <v>28</v>
      </c>
      <c r="M3139" s="2" t="s">
        <v>5</v>
      </c>
      <c r="N3139" s="4">
        <v>6021.31</v>
      </c>
    </row>
    <row r="3140" spans="1:14" x14ac:dyDescent="0.25">
      <c r="A3140" s="2" t="s">
        <v>53</v>
      </c>
      <c r="B3140" s="2" t="s">
        <v>54</v>
      </c>
      <c r="C3140" s="3">
        <v>27.89</v>
      </c>
      <c r="D3140" s="4">
        <v>237.065</v>
      </c>
      <c r="E3140" s="4">
        <v>203.59700000000001</v>
      </c>
      <c r="F3140" s="4">
        <f t="shared" si="215"/>
        <v>33.467999999999989</v>
      </c>
      <c r="G3140" s="5">
        <f t="shared" si="216"/>
        <v>0.14117647058823524</v>
      </c>
      <c r="H3140" s="2" t="s">
        <v>2111</v>
      </c>
      <c r="I3140" s="6" t="s">
        <v>32</v>
      </c>
      <c r="J3140" s="2" t="s">
        <v>2112</v>
      </c>
      <c r="K3140" s="2" t="s">
        <v>2113</v>
      </c>
      <c r="L3140" s="2" t="s">
        <v>28</v>
      </c>
      <c r="M3140" s="2" t="s">
        <v>5</v>
      </c>
      <c r="N3140" s="4">
        <v>6021.31</v>
      </c>
    </row>
    <row r="3141" spans="1:14" x14ac:dyDescent="0.25">
      <c r="A3141" s="2" t="s">
        <v>171</v>
      </c>
      <c r="B3141" s="2" t="s">
        <v>172</v>
      </c>
      <c r="C3141" s="3">
        <v>19.445</v>
      </c>
      <c r="D3141" s="4">
        <v>873.27494999999999</v>
      </c>
      <c r="E3141" s="4">
        <v>602.79499999999996</v>
      </c>
      <c r="F3141" s="4">
        <f t="shared" si="215"/>
        <v>270.47995000000003</v>
      </c>
      <c r="G3141" s="5">
        <f t="shared" si="216"/>
        <v>0.30973057225562239</v>
      </c>
      <c r="H3141" s="2" t="s">
        <v>2111</v>
      </c>
      <c r="I3141" s="6" t="s">
        <v>32</v>
      </c>
      <c r="J3141" s="2" t="s">
        <v>2112</v>
      </c>
      <c r="K3141" s="2" t="s">
        <v>2113</v>
      </c>
      <c r="L3141" s="2" t="s">
        <v>28</v>
      </c>
      <c r="M3141" s="2" t="s">
        <v>5</v>
      </c>
      <c r="N3141" s="4">
        <v>6021.31</v>
      </c>
    </row>
    <row r="3142" spans="1:14" x14ac:dyDescent="0.25">
      <c r="A3142" s="2" t="s">
        <v>136</v>
      </c>
      <c r="B3142" s="2" t="s">
        <v>137</v>
      </c>
      <c r="C3142" s="3">
        <v>25.4</v>
      </c>
      <c r="D3142" s="4">
        <v>609.6</v>
      </c>
      <c r="E3142" s="4">
        <v>355.6</v>
      </c>
      <c r="F3142" s="4">
        <f t="shared" si="215"/>
        <v>254</v>
      </c>
      <c r="G3142" s="5">
        <f t="shared" si="216"/>
        <v>0.41666666666666663</v>
      </c>
      <c r="H3142" s="2" t="s">
        <v>2111</v>
      </c>
      <c r="I3142" s="6" t="s">
        <v>32</v>
      </c>
      <c r="J3142" s="2" t="s">
        <v>2112</v>
      </c>
      <c r="K3142" s="2" t="s">
        <v>2113</v>
      </c>
      <c r="L3142" s="2" t="s">
        <v>28</v>
      </c>
      <c r="M3142" s="2" t="s">
        <v>5</v>
      </c>
      <c r="N3142" s="4">
        <v>6021.31</v>
      </c>
    </row>
    <row r="3143" spans="1:14" x14ac:dyDescent="0.25">
      <c r="A3143" s="2" t="s">
        <v>2114</v>
      </c>
      <c r="B3143" s="2" t="s">
        <v>2115</v>
      </c>
      <c r="C3143" s="3">
        <v>21.16</v>
      </c>
      <c r="D3143" s="4">
        <v>646.64959999999996</v>
      </c>
      <c r="E3143" s="4">
        <v>333.27</v>
      </c>
      <c r="F3143" s="4">
        <f t="shared" si="215"/>
        <v>313.37959999999998</v>
      </c>
      <c r="G3143" s="5">
        <f t="shared" si="216"/>
        <v>0.48462041884816753</v>
      </c>
      <c r="H3143" s="2" t="s">
        <v>2111</v>
      </c>
      <c r="I3143" s="6" t="s">
        <v>32</v>
      </c>
      <c r="J3143" s="2" t="s">
        <v>2112</v>
      </c>
      <c r="K3143" s="2" t="s">
        <v>2113</v>
      </c>
      <c r="L3143" s="2" t="s">
        <v>28</v>
      </c>
      <c r="M3143" s="2" t="s">
        <v>5</v>
      </c>
      <c r="N3143" s="4">
        <v>6021.31</v>
      </c>
    </row>
    <row r="3144" spans="1:14" x14ac:dyDescent="0.25">
      <c r="A3144" s="2" t="s">
        <v>187</v>
      </c>
      <c r="B3144" s="2" t="s">
        <v>188</v>
      </c>
      <c r="C3144" s="3">
        <v>25.465</v>
      </c>
      <c r="D3144" s="4">
        <v>827.86715000000004</v>
      </c>
      <c r="E3144" s="4">
        <v>560.23</v>
      </c>
      <c r="F3144" s="4">
        <f t="shared" si="215"/>
        <v>267.63715000000002</v>
      </c>
      <c r="G3144" s="5">
        <f t="shared" si="216"/>
        <v>0.32328514303291295</v>
      </c>
      <c r="H3144" s="2" t="s">
        <v>2111</v>
      </c>
      <c r="I3144" s="6" t="s">
        <v>32</v>
      </c>
      <c r="J3144" s="2" t="s">
        <v>2112</v>
      </c>
      <c r="K3144" s="2" t="s">
        <v>2113</v>
      </c>
      <c r="L3144" s="2" t="s">
        <v>28</v>
      </c>
      <c r="M3144" s="2" t="s">
        <v>5</v>
      </c>
      <c r="N3144" s="4">
        <v>6021.31</v>
      </c>
    </row>
    <row r="3146" spans="1:14" x14ac:dyDescent="0.25">
      <c r="A3146" s="13" t="s">
        <v>59</v>
      </c>
      <c r="B3146" s="21"/>
      <c r="C3146" s="22">
        <f>SUM(C3130:C3145)</f>
        <v>352.68999999999994</v>
      </c>
      <c r="D3146" s="23">
        <f>SUM(D3130:D3145)</f>
        <v>6021.3123999999998</v>
      </c>
      <c r="E3146" s="23">
        <f>SUM(E3130:E3145)</f>
        <v>4405.1570000000002</v>
      </c>
      <c r="F3146" s="23">
        <f>D3146-E3146</f>
        <v>1616.1553999999996</v>
      </c>
      <c r="G3146" s="24">
        <f>IF(((D3146)=0),0,(D3146-E3146)/ D3146)</f>
        <v>0.26840583790337796</v>
      </c>
      <c r="H3146" s="21"/>
      <c r="I3146" s="21"/>
      <c r="J3146" s="21"/>
      <c r="K3146" s="21"/>
      <c r="L3146" s="21"/>
      <c r="M3146" s="21"/>
      <c r="N3146" s="21"/>
    </row>
    <row r="3148" spans="1:14" s="17" customFormat="1" ht="18.75" x14ac:dyDescent="0.3"/>
    <row r="3149" spans="1:14" s="7" customFormat="1" x14ac:dyDescent="0.25">
      <c r="A3149" s="13" t="s">
        <v>2116</v>
      </c>
      <c r="B3149" s="18" t="s">
        <v>2117</v>
      </c>
      <c r="C3149" s="19"/>
      <c r="D3149" s="20" t="s">
        <v>5</v>
      </c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</row>
    <row r="3151" spans="1:14" x14ac:dyDescent="0.25">
      <c r="A3151" s="2" t="s">
        <v>1816</v>
      </c>
      <c r="B3151" s="2" t="s">
        <v>1817</v>
      </c>
      <c r="C3151" s="3">
        <v>25.69</v>
      </c>
      <c r="D3151" s="4">
        <v>417.46249999999998</v>
      </c>
      <c r="E3151" s="4">
        <v>224.78749999999999</v>
      </c>
      <c r="F3151" s="4">
        <f>D3151-E3151</f>
        <v>192.67499999999998</v>
      </c>
      <c r="G3151" s="5">
        <f>IF(((D3151)=0),0,(D3151-E3151)/ D3151)</f>
        <v>0.46153846153846151</v>
      </c>
      <c r="H3151" s="2" t="s">
        <v>2118</v>
      </c>
      <c r="I3151" s="6" t="s">
        <v>32</v>
      </c>
      <c r="J3151" s="2" t="s">
        <v>2119</v>
      </c>
      <c r="K3151" s="2" t="s">
        <v>2120</v>
      </c>
      <c r="L3151" s="2" t="s">
        <v>28</v>
      </c>
      <c r="M3151" s="2" t="s">
        <v>5</v>
      </c>
      <c r="N3151" s="4">
        <v>417.46</v>
      </c>
    </row>
    <row r="3153" spans="1:14" x14ac:dyDescent="0.25">
      <c r="A3153" s="13" t="s">
        <v>59</v>
      </c>
      <c r="B3153" s="21"/>
      <c r="C3153" s="22">
        <f>SUM(C3148:C3152)</f>
        <v>25.69</v>
      </c>
      <c r="D3153" s="23">
        <f>SUM(D3148:D3152)</f>
        <v>417.46249999999998</v>
      </c>
      <c r="E3153" s="23">
        <f>SUM(E3148:E3152)</f>
        <v>224.78749999999999</v>
      </c>
      <c r="F3153" s="23">
        <f>D3153-E3153</f>
        <v>192.67499999999998</v>
      </c>
      <c r="G3153" s="24">
        <f>IF(((D3153)=0),0,(D3153-E3153)/ D3153)</f>
        <v>0.46153846153846151</v>
      </c>
      <c r="H3153" s="21"/>
      <c r="I3153" s="21"/>
      <c r="J3153" s="21"/>
      <c r="K3153" s="21"/>
      <c r="L3153" s="21"/>
      <c r="M3153" s="21"/>
      <c r="N3153" s="21"/>
    </row>
    <row r="3155" spans="1:14" s="17" customFormat="1" ht="18.75" x14ac:dyDescent="0.3"/>
    <row r="3156" spans="1:14" s="7" customFormat="1" x14ac:dyDescent="0.25">
      <c r="A3156" s="13" t="s">
        <v>2121</v>
      </c>
      <c r="B3156" s="18" t="s">
        <v>2122</v>
      </c>
      <c r="C3156" s="19"/>
      <c r="D3156" s="20" t="s">
        <v>5</v>
      </c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</row>
    <row r="3158" spans="1:14" x14ac:dyDescent="0.25">
      <c r="A3158" s="2" t="s">
        <v>29</v>
      </c>
      <c r="B3158" s="2" t="s">
        <v>30</v>
      </c>
      <c r="C3158" s="3">
        <v>2.0880000000000001</v>
      </c>
      <c r="D3158" s="4">
        <v>31.988160000000001</v>
      </c>
      <c r="E3158" s="4">
        <v>20.88</v>
      </c>
      <c r="F3158" s="4">
        <f t="shared" ref="F3158:F3163" si="217">D3158-E3158</f>
        <v>11.108160000000002</v>
      </c>
      <c r="G3158" s="5">
        <f t="shared" ref="G3158:G3163" si="218">IF(((D3158)=0),0,(D3158-E3158)/ D3158)</f>
        <v>0.34725848563968675</v>
      </c>
      <c r="H3158" s="2" t="s">
        <v>2123</v>
      </c>
      <c r="I3158" s="6" t="s">
        <v>25</v>
      </c>
      <c r="J3158" s="2" t="s">
        <v>2124</v>
      </c>
      <c r="K3158" s="2" t="s">
        <v>5</v>
      </c>
      <c r="L3158" s="2" t="s">
        <v>28</v>
      </c>
      <c r="M3158" s="2" t="s">
        <v>5</v>
      </c>
      <c r="N3158" s="4">
        <v>0</v>
      </c>
    </row>
    <row r="3159" spans="1:14" x14ac:dyDescent="0.25">
      <c r="A3159" s="2" t="s">
        <v>660</v>
      </c>
      <c r="B3159" s="2" t="s">
        <v>661</v>
      </c>
      <c r="C3159" s="3">
        <v>2.6019999999999999</v>
      </c>
      <c r="D3159" s="4">
        <v>39.862639999999999</v>
      </c>
      <c r="E3159" s="4">
        <v>17.953800000000001</v>
      </c>
      <c r="F3159" s="4">
        <f t="shared" si="217"/>
        <v>21.908839999999998</v>
      </c>
      <c r="G3159" s="5">
        <f t="shared" si="218"/>
        <v>0.54960835509138373</v>
      </c>
      <c r="H3159" s="2" t="s">
        <v>2123</v>
      </c>
      <c r="I3159" s="6" t="s">
        <v>25</v>
      </c>
      <c r="J3159" s="2" t="s">
        <v>2124</v>
      </c>
      <c r="K3159" s="2" t="s">
        <v>5</v>
      </c>
      <c r="L3159" s="2" t="s">
        <v>28</v>
      </c>
      <c r="M3159" s="2" t="s">
        <v>5</v>
      </c>
      <c r="N3159" s="4">
        <v>0</v>
      </c>
    </row>
    <row r="3160" spans="1:14" x14ac:dyDescent="0.25">
      <c r="A3160" s="2" t="s">
        <v>1216</v>
      </c>
      <c r="B3160" s="2" t="s">
        <v>1217</v>
      </c>
      <c r="C3160" s="3">
        <v>5.26</v>
      </c>
      <c r="D3160" s="4">
        <v>40.344200000000001</v>
      </c>
      <c r="E3160" s="4">
        <v>18.41</v>
      </c>
      <c r="F3160" s="4">
        <f t="shared" si="217"/>
        <v>21.934200000000001</v>
      </c>
      <c r="G3160" s="5">
        <f t="shared" si="218"/>
        <v>0.54367666232073009</v>
      </c>
      <c r="H3160" s="2" t="s">
        <v>2123</v>
      </c>
      <c r="I3160" s="6" t="s">
        <v>25</v>
      </c>
      <c r="J3160" s="2" t="s">
        <v>2124</v>
      </c>
      <c r="K3160" s="2" t="s">
        <v>5</v>
      </c>
      <c r="L3160" s="2" t="s">
        <v>28</v>
      </c>
      <c r="M3160" s="2" t="s">
        <v>5</v>
      </c>
      <c r="N3160" s="4">
        <v>0</v>
      </c>
    </row>
    <row r="3161" spans="1:14" x14ac:dyDescent="0.25">
      <c r="A3161" s="2" t="s">
        <v>171</v>
      </c>
      <c r="B3161" s="2" t="s">
        <v>172</v>
      </c>
      <c r="C3161" s="3">
        <v>1.28</v>
      </c>
      <c r="D3161" s="4">
        <v>60.351999999999997</v>
      </c>
      <c r="E3161" s="4">
        <v>39.68</v>
      </c>
      <c r="F3161" s="4">
        <f t="shared" si="217"/>
        <v>20.671999999999997</v>
      </c>
      <c r="G3161" s="5">
        <f t="shared" si="218"/>
        <v>0.34252386002120888</v>
      </c>
      <c r="H3161" s="2" t="s">
        <v>2123</v>
      </c>
      <c r="I3161" s="6" t="s">
        <v>25</v>
      </c>
      <c r="J3161" s="2" t="s">
        <v>2124</v>
      </c>
      <c r="K3161" s="2" t="s">
        <v>5</v>
      </c>
      <c r="L3161" s="2" t="s">
        <v>28</v>
      </c>
      <c r="M3161" s="2" t="s">
        <v>5</v>
      </c>
      <c r="N3161" s="4">
        <v>0</v>
      </c>
    </row>
    <row r="3162" spans="1:14" x14ac:dyDescent="0.25">
      <c r="A3162" s="2" t="s">
        <v>136</v>
      </c>
      <c r="B3162" s="2" t="s">
        <v>137</v>
      </c>
      <c r="C3162" s="3">
        <v>2.1560000000000001</v>
      </c>
      <c r="D3162" s="4">
        <v>57.996400000000001</v>
      </c>
      <c r="E3162" s="4">
        <v>30.184000000000001</v>
      </c>
      <c r="F3162" s="4">
        <f t="shared" si="217"/>
        <v>27.8124</v>
      </c>
      <c r="G3162" s="5">
        <f t="shared" si="218"/>
        <v>0.4795539033457249</v>
      </c>
      <c r="H3162" s="2" t="s">
        <v>2123</v>
      </c>
      <c r="I3162" s="6" t="s">
        <v>25</v>
      </c>
      <c r="J3162" s="2" t="s">
        <v>2124</v>
      </c>
      <c r="K3162" s="2" t="s">
        <v>5</v>
      </c>
      <c r="L3162" s="2" t="s">
        <v>28</v>
      </c>
      <c r="M3162" s="2" t="s">
        <v>5</v>
      </c>
      <c r="N3162" s="4">
        <v>0</v>
      </c>
    </row>
    <row r="3163" spans="1:14" x14ac:dyDescent="0.25">
      <c r="A3163" s="2" t="s">
        <v>634</v>
      </c>
      <c r="B3163" s="2" t="s">
        <v>635</v>
      </c>
      <c r="C3163" s="3">
        <v>4.2359999999999998</v>
      </c>
      <c r="D3163" s="4">
        <v>69.555120000000002</v>
      </c>
      <c r="E3163" s="4">
        <v>52.95</v>
      </c>
      <c r="F3163" s="4">
        <f t="shared" si="217"/>
        <v>16.605119999999999</v>
      </c>
      <c r="G3163" s="5">
        <f t="shared" si="218"/>
        <v>0.23873325213154689</v>
      </c>
      <c r="H3163" s="2" t="s">
        <v>2123</v>
      </c>
      <c r="I3163" s="6" t="s">
        <v>25</v>
      </c>
      <c r="J3163" s="2" t="s">
        <v>2124</v>
      </c>
      <c r="K3163" s="2" t="s">
        <v>5</v>
      </c>
      <c r="L3163" s="2" t="s">
        <v>28</v>
      </c>
      <c r="M3163" s="2" t="s">
        <v>5</v>
      </c>
      <c r="N3163" s="4">
        <v>0</v>
      </c>
    </row>
    <row r="3165" spans="1:14" x14ac:dyDescent="0.25">
      <c r="A3165" s="13" t="s">
        <v>59</v>
      </c>
      <c r="B3165" s="21"/>
      <c r="C3165" s="22">
        <f>SUM(C3155:C3164)</f>
        <v>17.622</v>
      </c>
      <c r="D3165" s="23">
        <f>SUM(D3155:D3164)</f>
        <v>300.09852000000001</v>
      </c>
      <c r="E3165" s="23">
        <f>SUM(E3155:E3164)</f>
        <v>180.05779999999999</v>
      </c>
      <c r="F3165" s="23">
        <f>D3165-E3165</f>
        <v>120.04072000000002</v>
      </c>
      <c r="G3165" s="24">
        <f>IF(((D3165)=0),0,(D3165-E3165)/ D3165)</f>
        <v>0.40000437189760224</v>
      </c>
      <c r="H3165" s="21"/>
      <c r="I3165" s="21"/>
      <c r="J3165" s="21"/>
      <c r="K3165" s="21"/>
      <c r="L3165" s="21"/>
      <c r="M3165" s="21"/>
      <c r="N3165" s="21"/>
    </row>
    <row r="3167" spans="1:14" s="17" customFormat="1" ht="18.75" x14ac:dyDescent="0.3"/>
    <row r="3168" spans="1:14" s="7" customFormat="1" x14ac:dyDescent="0.25">
      <c r="A3168" s="13" t="s">
        <v>2125</v>
      </c>
      <c r="B3168" s="18" t="s">
        <v>2126</v>
      </c>
      <c r="C3168" s="19"/>
      <c r="D3168" s="20" t="s">
        <v>5</v>
      </c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</row>
    <row r="3170" spans="1:14" x14ac:dyDescent="0.25">
      <c r="A3170" s="2" t="s">
        <v>1352</v>
      </c>
      <c r="B3170" s="2" t="s">
        <v>1353</v>
      </c>
      <c r="C3170" s="3">
        <v>20</v>
      </c>
      <c r="D3170" s="4">
        <v>339</v>
      </c>
      <c r="E3170" s="4">
        <v>238</v>
      </c>
      <c r="F3170" s="4">
        <f t="shared" ref="F3170:F3176" si="219">D3170-E3170</f>
        <v>101</v>
      </c>
      <c r="G3170" s="5">
        <f t="shared" ref="G3170:G3176" si="220">IF(((D3170)=0),0,(D3170-E3170)/ D3170)</f>
        <v>0.29793510324483774</v>
      </c>
      <c r="H3170" s="2" t="s">
        <v>2127</v>
      </c>
      <c r="I3170" s="6" t="s">
        <v>69</v>
      </c>
      <c r="J3170" s="2" t="s">
        <v>2128</v>
      </c>
      <c r="K3170" s="2" t="s">
        <v>5</v>
      </c>
      <c r="L3170" s="2" t="s">
        <v>28</v>
      </c>
      <c r="M3170" s="2" t="s">
        <v>5</v>
      </c>
      <c r="N3170" s="4">
        <v>0</v>
      </c>
    </row>
    <row r="3171" spans="1:14" x14ac:dyDescent="0.25">
      <c r="A3171" s="2" t="s">
        <v>118</v>
      </c>
      <c r="B3171" s="2" t="s">
        <v>119</v>
      </c>
      <c r="C3171" s="3">
        <v>5.6</v>
      </c>
      <c r="D3171" s="4">
        <v>91.616</v>
      </c>
      <c r="E3171" s="4">
        <v>42</v>
      </c>
      <c r="F3171" s="4">
        <f t="shared" si="219"/>
        <v>49.616</v>
      </c>
      <c r="G3171" s="5">
        <f t="shared" si="220"/>
        <v>0.54156479217603914</v>
      </c>
      <c r="H3171" s="2" t="s">
        <v>2127</v>
      </c>
      <c r="I3171" s="6" t="s">
        <v>69</v>
      </c>
      <c r="J3171" s="2" t="s">
        <v>2128</v>
      </c>
      <c r="K3171" s="2" t="s">
        <v>5</v>
      </c>
      <c r="L3171" s="2" t="s">
        <v>28</v>
      </c>
      <c r="M3171" s="2" t="s">
        <v>5</v>
      </c>
      <c r="N3171" s="4">
        <v>0</v>
      </c>
    </row>
    <row r="3172" spans="1:14" x14ac:dyDescent="0.25">
      <c r="A3172" s="2" t="s">
        <v>620</v>
      </c>
      <c r="B3172" s="2" t="s">
        <v>621</v>
      </c>
      <c r="C3172" s="3">
        <v>4.96</v>
      </c>
      <c r="D3172" s="4">
        <v>51.732799999999997</v>
      </c>
      <c r="E3172" s="4">
        <v>49.6</v>
      </c>
      <c r="F3172" s="4">
        <f t="shared" si="219"/>
        <v>2.132799999999996</v>
      </c>
      <c r="G3172" s="5">
        <f t="shared" si="220"/>
        <v>4.1227229146692163E-2</v>
      </c>
      <c r="H3172" s="2" t="s">
        <v>2127</v>
      </c>
      <c r="I3172" s="6" t="s">
        <v>69</v>
      </c>
      <c r="J3172" s="2" t="s">
        <v>2128</v>
      </c>
      <c r="K3172" s="2" t="s">
        <v>5</v>
      </c>
      <c r="L3172" s="2" t="s">
        <v>28</v>
      </c>
      <c r="M3172" s="2" t="s">
        <v>5</v>
      </c>
      <c r="N3172" s="4">
        <v>0</v>
      </c>
    </row>
    <row r="3173" spans="1:14" x14ac:dyDescent="0.25">
      <c r="A3173" s="2" t="s">
        <v>152</v>
      </c>
      <c r="B3173" s="2" t="s">
        <v>153</v>
      </c>
      <c r="C3173" s="3">
        <v>5.7080000000000002</v>
      </c>
      <c r="D3173" s="4">
        <v>93.725359999999995</v>
      </c>
      <c r="E3173" s="4">
        <v>39.385199999999998</v>
      </c>
      <c r="F3173" s="4">
        <f t="shared" si="219"/>
        <v>54.340159999999997</v>
      </c>
      <c r="G3173" s="5">
        <f t="shared" si="220"/>
        <v>0.57978075517661387</v>
      </c>
      <c r="H3173" s="2" t="s">
        <v>2127</v>
      </c>
      <c r="I3173" s="6" t="s">
        <v>69</v>
      </c>
      <c r="J3173" s="2" t="s">
        <v>2128</v>
      </c>
      <c r="K3173" s="2" t="s">
        <v>5</v>
      </c>
      <c r="L3173" s="2" t="s">
        <v>28</v>
      </c>
      <c r="M3173" s="2" t="s">
        <v>5</v>
      </c>
      <c r="N3173" s="4">
        <v>0</v>
      </c>
    </row>
    <row r="3174" spans="1:14" x14ac:dyDescent="0.25">
      <c r="A3174" s="2" t="s">
        <v>49</v>
      </c>
      <c r="B3174" s="2" t="s">
        <v>50</v>
      </c>
      <c r="C3174" s="3">
        <v>2</v>
      </c>
      <c r="D3174" s="4">
        <v>37.22</v>
      </c>
      <c r="E3174" s="4">
        <v>22.06</v>
      </c>
      <c r="F3174" s="4">
        <f t="shared" si="219"/>
        <v>15.16</v>
      </c>
      <c r="G3174" s="5">
        <f t="shared" si="220"/>
        <v>0.40730789897904351</v>
      </c>
      <c r="H3174" s="2" t="s">
        <v>2127</v>
      </c>
      <c r="I3174" s="6" t="s">
        <v>69</v>
      </c>
      <c r="J3174" s="2" t="s">
        <v>2128</v>
      </c>
      <c r="K3174" s="2" t="s">
        <v>5</v>
      </c>
      <c r="L3174" s="2" t="s">
        <v>28</v>
      </c>
      <c r="M3174" s="2" t="s">
        <v>5</v>
      </c>
      <c r="N3174" s="4">
        <v>0</v>
      </c>
    </row>
    <row r="3175" spans="1:14" x14ac:dyDescent="0.25">
      <c r="A3175" s="2" t="s">
        <v>713</v>
      </c>
      <c r="B3175" s="2" t="s">
        <v>714</v>
      </c>
      <c r="C3175" s="3">
        <v>2.448</v>
      </c>
      <c r="D3175" s="4">
        <v>34.271999999999998</v>
      </c>
      <c r="E3175" s="4">
        <v>21.42</v>
      </c>
      <c r="F3175" s="4">
        <f t="shared" si="219"/>
        <v>12.851999999999997</v>
      </c>
      <c r="G3175" s="5">
        <f t="shared" si="220"/>
        <v>0.37499999999999994</v>
      </c>
      <c r="H3175" s="2" t="s">
        <v>2127</v>
      </c>
      <c r="I3175" s="6" t="s">
        <v>69</v>
      </c>
      <c r="J3175" s="2" t="s">
        <v>2128</v>
      </c>
      <c r="K3175" s="2" t="s">
        <v>5</v>
      </c>
      <c r="L3175" s="2" t="s">
        <v>28</v>
      </c>
      <c r="M3175" s="2" t="s">
        <v>5</v>
      </c>
      <c r="N3175" s="4">
        <v>0</v>
      </c>
    </row>
    <row r="3176" spans="1:14" x14ac:dyDescent="0.25">
      <c r="A3176" s="2" t="s">
        <v>646</v>
      </c>
      <c r="B3176" s="2" t="s">
        <v>647</v>
      </c>
      <c r="C3176" s="3">
        <v>5.6</v>
      </c>
      <c r="D3176" s="4">
        <v>228.76</v>
      </c>
      <c r="E3176" s="4">
        <v>173.6</v>
      </c>
      <c r="F3176" s="4">
        <f t="shared" si="219"/>
        <v>55.16</v>
      </c>
      <c r="G3176" s="5">
        <f t="shared" si="220"/>
        <v>0.24112607099143207</v>
      </c>
      <c r="H3176" s="2" t="s">
        <v>2127</v>
      </c>
      <c r="I3176" s="6" t="s">
        <v>69</v>
      </c>
      <c r="J3176" s="2" t="s">
        <v>2128</v>
      </c>
      <c r="K3176" s="2" t="s">
        <v>5</v>
      </c>
      <c r="L3176" s="2" t="s">
        <v>28</v>
      </c>
      <c r="M3176" s="2" t="s">
        <v>5</v>
      </c>
      <c r="N3176" s="4">
        <v>0</v>
      </c>
    </row>
    <row r="3178" spans="1:14" x14ac:dyDescent="0.25">
      <c r="A3178" s="13" t="s">
        <v>59</v>
      </c>
      <c r="B3178" s="21"/>
      <c r="C3178" s="22">
        <f>SUM(C3167:C3177)</f>
        <v>46.316000000000003</v>
      </c>
      <c r="D3178" s="23">
        <f>SUM(D3167:D3177)</f>
        <v>876.32616000000007</v>
      </c>
      <c r="E3178" s="23">
        <f>SUM(E3167:E3177)</f>
        <v>586.0652</v>
      </c>
      <c r="F3178" s="23">
        <f>D3178-E3178</f>
        <v>290.26096000000007</v>
      </c>
      <c r="G3178" s="24">
        <f>IF(((D3178)=0),0,(D3178-E3178)/ D3178)</f>
        <v>0.33122480333121634</v>
      </c>
      <c r="H3178" s="21"/>
      <c r="I3178" s="21"/>
      <c r="J3178" s="21"/>
      <c r="K3178" s="21"/>
      <c r="L3178" s="21"/>
      <c r="M3178" s="21"/>
      <c r="N3178" s="21"/>
    </row>
    <row r="3180" spans="1:14" s="17" customFormat="1" ht="18.75" x14ac:dyDescent="0.3"/>
    <row r="3181" spans="1:14" s="7" customFormat="1" x14ac:dyDescent="0.25">
      <c r="A3181" s="13" t="s">
        <v>2129</v>
      </c>
      <c r="B3181" s="18" t="s">
        <v>2130</v>
      </c>
      <c r="C3181" s="19"/>
      <c r="D3181" s="20" t="s">
        <v>5</v>
      </c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</row>
    <row r="3183" spans="1:14" x14ac:dyDescent="0.25">
      <c r="A3183" s="2" t="s">
        <v>698</v>
      </c>
      <c r="B3183" s="2" t="s">
        <v>699</v>
      </c>
      <c r="C3183" s="3">
        <v>100</v>
      </c>
      <c r="D3183" s="4">
        <v>1243</v>
      </c>
      <c r="E3183" s="4">
        <v>1000</v>
      </c>
      <c r="F3183" s="4">
        <f t="shared" ref="F3183:F3204" si="221">D3183-E3183</f>
        <v>243</v>
      </c>
      <c r="G3183" s="5">
        <f t="shared" ref="G3183:G3204" si="222">IF(((D3183)=0),0,(D3183-E3183)/ D3183)</f>
        <v>0.19549477071600965</v>
      </c>
      <c r="H3183" s="2" t="s">
        <v>2131</v>
      </c>
      <c r="I3183" s="6" t="s">
        <v>69</v>
      </c>
      <c r="J3183" s="2" t="s">
        <v>2132</v>
      </c>
      <c r="K3183" s="2" t="s">
        <v>2133</v>
      </c>
      <c r="L3183" s="2" t="s">
        <v>28</v>
      </c>
      <c r="M3183" s="2" t="s">
        <v>5</v>
      </c>
      <c r="N3183" s="4">
        <v>12158.98</v>
      </c>
    </row>
    <row r="3184" spans="1:14" x14ac:dyDescent="0.25">
      <c r="A3184" s="2" t="s">
        <v>566</v>
      </c>
      <c r="B3184" s="2" t="s">
        <v>567</v>
      </c>
      <c r="C3184" s="3">
        <v>30.94</v>
      </c>
      <c r="D3184" s="4">
        <v>518.55439999999999</v>
      </c>
      <c r="E3184" s="4">
        <v>352.71600000000001</v>
      </c>
      <c r="F3184" s="4">
        <f t="shared" si="221"/>
        <v>165.83839999999998</v>
      </c>
      <c r="G3184" s="5">
        <f t="shared" si="222"/>
        <v>0.31980906921241048</v>
      </c>
      <c r="H3184" s="2" t="s">
        <v>2131</v>
      </c>
      <c r="I3184" s="6" t="s">
        <v>69</v>
      </c>
      <c r="J3184" s="2" t="s">
        <v>2132</v>
      </c>
      <c r="K3184" s="2" t="s">
        <v>2133</v>
      </c>
      <c r="L3184" s="2" t="s">
        <v>28</v>
      </c>
      <c r="M3184" s="2" t="s">
        <v>5</v>
      </c>
      <c r="N3184" s="4">
        <v>12158.98</v>
      </c>
    </row>
    <row r="3185" spans="1:14" x14ac:dyDescent="0.25">
      <c r="A3185" s="2" t="s">
        <v>22</v>
      </c>
      <c r="B3185" s="2" t="s">
        <v>23</v>
      </c>
      <c r="C3185" s="3">
        <v>143.1</v>
      </c>
      <c r="D3185" s="4">
        <v>1936.143</v>
      </c>
      <c r="E3185" s="4">
        <v>1574.1</v>
      </c>
      <c r="F3185" s="4">
        <f t="shared" si="221"/>
        <v>362.04300000000012</v>
      </c>
      <c r="G3185" s="5">
        <f t="shared" si="222"/>
        <v>0.18699186991869923</v>
      </c>
      <c r="H3185" s="2" t="s">
        <v>2131</v>
      </c>
      <c r="I3185" s="6" t="s">
        <v>69</v>
      </c>
      <c r="J3185" s="2" t="s">
        <v>2132</v>
      </c>
      <c r="K3185" s="2" t="s">
        <v>2133</v>
      </c>
      <c r="L3185" s="2" t="s">
        <v>28</v>
      </c>
      <c r="M3185" s="2" t="s">
        <v>5</v>
      </c>
      <c r="N3185" s="4">
        <v>12158.98</v>
      </c>
    </row>
    <row r="3186" spans="1:14" x14ac:dyDescent="0.25">
      <c r="A3186" s="2" t="s">
        <v>29</v>
      </c>
      <c r="B3186" s="2" t="s">
        <v>30</v>
      </c>
      <c r="C3186" s="3">
        <v>28.97</v>
      </c>
      <c r="D3186" s="4">
        <v>365.02199999999999</v>
      </c>
      <c r="E3186" s="4">
        <v>289.7</v>
      </c>
      <c r="F3186" s="4">
        <f t="shared" si="221"/>
        <v>75.322000000000003</v>
      </c>
      <c r="G3186" s="5">
        <f t="shared" si="222"/>
        <v>0.20634920634920637</v>
      </c>
      <c r="H3186" s="2" t="s">
        <v>2131</v>
      </c>
      <c r="I3186" s="6" t="s">
        <v>69</v>
      </c>
      <c r="J3186" s="2" t="s">
        <v>2132</v>
      </c>
      <c r="K3186" s="2" t="s">
        <v>2133</v>
      </c>
      <c r="L3186" s="2" t="s">
        <v>28</v>
      </c>
      <c r="M3186" s="2" t="s">
        <v>5</v>
      </c>
      <c r="N3186" s="4">
        <v>12158.98</v>
      </c>
    </row>
    <row r="3187" spans="1:14" x14ac:dyDescent="0.25">
      <c r="A3187" s="2" t="s">
        <v>41</v>
      </c>
      <c r="B3187" s="2" t="s">
        <v>42</v>
      </c>
      <c r="C3187" s="3">
        <v>31.715</v>
      </c>
      <c r="D3187" s="4">
        <v>518.85739999999998</v>
      </c>
      <c r="E3187" s="4">
        <v>372.65125</v>
      </c>
      <c r="F3187" s="4">
        <f t="shared" si="221"/>
        <v>146.20614999999998</v>
      </c>
      <c r="G3187" s="5">
        <f t="shared" si="222"/>
        <v>0.2817848410757946</v>
      </c>
      <c r="H3187" s="2" t="s">
        <v>2131</v>
      </c>
      <c r="I3187" s="6" t="s">
        <v>69</v>
      </c>
      <c r="J3187" s="2" t="s">
        <v>2132</v>
      </c>
      <c r="K3187" s="2" t="s">
        <v>2133</v>
      </c>
      <c r="L3187" s="2" t="s">
        <v>28</v>
      </c>
      <c r="M3187" s="2" t="s">
        <v>5</v>
      </c>
      <c r="N3187" s="4">
        <v>12158.98</v>
      </c>
    </row>
    <row r="3188" spans="1:14" x14ac:dyDescent="0.25">
      <c r="A3188" s="2" t="s">
        <v>703</v>
      </c>
      <c r="B3188" s="2" t="s">
        <v>704</v>
      </c>
      <c r="C3188" s="3">
        <v>72</v>
      </c>
      <c r="D3188" s="4">
        <v>446.4</v>
      </c>
      <c r="E3188" s="4">
        <v>342</v>
      </c>
      <c r="F3188" s="4">
        <f t="shared" si="221"/>
        <v>104.39999999999998</v>
      </c>
      <c r="G3188" s="5">
        <f t="shared" si="222"/>
        <v>0.23387096774193544</v>
      </c>
      <c r="H3188" s="2" t="s">
        <v>2131</v>
      </c>
      <c r="I3188" s="6" t="s">
        <v>69</v>
      </c>
      <c r="J3188" s="2" t="s">
        <v>2132</v>
      </c>
      <c r="K3188" s="2" t="s">
        <v>2133</v>
      </c>
      <c r="L3188" s="2" t="s">
        <v>28</v>
      </c>
      <c r="M3188" s="2" t="s">
        <v>5</v>
      </c>
      <c r="N3188" s="4">
        <v>12158.98</v>
      </c>
    </row>
    <row r="3189" spans="1:14" x14ac:dyDescent="0.25">
      <c r="A3189" s="2" t="s">
        <v>1216</v>
      </c>
      <c r="B3189" s="2" t="s">
        <v>1217</v>
      </c>
      <c r="C3189" s="3">
        <v>63.204999999999998</v>
      </c>
      <c r="D3189" s="4">
        <v>284.42250000000001</v>
      </c>
      <c r="E3189" s="4">
        <v>221.2175</v>
      </c>
      <c r="F3189" s="4">
        <f t="shared" si="221"/>
        <v>63.205000000000013</v>
      </c>
      <c r="G3189" s="5">
        <f t="shared" si="222"/>
        <v>0.22222222222222227</v>
      </c>
      <c r="H3189" s="2" t="s">
        <v>2131</v>
      </c>
      <c r="I3189" s="6" t="s">
        <v>69</v>
      </c>
      <c r="J3189" s="2" t="s">
        <v>2132</v>
      </c>
      <c r="K3189" s="2" t="s">
        <v>2133</v>
      </c>
      <c r="L3189" s="2" t="s">
        <v>28</v>
      </c>
      <c r="M3189" s="2" t="s">
        <v>5</v>
      </c>
      <c r="N3189" s="4">
        <v>12158.98</v>
      </c>
    </row>
    <row r="3190" spans="1:14" x14ac:dyDescent="0.25">
      <c r="A3190" s="2" t="s">
        <v>2031</v>
      </c>
      <c r="B3190" s="2" t="s">
        <v>2032</v>
      </c>
      <c r="C3190" s="3">
        <v>58.54</v>
      </c>
      <c r="D3190" s="4">
        <v>545.00739999999996</v>
      </c>
      <c r="E3190" s="4">
        <v>245.86799999999999</v>
      </c>
      <c r="F3190" s="4">
        <f t="shared" si="221"/>
        <v>299.13939999999997</v>
      </c>
      <c r="G3190" s="5">
        <f t="shared" si="222"/>
        <v>0.54887218045112784</v>
      </c>
      <c r="H3190" s="2" t="s">
        <v>2131</v>
      </c>
      <c r="I3190" s="6" t="s">
        <v>69</v>
      </c>
      <c r="J3190" s="2" t="s">
        <v>2132</v>
      </c>
      <c r="K3190" s="2" t="s">
        <v>2133</v>
      </c>
      <c r="L3190" s="2" t="s">
        <v>28</v>
      </c>
      <c r="M3190" s="2" t="s">
        <v>5</v>
      </c>
      <c r="N3190" s="4">
        <v>12158.98</v>
      </c>
    </row>
    <row r="3191" spans="1:14" x14ac:dyDescent="0.25">
      <c r="A3191" s="2" t="s">
        <v>207</v>
      </c>
      <c r="B3191" s="2" t="s">
        <v>208</v>
      </c>
      <c r="C3191" s="3">
        <v>10</v>
      </c>
      <c r="D3191" s="4">
        <v>158.9</v>
      </c>
      <c r="E3191" s="4">
        <v>128.19999999999999</v>
      </c>
      <c r="F3191" s="4">
        <f t="shared" si="221"/>
        <v>30.700000000000017</v>
      </c>
      <c r="G3191" s="5">
        <f t="shared" si="222"/>
        <v>0.19320327249842678</v>
      </c>
      <c r="H3191" s="2" t="s">
        <v>2131</v>
      </c>
      <c r="I3191" s="6" t="s">
        <v>69</v>
      </c>
      <c r="J3191" s="2" t="s">
        <v>2132</v>
      </c>
      <c r="K3191" s="2" t="s">
        <v>2133</v>
      </c>
      <c r="L3191" s="2" t="s">
        <v>28</v>
      </c>
      <c r="M3191" s="2" t="s">
        <v>5</v>
      </c>
      <c r="N3191" s="4">
        <v>12158.98</v>
      </c>
    </row>
    <row r="3192" spans="1:14" x14ac:dyDescent="0.25">
      <c r="A3192" s="2" t="s">
        <v>601</v>
      </c>
      <c r="B3192" s="2" t="s">
        <v>602</v>
      </c>
      <c r="C3192" s="3">
        <v>103.8</v>
      </c>
      <c r="D3192" s="4">
        <v>562.596</v>
      </c>
      <c r="E3192" s="4">
        <v>373.68</v>
      </c>
      <c r="F3192" s="4">
        <f t="shared" si="221"/>
        <v>188.916</v>
      </c>
      <c r="G3192" s="5">
        <f t="shared" si="222"/>
        <v>0.33579335793357934</v>
      </c>
      <c r="H3192" s="2" t="s">
        <v>2131</v>
      </c>
      <c r="I3192" s="6" t="s">
        <v>69</v>
      </c>
      <c r="J3192" s="2" t="s">
        <v>2132</v>
      </c>
      <c r="K3192" s="2" t="s">
        <v>2133</v>
      </c>
      <c r="L3192" s="2" t="s">
        <v>28</v>
      </c>
      <c r="M3192" s="2" t="s">
        <v>5</v>
      </c>
      <c r="N3192" s="4">
        <v>12158.98</v>
      </c>
    </row>
    <row r="3193" spans="1:14" x14ac:dyDescent="0.25">
      <c r="A3193" s="2" t="s">
        <v>707</v>
      </c>
      <c r="B3193" s="2" t="s">
        <v>708</v>
      </c>
      <c r="C3193" s="3">
        <v>35.85</v>
      </c>
      <c r="D3193" s="4">
        <v>393.27449999999999</v>
      </c>
      <c r="E3193" s="4">
        <v>297.19650000000001</v>
      </c>
      <c r="F3193" s="4">
        <f t="shared" si="221"/>
        <v>96.077999999999975</v>
      </c>
      <c r="G3193" s="5">
        <f t="shared" si="222"/>
        <v>0.24430264357338188</v>
      </c>
      <c r="H3193" s="2" t="s">
        <v>2131</v>
      </c>
      <c r="I3193" s="6" t="s">
        <v>69</v>
      </c>
      <c r="J3193" s="2" t="s">
        <v>2132</v>
      </c>
      <c r="K3193" s="2" t="s">
        <v>2133</v>
      </c>
      <c r="L3193" s="2" t="s">
        <v>28</v>
      </c>
      <c r="M3193" s="2" t="s">
        <v>5</v>
      </c>
      <c r="N3193" s="4">
        <v>12158.98</v>
      </c>
    </row>
    <row r="3194" spans="1:14" x14ac:dyDescent="0.25">
      <c r="A3194" s="2" t="s">
        <v>709</v>
      </c>
      <c r="B3194" s="2" t="s">
        <v>710</v>
      </c>
      <c r="C3194" s="3">
        <v>8.9930000000000003</v>
      </c>
      <c r="D3194" s="4">
        <v>128.15025</v>
      </c>
      <c r="E3194" s="4">
        <v>93.077550000000002</v>
      </c>
      <c r="F3194" s="4">
        <f t="shared" si="221"/>
        <v>35.072699999999998</v>
      </c>
      <c r="G3194" s="5">
        <f t="shared" si="222"/>
        <v>0.27368421052631575</v>
      </c>
      <c r="H3194" s="2" t="s">
        <v>2131</v>
      </c>
      <c r="I3194" s="6" t="s">
        <v>69</v>
      </c>
      <c r="J3194" s="2" t="s">
        <v>2132</v>
      </c>
      <c r="K3194" s="2" t="s">
        <v>2133</v>
      </c>
      <c r="L3194" s="2" t="s">
        <v>28</v>
      </c>
      <c r="M3194" s="2" t="s">
        <v>5</v>
      </c>
      <c r="N3194" s="4">
        <v>12158.98</v>
      </c>
    </row>
    <row r="3195" spans="1:14" x14ac:dyDescent="0.25">
      <c r="A3195" s="2" t="s">
        <v>246</v>
      </c>
      <c r="B3195" s="2" t="s">
        <v>247</v>
      </c>
      <c r="C3195" s="3">
        <v>16</v>
      </c>
      <c r="D3195" s="4">
        <v>368</v>
      </c>
      <c r="E3195" s="4">
        <v>260</v>
      </c>
      <c r="F3195" s="4">
        <f t="shared" si="221"/>
        <v>108</v>
      </c>
      <c r="G3195" s="5">
        <f t="shared" si="222"/>
        <v>0.29347826086956524</v>
      </c>
      <c r="H3195" s="2" t="s">
        <v>2131</v>
      </c>
      <c r="I3195" s="6" t="s">
        <v>69</v>
      </c>
      <c r="J3195" s="2" t="s">
        <v>2132</v>
      </c>
      <c r="K3195" s="2" t="s">
        <v>2133</v>
      </c>
      <c r="L3195" s="2" t="s">
        <v>28</v>
      </c>
      <c r="M3195" s="2" t="s">
        <v>5</v>
      </c>
      <c r="N3195" s="4">
        <v>12158.98</v>
      </c>
    </row>
    <row r="3196" spans="1:14" x14ac:dyDescent="0.25">
      <c r="A3196" s="2" t="s">
        <v>624</v>
      </c>
      <c r="B3196" s="2" t="s">
        <v>625</v>
      </c>
      <c r="C3196" s="3">
        <v>59.56</v>
      </c>
      <c r="D3196" s="4">
        <v>714.12440000000004</v>
      </c>
      <c r="E3196" s="4">
        <v>446.7</v>
      </c>
      <c r="F3196" s="4">
        <f t="shared" si="221"/>
        <v>267.42440000000005</v>
      </c>
      <c r="G3196" s="5">
        <f t="shared" si="222"/>
        <v>0.37447873227689749</v>
      </c>
      <c r="H3196" s="2" t="s">
        <v>2131</v>
      </c>
      <c r="I3196" s="6" t="s">
        <v>69</v>
      </c>
      <c r="J3196" s="2" t="s">
        <v>2132</v>
      </c>
      <c r="K3196" s="2" t="s">
        <v>2133</v>
      </c>
      <c r="L3196" s="2" t="s">
        <v>28</v>
      </c>
      <c r="M3196" s="2" t="s">
        <v>5</v>
      </c>
      <c r="N3196" s="4">
        <v>12158.98</v>
      </c>
    </row>
    <row r="3197" spans="1:14" x14ac:dyDescent="0.25">
      <c r="A3197" s="2" t="s">
        <v>53</v>
      </c>
      <c r="B3197" s="2" t="s">
        <v>54</v>
      </c>
      <c r="C3197" s="3">
        <v>73.13</v>
      </c>
      <c r="D3197" s="4">
        <v>621.60500000000002</v>
      </c>
      <c r="E3197" s="4">
        <v>533.84900000000005</v>
      </c>
      <c r="F3197" s="4">
        <f t="shared" si="221"/>
        <v>87.755999999999972</v>
      </c>
      <c r="G3197" s="5">
        <f t="shared" si="222"/>
        <v>0.14117647058823524</v>
      </c>
      <c r="H3197" s="2" t="s">
        <v>2131</v>
      </c>
      <c r="I3197" s="6" t="s">
        <v>69</v>
      </c>
      <c r="J3197" s="2" t="s">
        <v>2132</v>
      </c>
      <c r="K3197" s="2" t="s">
        <v>2133</v>
      </c>
      <c r="L3197" s="2" t="s">
        <v>28</v>
      </c>
      <c r="M3197" s="2" t="s">
        <v>5</v>
      </c>
      <c r="N3197" s="4">
        <v>12158.98</v>
      </c>
    </row>
    <row r="3198" spans="1:14" x14ac:dyDescent="0.25">
      <c r="A3198" s="2" t="s">
        <v>134</v>
      </c>
      <c r="B3198" s="2" t="s">
        <v>135</v>
      </c>
      <c r="C3198" s="3">
        <v>14.93</v>
      </c>
      <c r="D3198" s="4">
        <v>146.16470000000001</v>
      </c>
      <c r="E3198" s="4">
        <v>106.003</v>
      </c>
      <c r="F3198" s="4">
        <f t="shared" si="221"/>
        <v>40.16170000000001</v>
      </c>
      <c r="G3198" s="5">
        <f t="shared" si="222"/>
        <v>0.27477017364657819</v>
      </c>
      <c r="H3198" s="2" t="s">
        <v>2131</v>
      </c>
      <c r="I3198" s="6" t="s">
        <v>69</v>
      </c>
      <c r="J3198" s="2" t="s">
        <v>2132</v>
      </c>
      <c r="K3198" s="2" t="s">
        <v>2133</v>
      </c>
      <c r="L3198" s="2" t="s">
        <v>28</v>
      </c>
      <c r="M3198" s="2" t="s">
        <v>5</v>
      </c>
      <c r="N3198" s="4">
        <v>12158.98</v>
      </c>
    </row>
    <row r="3199" spans="1:14" x14ac:dyDescent="0.25">
      <c r="A3199" s="2" t="s">
        <v>583</v>
      </c>
      <c r="B3199" s="2" t="s">
        <v>584</v>
      </c>
      <c r="C3199" s="3">
        <v>52.79</v>
      </c>
      <c r="D3199" s="4">
        <v>549.01599999999996</v>
      </c>
      <c r="E3199" s="4">
        <v>395.92500000000001</v>
      </c>
      <c r="F3199" s="4">
        <f t="shared" si="221"/>
        <v>153.09099999999995</v>
      </c>
      <c r="G3199" s="5">
        <f t="shared" si="222"/>
        <v>0.2788461538461538</v>
      </c>
      <c r="H3199" s="2" t="s">
        <v>2131</v>
      </c>
      <c r="I3199" s="6" t="s">
        <v>69</v>
      </c>
      <c r="J3199" s="2" t="s">
        <v>2132</v>
      </c>
      <c r="K3199" s="2" t="s">
        <v>2133</v>
      </c>
      <c r="L3199" s="2" t="s">
        <v>28</v>
      </c>
      <c r="M3199" s="2" t="s">
        <v>5</v>
      </c>
      <c r="N3199" s="4">
        <v>12158.98</v>
      </c>
    </row>
    <row r="3200" spans="1:14" x14ac:dyDescent="0.25">
      <c r="A3200" s="2" t="s">
        <v>1202</v>
      </c>
      <c r="B3200" s="2" t="s">
        <v>1203</v>
      </c>
      <c r="C3200" s="3">
        <v>42.744999999999997</v>
      </c>
      <c r="D3200" s="4">
        <v>350.93644999999998</v>
      </c>
      <c r="E3200" s="4">
        <v>235.0975</v>
      </c>
      <c r="F3200" s="4">
        <f t="shared" si="221"/>
        <v>115.83894999999998</v>
      </c>
      <c r="G3200" s="5">
        <f t="shared" si="222"/>
        <v>0.33008526187576126</v>
      </c>
      <c r="H3200" s="2" t="s">
        <v>2131</v>
      </c>
      <c r="I3200" s="6" t="s">
        <v>69</v>
      </c>
      <c r="J3200" s="2" t="s">
        <v>2132</v>
      </c>
      <c r="K3200" s="2" t="s">
        <v>2133</v>
      </c>
      <c r="L3200" s="2" t="s">
        <v>28</v>
      </c>
      <c r="M3200" s="2" t="s">
        <v>5</v>
      </c>
      <c r="N3200" s="4">
        <v>12158.98</v>
      </c>
    </row>
    <row r="3201" spans="1:14" x14ac:dyDescent="0.25">
      <c r="A3201" s="2" t="s">
        <v>256</v>
      </c>
      <c r="B3201" s="2" t="s">
        <v>257</v>
      </c>
      <c r="C3201" s="3">
        <v>8</v>
      </c>
      <c r="D3201" s="4">
        <v>195.84</v>
      </c>
      <c r="E3201" s="4">
        <v>129.12</v>
      </c>
      <c r="F3201" s="4">
        <f t="shared" si="221"/>
        <v>66.72</v>
      </c>
      <c r="G3201" s="5">
        <f t="shared" si="222"/>
        <v>0.34068627450980393</v>
      </c>
      <c r="H3201" s="2" t="s">
        <v>2131</v>
      </c>
      <c r="I3201" s="6" t="s">
        <v>69</v>
      </c>
      <c r="J3201" s="2" t="s">
        <v>2132</v>
      </c>
      <c r="K3201" s="2" t="s">
        <v>2133</v>
      </c>
      <c r="L3201" s="2" t="s">
        <v>28</v>
      </c>
      <c r="M3201" s="2" t="s">
        <v>5</v>
      </c>
      <c r="N3201" s="4">
        <v>12158.98</v>
      </c>
    </row>
    <row r="3202" spans="1:14" x14ac:dyDescent="0.25">
      <c r="A3202" s="2" t="s">
        <v>694</v>
      </c>
      <c r="B3202" s="2" t="s">
        <v>695</v>
      </c>
      <c r="C3202" s="3">
        <v>59.1</v>
      </c>
      <c r="D3202" s="4">
        <v>970.42200000000003</v>
      </c>
      <c r="E3202" s="4">
        <v>537.80999999999995</v>
      </c>
      <c r="F3202" s="4">
        <f t="shared" si="221"/>
        <v>432.61200000000008</v>
      </c>
      <c r="G3202" s="5">
        <f t="shared" si="222"/>
        <v>0.44579780755176623</v>
      </c>
      <c r="H3202" s="2" t="s">
        <v>2131</v>
      </c>
      <c r="I3202" s="6" t="s">
        <v>69</v>
      </c>
      <c r="J3202" s="2" t="s">
        <v>2132</v>
      </c>
      <c r="K3202" s="2" t="s">
        <v>2133</v>
      </c>
      <c r="L3202" s="2" t="s">
        <v>28</v>
      </c>
      <c r="M3202" s="2" t="s">
        <v>5</v>
      </c>
      <c r="N3202" s="4">
        <v>12158.98</v>
      </c>
    </row>
    <row r="3203" spans="1:14" x14ac:dyDescent="0.25">
      <c r="A3203" s="2" t="s">
        <v>250</v>
      </c>
      <c r="B3203" s="2" t="s">
        <v>251</v>
      </c>
      <c r="C3203" s="3">
        <v>69.900000000000006</v>
      </c>
      <c r="D3203" s="4">
        <v>880.04100000000005</v>
      </c>
      <c r="E3203" s="4">
        <v>594.15</v>
      </c>
      <c r="F3203" s="4">
        <f t="shared" si="221"/>
        <v>285.89100000000008</v>
      </c>
      <c r="G3203" s="5">
        <f t="shared" si="222"/>
        <v>0.32486100079428126</v>
      </c>
      <c r="H3203" s="2" t="s">
        <v>2131</v>
      </c>
      <c r="I3203" s="6" t="s">
        <v>69</v>
      </c>
      <c r="J3203" s="2" t="s">
        <v>2132</v>
      </c>
      <c r="K3203" s="2" t="s">
        <v>2133</v>
      </c>
      <c r="L3203" s="2" t="s">
        <v>28</v>
      </c>
      <c r="M3203" s="2" t="s">
        <v>5</v>
      </c>
      <c r="N3203" s="4">
        <v>12158.98</v>
      </c>
    </row>
    <row r="3204" spans="1:14" x14ac:dyDescent="0.25">
      <c r="A3204" s="2" t="s">
        <v>591</v>
      </c>
      <c r="B3204" s="2" t="s">
        <v>592</v>
      </c>
      <c r="C3204" s="3">
        <v>28.2256</v>
      </c>
      <c r="D3204" s="4">
        <v>262.49808000000002</v>
      </c>
      <c r="E3204" s="4">
        <v>163.70848000000001</v>
      </c>
      <c r="F3204" s="4">
        <f t="shared" si="221"/>
        <v>98.789600000000007</v>
      </c>
      <c r="G3204" s="5">
        <f t="shared" si="222"/>
        <v>0.37634408602150538</v>
      </c>
      <c r="H3204" s="2" t="s">
        <v>2131</v>
      </c>
      <c r="I3204" s="6" t="s">
        <v>69</v>
      </c>
      <c r="J3204" s="2" t="s">
        <v>2132</v>
      </c>
      <c r="K3204" s="2" t="s">
        <v>2133</v>
      </c>
      <c r="L3204" s="2" t="s">
        <v>28</v>
      </c>
      <c r="M3204" s="2" t="s">
        <v>5</v>
      </c>
      <c r="N3204" s="4">
        <v>12158.98</v>
      </c>
    </row>
    <row r="3206" spans="1:14" x14ac:dyDescent="0.25">
      <c r="A3206" s="13" t="s">
        <v>59</v>
      </c>
      <c r="B3206" s="21"/>
      <c r="C3206" s="22">
        <f>SUM(C3180:C3205)</f>
        <v>1111.4936</v>
      </c>
      <c r="D3206" s="23">
        <f>SUM(D3180:D3205)</f>
        <v>12158.975079999995</v>
      </c>
      <c r="E3206" s="23">
        <f>SUM(E3180:E3205)</f>
        <v>8692.7697799999987</v>
      </c>
      <c r="F3206" s="23">
        <f>D3206-E3206</f>
        <v>3466.205299999996</v>
      </c>
      <c r="G3206" s="24">
        <f>IF(((D3206)=0),0,(D3206-E3206)/ D3206)</f>
        <v>0.28507380574383062</v>
      </c>
      <c r="H3206" s="21"/>
      <c r="I3206" s="21"/>
      <c r="J3206" s="21"/>
      <c r="K3206" s="21"/>
      <c r="L3206" s="21"/>
      <c r="M3206" s="21"/>
      <c r="N3206" s="21"/>
    </row>
    <row r="3208" spans="1:14" s="17" customFormat="1" ht="18.75" x14ac:dyDescent="0.3"/>
    <row r="3209" spans="1:14" s="7" customFormat="1" x14ac:dyDescent="0.25">
      <c r="A3209" s="13" t="s">
        <v>2134</v>
      </c>
      <c r="B3209" s="18" t="s">
        <v>2135</v>
      </c>
      <c r="C3209" s="19"/>
      <c r="D3209" s="20" t="s">
        <v>5</v>
      </c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</row>
    <row r="3211" spans="1:14" x14ac:dyDescent="0.25">
      <c r="A3211" s="2" t="s">
        <v>877</v>
      </c>
      <c r="B3211" s="2" t="s">
        <v>878</v>
      </c>
      <c r="C3211" s="3">
        <v>83.275000000000006</v>
      </c>
      <c r="D3211" s="4">
        <v>1896.17175</v>
      </c>
      <c r="E3211" s="4">
        <v>1040.9375</v>
      </c>
      <c r="F3211" s="4">
        <f t="shared" ref="F3211:F3233" si="223">D3211-E3211</f>
        <v>855.23424999999997</v>
      </c>
      <c r="G3211" s="5">
        <f t="shared" ref="G3211:G3233" si="224">IF(((D3211)=0),0,(D3211-E3211)/ D3211)</f>
        <v>0.45103205972771188</v>
      </c>
      <c r="H3211" s="2" t="s">
        <v>2136</v>
      </c>
      <c r="I3211" s="6" t="s">
        <v>25</v>
      </c>
      <c r="J3211" s="2" t="s">
        <v>2137</v>
      </c>
      <c r="K3211" s="2" t="s">
        <v>2138</v>
      </c>
      <c r="L3211" s="2" t="s">
        <v>28</v>
      </c>
      <c r="M3211" s="2" t="s">
        <v>5</v>
      </c>
      <c r="N3211" s="4">
        <v>9545</v>
      </c>
    </row>
    <row r="3212" spans="1:14" x14ac:dyDescent="0.25">
      <c r="A3212" s="2" t="s">
        <v>268</v>
      </c>
      <c r="B3212" s="2" t="s">
        <v>269</v>
      </c>
      <c r="C3212" s="3">
        <v>15.23</v>
      </c>
      <c r="D3212" s="4">
        <v>309.77820000000003</v>
      </c>
      <c r="E3212" s="4">
        <v>179.714</v>
      </c>
      <c r="F3212" s="4">
        <f t="shared" si="223"/>
        <v>130.06420000000003</v>
      </c>
      <c r="G3212" s="5">
        <f t="shared" si="224"/>
        <v>0.41986234021632257</v>
      </c>
      <c r="H3212" s="2" t="s">
        <v>2136</v>
      </c>
      <c r="I3212" s="6" t="s">
        <v>25</v>
      </c>
      <c r="J3212" s="2" t="s">
        <v>2137</v>
      </c>
      <c r="K3212" s="2" t="s">
        <v>2138</v>
      </c>
      <c r="L3212" s="2" t="s">
        <v>28</v>
      </c>
      <c r="M3212" s="2" t="s">
        <v>5</v>
      </c>
      <c r="N3212" s="4">
        <v>9545</v>
      </c>
    </row>
    <row r="3213" spans="1:14" x14ac:dyDescent="0.25">
      <c r="A3213" s="2" t="s">
        <v>272</v>
      </c>
      <c r="B3213" s="2" t="s">
        <v>273</v>
      </c>
      <c r="C3213" s="3">
        <v>15.27</v>
      </c>
      <c r="D3213" s="4">
        <v>239.43360000000001</v>
      </c>
      <c r="E3213" s="4">
        <v>186.29400000000001</v>
      </c>
      <c r="F3213" s="4">
        <f t="shared" si="223"/>
        <v>53.139600000000002</v>
      </c>
      <c r="G3213" s="5">
        <f t="shared" si="224"/>
        <v>0.22193877551020408</v>
      </c>
      <c r="H3213" s="2" t="s">
        <v>2136</v>
      </c>
      <c r="I3213" s="6" t="s">
        <v>25</v>
      </c>
      <c r="J3213" s="2" t="s">
        <v>2137</v>
      </c>
      <c r="K3213" s="2" t="s">
        <v>2138</v>
      </c>
      <c r="L3213" s="2" t="s">
        <v>28</v>
      </c>
      <c r="M3213" s="2" t="s">
        <v>5</v>
      </c>
      <c r="N3213" s="4">
        <v>9545</v>
      </c>
    </row>
    <row r="3214" spans="1:14" x14ac:dyDescent="0.25">
      <c r="A3214" s="2" t="s">
        <v>850</v>
      </c>
      <c r="B3214" s="2" t="s">
        <v>851</v>
      </c>
      <c r="C3214" s="3">
        <v>84</v>
      </c>
      <c r="D3214" s="4">
        <v>661.08</v>
      </c>
      <c r="E3214" s="4">
        <v>399</v>
      </c>
      <c r="F3214" s="4">
        <f t="shared" si="223"/>
        <v>262.08000000000004</v>
      </c>
      <c r="G3214" s="5">
        <f t="shared" si="224"/>
        <v>0.39644218551461247</v>
      </c>
      <c r="H3214" s="2" t="s">
        <v>2136</v>
      </c>
      <c r="I3214" s="6" t="s">
        <v>25</v>
      </c>
      <c r="J3214" s="2" t="s">
        <v>2137</v>
      </c>
      <c r="K3214" s="2" t="s">
        <v>2138</v>
      </c>
      <c r="L3214" s="2" t="s">
        <v>28</v>
      </c>
      <c r="M3214" s="2" t="s">
        <v>5</v>
      </c>
      <c r="N3214" s="4">
        <v>9545</v>
      </c>
    </row>
    <row r="3215" spans="1:14" x14ac:dyDescent="0.25">
      <c r="A3215" s="2" t="s">
        <v>278</v>
      </c>
      <c r="B3215" s="2" t="s">
        <v>279</v>
      </c>
      <c r="C3215" s="3">
        <v>43.24</v>
      </c>
      <c r="D3215" s="4">
        <v>291.0052</v>
      </c>
      <c r="E3215" s="4">
        <v>155.66399999999999</v>
      </c>
      <c r="F3215" s="4">
        <f t="shared" si="223"/>
        <v>135.34120000000001</v>
      </c>
      <c r="G3215" s="5">
        <f t="shared" si="224"/>
        <v>0.46508172362555728</v>
      </c>
      <c r="H3215" s="2" t="s">
        <v>2136</v>
      </c>
      <c r="I3215" s="6" t="s">
        <v>25</v>
      </c>
      <c r="J3215" s="2" t="s">
        <v>2137</v>
      </c>
      <c r="K3215" s="2" t="s">
        <v>2138</v>
      </c>
      <c r="L3215" s="2" t="s">
        <v>28</v>
      </c>
      <c r="M3215" s="2" t="s">
        <v>5</v>
      </c>
      <c r="N3215" s="4">
        <v>9545</v>
      </c>
    </row>
    <row r="3216" spans="1:14" x14ac:dyDescent="0.25">
      <c r="A3216" s="2" t="s">
        <v>280</v>
      </c>
      <c r="B3216" s="2" t="s">
        <v>281</v>
      </c>
      <c r="C3216" s="3">
        <v>30.434999999999999</v>
      </c>
      <c r="D3216" s="4">
        <v>494.56875000000002</v>
      </c>
      <c r="E3216" s="4">
        <v>210.00149999999999</v>
      </c>
      <c r="F3216" s="4">
        <f t="shared" si="223"/>
        <v>284.56725000000006</v>
      </c>
      <c r="G3216" s="5">
        <f t="shared" si="224"/>
        <v>0.57538461538461549</v>
      </c>
      <c r="H3216" s="2" t="s">
        <v>2136</v>
      </c>
      <c r="I3216" s="6" t="s">
        <v>25</v>
      </c>
      <c r="J3216" s="2" t="s">
        <v>2137</v>
      </c>
      <c r="K3216" s="2" t="s">
        <v>2138</v>
      </c>
      <c r="L3216" s="2" t="s">
        <v>28</v>
      </c>
      <c r="M3216" s="2" t="s">
        <v>5</v>
      </c>
      <c r="N3216" s="4">
        <v>9545</v>
      </c>
    </row>
    <row r="3217" spans="1:14" x14ac:dyDescent="0.25">
      <c r="A3217" s="2" t="s">
        <v>1309</v>
      </c>
      <c r="B3217" s="2" t="s">
        <v>1310</v>
      </c>
      <c r="C3217" s="3">
        <v>15.6</v>
      </c>
      <c r="D3217" s="4">
        <v>177.684</v>
      </c>
      <c r="E3217" s="4">
        <v>190.32</v>
      </c>
      <c r="F3217" s="4">
        <f t="shared" si="223"/>
        <v>-12.635999999999996</v>
      </c>
      <c r="G3217" s="5">
        <f t="shared" si="224"/>
        <v>-7.1115013169446864E-2</v>
      </c>
      <c r="H3217" s="2" t="s">
        <v>2136</v>
      </c>
      <c r="I3217" s="6" t="s">
        <v>25</v>
      </c>
      <c r="J3217" s="2" t="s">
        <v>2137</v>
      </c>
      <c r="K3217" s="2" t="s">
        <v>2138</v>
      </c>
      <c r="L3217" s="2" t="s">
        <v>28</v>
      </c>
      <c r="M3217" s="2" t="s">
        <v>5</v>
      </c>
      <c r="N3217" s="4">
        <v>9545</v>
      </c>
    </row>
    <row r="3218" spans="1:14" x14ac:dyDescent="0.25">
      <c r="A3218" s="2" t="s">
        <v>754</v>
      </c>
      <c r="B3218" s="2" t="s">
        <v>755</v>
      </c>
      <c r="C3218" s="3">
        <v>4.79</v>
      </c>
      <c r="D3218" s="4">
        <v>111.5591</v>
      </c>
      <c r="E3218" s="4">
        <v>61.407800000000002</v>
      </c>
      <c r="F3218" s="4">
        <f t="shared" si="223"/>
        <v>50.151299999999999</v>
      </c>
      <c r="G3218" s="5">
        <f t="shared" si="224"/>
        <v>0.44954916273078571</v>
      </c>
      <c r="H3218" s="2" t="s">
        <v>2136</v>
      </c>
      <c r="I3218" s="6" t="s">
        <v>25</v>
      </c>
      <c r="J3218" s="2" t="s">
        <v>2137</v>
      </c>
      <c r="K3218" s="2" t="s">
        <v>2138</v>
      </c>
      <c r="L3218" s="2" t="s">
        <v>28</v>
      </c>
      <c r="M3218" s="2" t="s">
        <v>5</v>
      </c>
      <c r="N3218" s="4">
        <v>9545</v>
      </c>
    </row>
    <row r="3219" spans="1:14" x14ac:dyDescent="0.25">
      <c r="A3219" s="2" t="s">
        <v>1311</v>
      </c>
      <c r="B3219" s="2" t="s">
        <v>1312</v>
      </c>
      <c r="C3219" s="3">
        <v>4.88</v>
      </c>
      <c r="D3219" s="4">
        <v>85.253600000000006</v>
      </c>
      <c r="E3219" s="4">
        <v>48.458399999999997</v>
      </c>
      <c r="F3219" s="4">
        <f t="shared" si="223"/>
        <v>36.795200000000008</v>
      </c>
      <c r="G3219" s="5">
        <f t="shared" si="224"/>
        <v>0.43159702346880374</v>
      </c>
      <c r="H3219" s="2" t="s">
        <v>2136</v>
      </c>
      <c r="I3219" s="6" t="s">
        <v>25</v>
      </c>
      <c r="J3219" s="2" t="s">
        <v>2137</v>
      </c>
      <c r="K3219" s="2" t="s">
        <v>2138</v>
      </c>
      <c r="L3219" s="2" t="s">
        <v>28</v>
      </c>
      <c r="M3219" s="2" t="s">
        <v>5</v>
      </c>
      <c r="N3219" s="4">
        <v>9545</v>
      </c>
    </row>
    <row r="3220" spans="1:14" x14ac:dyDescent="0.25">
      <c r="A3220" s="2" t="s">
        <v>756</v>
      </c>
      <c r="B3220" s="2" t="s">
        <v>757</v>
      </c>
      <c r="C3220" s="3">
        <v>46.27</v>
      </c>
      <c r="D3220" s="4">
        <v>311.39710000000002</v>
      </c>
      <c r="E3220" s="4">
        <v>166.572</v>
      </c>
      <c r="F3220" s="4">
        <f t="shared" si="223"/>
        <v>144.82510000000002</v>
      </c>
      <c r="G3220" s="5">
        <f t="shared" si="224"/>
        <v>0.46508172362555722</v>
      </c>
      <c r="H3220" s="2" t="s">
        <v>2136</v>
      </c>
      <c r="I3220" s="6" t="s">
        <v>25</v>
      </c>
      <c r="J3220" s="2" t="s">
        <v>2137</v>
      </c>
      <c r="K3220" s="2" t="s">
        <v>2138</v>
      </c>
      <c r="L3220" s="2" t="s">
        <v>28</v>
      </c>
      <c r="M3220" s="2" t="s">
        <v>5</v>
      </c>
      <c r="N3220" s="4">
        <v>9545</v>
      </c>
    </row>
    <row r="3221" spans="1:14" x14ac:dyDescent="0.25">
      <c r="A3221" s="2" t="s">
        <v>758</v>
      </c>
      <c r="B3221" s="2" t="s">
        <v>759</v>
      </c>
      <c r="C3221" s="3">
        <v>15.69</v>
      </c>
      <c r="D3221" s="4">
        <v>271.1232</v>
      </c>
      <c r="E3221" s="4">
        <v>78.45</v>
      </c>
      <c r="F3221" s="4">
        <f t="shared" si="223"/>
        <v>192.67320000000001</v>
      </c>
      <c r="G3221" s="5">
        <f t="shared" si="224"/>
        <v>0.71064814814814814</v>
      </c>
      <c r="H3221" s="2" t="s">
        <v>2136</v>
      </c>
      <c r="I3221" s="6" t="s">
        <v>25</v>
      </c>
      <c r="J3221" s="2" t="s">
        <v>2137</v>
      </c>
      <c r="K3221" s="2" t="s">
        <v>2138</v>
      </c>
      <c r="L3221" s="2" t="s">
        <v>28</v>
      </c>
      <c r="M3221" s="2" t="s">
        <v>5</v>
      </c>
      <c r="N3221" s="4">
        <v>9545</v>
      </c>
    </row>
    <row r="3222" spans="1:14" x14ac:dyDescent="0.25">
      <c r="A3222" s="2" t="s">
        <v>760</v>
      </c>
      <c r="B3222" s="2" t="s">
        <v>761</v>
      </c>
      <c r="C3222" s="3">
        <v>36</v>
      </c>
      <c r="D3222" s="4">
        <v>242.28</v>
      </c>
      <c r="E3222" s="4">
        <v>129.6</v>
      </c>
      <c r="F3222" s="4">
        <f t="shared" si="223"/>
        <v>112.68</v>
      </c>
      <c r="G3222" s="5">
        <f t="shared" si="224"/>
        <v>0.46508172362555722</v>
      </c>
      <c r="H3222" s="2" t="s">
        <v>2136</v>
      </c>
      <c r="I3222" s="6" t="s">
        <v>25</v>
      </c>
      <c r="J3222" s="2" t="s">
        <v>2137</v>
      </c>
      <c r="K3222" s="2" t="s">
        <v>2138</v>
      </c>
      <c r="L3222" s="2" t="s">
        <v>28</v>
      </c>
      <c r="M3222" s="2" t="s">
        <v>5</v>
      </c>
      <c r="N3222" s="4">
        <v>9545</v>
      </c>
    </row>
    <row r="3223" spans="1:14" x14ac:dyDescent="0.25">
      <c r="A3223" s="2" t="s">
        <v>284</v>
      </c>
      <c r="B3223" s="2" t="s">
        <v>285</v>
      </c>
      <c r="C3223" s="3">
        <v>32.869999999999997</v>
      </c>
      <c r="D3223" s="4">
        <v>178.48410000000001</v>
      </c>
      <c r="E3223" s="4">
        <v>82.174999999999997</v>
      </c>
      <c r="F3223" s="4">
        <f t="shared" si="223"/>
        <v>96.309100000000015</v>
      </c>
      <c r="G3223" s="5">
        <f t="shared" si="224"/>
        <v>0.53959484346224684</v>
      </c>
      <c r="H3223" s="2" t="s">
        <v>2136</v>
      </c>
      <c r="I3223" s="6" t="s">
        <v>25</v>
      </c>
      <c r="J3223" s="2" t="s">
        <v>2137</v>
      </c>
      <c r="K3223" s="2" t="s">
        <v>2138</v>
      </c>
      <c r="L3223" s="2" t="s">
        <v>28</v>
      </c>
      <c r="M3223" s="2" t="s">
        <v>5</v>
      </c>
      <c r="N3223" s="4">
        <v>9545</v>
      </c>
    </row>
    <row r="3224" spans="1:14" x14ac:dyDescent="0.25">
      <c r="A3224" s="2" t="s">
        <v>286</v>
      </c>
      <c r="B3224" s="2" t="s">
        <v>287</v>
      </c>
      <c r="C3224" s="3">
        <v>23.68</v>
      </c>
      <c r="D3224" s="4">
        <v>334.59840000000003</v>
      </c>
      <c r="E3224" s="4">
        <v>196.30719999999999</v>
      </c>
      <c r="F3224" s="4">
        <f t="shared" si="223"/>
        <v>138.29120000000003</v>
      </c>
      <c r="G3224" s="5">
        <f t="shared" si="224"/>
        <v>0.41330502476999298</v>
      </c>
      <c r="H3224" s="2" t="s">
        <v>2136</v>
      </c>
      <c r="I3224" s="6" t="s">
        <v>25</v>
      </c>
      <c r="J3224" s="2" t="s">
        <v>2137</v>
      </c>
      <c r="K3224" s="2" t="s">
        <v>2138</v>
      </c>
      <c r="L3224" s="2" t="s">
        <v>28</v>
      </c>
      <c r="M3224" s="2" t="s">
        <v>5</v>
      </c>
      <c r="N3224" s="4">
        <v>9545</v>
      </c>
    </row>
    <row r="3225" spans="1:14" x14ac:dyDescent="0.25">
      <c r="A3225" s="2" t="s">
        <v>288</v>
      </c>
      <c r="B3225" s="2" t="s">
        <v>289</v>
      </c>
      <c r="C3225" s="3">
        <v>5.2</v>
      </c>
      <c r="D3225" s="4">
        <v>97.707999999999998</v>
      </c>
      <c r="E3225" s="4">
        <v>53.82</v>
      </c>
      <c r="F3225" s="4">
        <f t="shared" si="223"/>
        <v>43.887999999999998</v>
      </c>
      <c r="G3225" s="5">
        <f t="shared" si="224"/>
        <v>0.4491750931346461</v>
      </c>
      <c r="H3225" s="2" t="s">
        <v>2136</v>
      </c>
      <c r="I3225" s="6" t="s">
        <v>25</v>
      </c>
      <c r="J3225" s="2" t="s">
        <v>2137</v>
      </c>
      <c r="K3225" s="2" t="s">
        <v>2138</v>
      </c>
      <c r="L3225" s="2" t="s">
        <v>28</v>
      </c>
      <c r="M3225" s="2" t="s">
        <v>5</v>
      </c>
      <c r="N3225" s="4">
        <v>9545</v>
      </c>
    </row>
    <row r="3226" spans="1:14" x14ac:dyDescent="0.25">
      <c r="A3226" s="2" t="s">
        <v>768</v>
      </c>
      <c r="B3226" s="2" t="s">
        <v>769</v>
      </c>
      <c r="C3226" s="3">
        <v>53.28</v>
      </c>
      <c r="D3226" s="4">
        <v>940.39200000000005</v>
      </c>
      <c r="E3226" s="4">
        <v>586.08000000000004</v>
      </c>
      <c r="F3226" s="4">
        <f t="shared" si="223"/>
        <v>354.31200000000001</v>
      </c>
      <c r="G3226" s="5">
        <f t="shared" si="224"/>
        <v>0.37677053824362605</v>
      </c>
      <c r="H3226" s="2" t="s">
        <v>2136</v>
      </c>
      <c r="I3226" s="6" t="s">
        <v>25</v>
      </c>
      <c r="J3226" s="2" t="s">
        <v>2137</v>
      </c>
      <c r="K3226" s="2" t="s">
        <v>2138</v>
      </c>
      <c r="L3226" s="2" t="s">
        <v>28</v>
      </c>
      <c r="M3226" s="2" t="s">
        <v>5</v>
      </c>
      <c r="N3226" s="4">
        <v>9545</v>
      </c>
    </row>
    <row r="3227" spans="1:14" x14ac:dyDescent="0.25">
      <c r="A3227" s="2" t="s">
        <v>886</v>
      </c>
      <c r="B3227" s="2" t="s">
        <v>887</v>
      </c>
      <c r="C3227" s="3">
        <v>20.83</v>
      </c>
      <c r="D3227" s="4">
        <v>212.2577</v>
      </c>
      <c r="E3227" s="4">
        <v>147.893</v>
      </c>
      <c r="F3227" s="4">
        <f t="shared" si="223"/>
        <v>64.364699999999999</v>
      </c>
      <c r="G3227" s="5">
        <f t="shared" si="224"/>
        <v>0.30323846908734053</v>
      </c>
      <c r="H3227" s="2" t="s">
        <v>2136</v>
      </c>
      <c r="I3227" s="6" t="s">
        <v>25</v>
      </c>
      <c r="J3227" s="2" t="s">
        <v>2137</v>
      </c>
      <c r="K3227" s="2" t="s">
        <v>2138</v>
      </c>
      <c r="L3227" s="2" t="s">
        <v>28</v>
      </c>
      <c r="M3227" s="2" t="s">
        <v>5</v>
      </c>
      <c r="N3227" s="4">
        <v>9545</v>
      </c>
    </row>
    <row r="3228" spans="1:14" x14ac:dyDescent="0.25">
      <c r="A3228" s="2" t="s">
        <v>770</v>
      </c>
      <c r="B3228" s="2" t="s">
        <v>771</v>
      </c>
      <c r="C3228" s="3">
        <v>30</v>
      </c>
      <c r="D3228" s="4">
        <v>442.5</v>
      </c>
      <c r="E3228" s="4">
        <v>262.5</v>
      </c>
      <c r="F3228" s="4">
        <f t="shared" si="223"/>
        <v>180</v>
      </c>
      <c r="G3228" s="5">
        <f t="shared" si="224"/>
        <v>0.40677966101694918</v>
      </c>
      <c r="H3228" s="2" t="s">
        <v>2136</v>
      </c>
      <c r="I3228" s="6" t="s">
        <v>25</v>
      </c>
      <c r="J3228" s="2" t="s">
        <v>2137</v>
      </c>
      <c r="K3228" s="2" t="s">
        <v>2138</v>
      </c>
      <c r="L3228" s="2" t="s">
        <v>28</v>
      </c>
      <c r="M3228" s="2" t="s">
        <v>5</v>
      </c>
      <c r="N3228" s="4">
        <v>9545</v>
      </c>
    </row>
    <row r="3229" spans="1:14" x14ac:dyDescent="0.25">
      <c r="A3229" s="2" t="s">
        <v>296</v>
      </c>
      <c r="B3229" s="2" t="s">
        <v>297</v>
      </c>
      <c r="C3229" s="3">
        <v>42.11</v>
      </c>
      <c r="D3229" s="4">
        <v>488.05489999999998</v>
      </c>
      <c r="E3229" s="4">
        <v>307.40300000000002</v>
      </c>
      <c r="F3229" s="4">
        <f t="shared" si="223"/>
        <v>180.65189999999996</v>
      </c>
      <c r="G3229" s="5">
        <f t="shared" si="224"/>
        <v>0.37014667817083685</v>
      </c>
      <c r="H3229" s="2" t="s">
        <v>2136</v>
      </c>
      <c r="I3229" s="6" t="s">
        <v>25</v>
      </c>
      <c r="J3229" s="2" t="s">
        <v>2137</v>
      </c>
      <c r="K3229" s="2" t="s">
        <v>2138</v>
      </c>
      <c r="L3229" s="2" t="s">
        <v>28</v>
      </c>
      <c r="M3229" s="2" t="s">
        <v>5</v>
      </c>
      <c r="N3229" s="4">
        <v>9545</v>
      </c>
    </row>
    <row r="3230" spans="1:14" x14ac:dyDescent="0.25">
      <c r="A3230" s="2" t="s">
        <v>298</v>
      </c>
      <c r="B3230" s="2" t="s">
        <v>299</v>
      </c>
      <c r="C3230" s="3">
        <v>34.340000000000003</v>
      </c>
      <c r="D3230" s="4">
        <v>419.29140000000001</v>
      </c>
      <c r="E3230" s="4">
        <v>250.68199999999999</v>
      </c>
      <c r="F3230" s="4">
        <f t="shared" si="223"/>
        <v>168.60940000000002</v>
      </c>
      <c r="G3230" s="5">
        <f t="shared" si="224"/>
        <v>0.40212940212940218</v>
      </c>
      <c r="H3230" s="2" t="s">
        <v>2136</v>
      </c>
      <c r="I3230" s="6" t="s">
        <v>25</v>
      </c>
      <c r="J3230" s="2" t="s">
        <v>2137</v>
      </c>
      <c r="K3230" s="2" t="s">
        <v>2138</v>
      </c>
      <c r="L3230" s="2" t="s">
        <v>28</v>
      </c>
      <c r="M3230" s="2" t="s">
        <v>5</v>
      </c>
      <c r="N3230" s="4">
        <v>9545</v>
      </c>
    </row>
    <row r="3231" spans="1:14" x14ac:dyDescent="0.25">
      <c r="A3231" s="2" t="s">
        <v>951</v>
      </c>
      <c r="B3231" s="2" t="s">
        <v>952</v>
      </c>
      <c r="C3231" s="3">
        <v>39.6</v>
      </c>
      <c r="D3231" s="4">
        <v>512.42399999999998</v>
      </c>
      <c r="E3231" s="4">
        <v>297</v>
      </c>
      <c r="F3231" s="4">
        <f t="shared" si="223"/>
        <v>215.42399999999998</v>
      </c>
      <c r="G3231" s="5">
        <f t="shared" si="224"/>
        <v>0.42040185471406488</v>
      </c>
      <c r="H3231" s="2" t="s">
        <v>2136</v>
      </c>
      <c r="I3231" s="6" t="s">
        <v>25</v>
      </c>
      <c r="J3231" s="2" t="s">
        <v>2137</v>
      </c>
      <c r="K3231" s="2" t="s">
        <v>2138</v>
      </c>
      <c r="L3231" s="2" t="s">
        <v>28</v>
      </c>
      <c r="M3231" s="2" t="s">
        <v>5</v>
      </c>
      <c r="N3231" s="4">
        <v>9545</v>
      </c>
    </row>
    <row r="3232" spans="1:14" x14ac:dyDescent="0.25">
      <c r="A3232" s="2" t="s">
        <v>858</v>
      </c>
      <c r="B3232" s="2" t="s">
        <v>859</v>
      </c>
      <c r="C3232" s="3">
        <v>8</v>
      </c>
      <c r="D3232" s="4">
        <v>221.52</v>
      </c>
      <c r="E3232" s="4">
        <v>122</v>
      </c>
      <c r="F3232" s="4">
        <f t="shared" si="223"/>
        <v>99.52000000000001</v>
      </c>
      <c r="G3232" s="5">
        <f t="shared" si="224"/>
        <v>0.44925966052726618</v>
      </c>
      <c r="H3232" s="2" t="s">
        <v>2136</v>
      </c>
      <c r="I3232" s="6" t="s">
        <v>25</v>
      </c>
      <c r="J3232" s="2" t="s">
        <v>2137</v>
      </c>
      <c r="K3232" s="2" t="s">
        <v>2138</v>
      </c>
      <c r="L3232" s="2" t="s">
        <v>28</v>
      </c>
      <c r="M3232" s="2" t="s">
        <v>5</v>
      </c>
      <c r="N3232" s="4">
        <v>9545</v>
      </c>
    </row>
    <row r="3233" spans="1:14" x14ac:dyDescent="0.25">
      <c r="A3233" s="2" t="s">
        <v>772</v>
      </c>
      <c r="B3233" s="2" t="s">
        <v>773</v>
      </c>
      <c r="C3233" s="3">
        <v>40.700000000000003</v>
      </c>
      <c r="D3233" s="4">
        <v>606.42999999999995</v>
      </c>
      <c r="E3233" s="4">
        <v>345.95</v>
      </c>
      <c r="F3233" s="4">
        <f t="shared" si="223"/>
        <v>260.47999999999996</v>
      </c>
      <c r="G3233" s="5">
        <f t="shared" si="224"/>
        <v>0.42953020134228187</v>
      </c>
      <c r="H3233" s="2" t="s">
        <v>2136</v>
      </c>
      <c r="I3233" s="6" t="s">
        <v>25</v>
      </c>
      <c r="J3233" s="2" t="s">
        <v>2137</v>
      </c>
      <c r="K3233" s="2" t="s">
        <v>2138</v>
      </c>
      <c r="L3233" s="2" t="s">
        <v>28</v>
      </c>
      <c r="M3233" s="2" t="s">
        <v>5</v>
      </c>
      <c r="N3233" s="4">
        <v>9545</v>
      </c>
    </row>
    <row r="3235" spans="1:14" x14ac:dyDescent="0.25">
      <c r="A3235" s="13" t="s">
        <v>59</v>
      </c>
      <c r="B3235" s="21"/>
      <c r="C3235" s="22">
        <f>SUM(C3208:C3234)</f>
        <v>725.29000000000019</v>
      </c>
      <c r="D3235" s="23">
        <f>SUM(D3208:D3234)</f>
        <v>9544.994999999999</v>
      </c>
      <c r="E3235" s="23">
        <f>SUM(E3208:E3234)</f>
        <v>5498.2294000000002</v>
      </c>
      <c r="F3235" s="23">
        <f>D3235-E3235</f>
        <v>4046.7655999999988</v>
      </c>
      <c r="G3235" s="24">
        <f>IF(((D3235)=0),0,(D3235-E3235)/ D3235)</f>
        <v>0.42396728337730916</v>
      </c>
      <c r="H3235" s="21"/>
      <c r="I3235" s="21"/>
      <c r="J3235" s="21"/>
      <c r="K3235" s="21"/>
      <c r="L3235" s="21"/>
      <c r="M3235" s="21"/>
      <c r="N3235" s="21"/>
    </row>
    <row r="3237" spans="1:14" s="17" customFormat="1" ht="18.75" x14ac:dyDescent="0.3"/>
    <row r="3238" spans="1:14" s="7" customFormat="1" x14ac:dyDescent="0.25">
      <c r="A3238" s="13" t="s">
        <v>2139</v>
      </c>
      <c r="B3238" s="18" t="s">
        <v>2140</v>
      </c>
      <c r="C3238" s="19"/>
      <c r="D3238" s="20" t="s">
        <v>5</v>
      </c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</row>
    <row r="3240" spans="1:14" x14ac:dyDescent="0.25">
      <c r="A3240" s="2" t="s">
        <v>566</v>
      </c>
      <c r="B3240" s="2" t="s">
        <v>567</v>
      </c>
      <c r="C3240" s="3">
        <v>15.15</v>
      </c>
      <c r="D3240" s="4">
        <v>237.55199999999999</v>
      </c>
      <c r="E3240" s="4">
        <v>172.71</v>
      </c>
      <c r="F3240" s="4">
        <f t="shared" ref="F3240:F3260" si="225">D3240-E3240</f>
        <v>64.841999999999985</v>
      </c>
      <c r="G3240" s="5">
        <f t="shared" ref="G3240:G3260" si="226">IF(((D3240)=0),0,(D3240-E3240)/ D3240)</f>
        <v>0.27295918367346933</v>
      </c>
      <c r="H3240" s="2" t="s">
        <v>2141</v>
      </c>
      <c r="I3240" s="6" t="s">
        <v>32</v>
      </c>
      <c r="J3240" s="2" t="s">
        <v>2142</v>
      </c>
      <c r="K3240" s="2" t="s">
        <v>2143</v>
      </c>
      <c r="L3240" s="2" t="s">
        <v>28</v>
      </c>
      <c r="M3240" s="2" t="s">
        <v>5</v>
      </c>
      <c r="N3240" s="4">
        <v>5084.13</v>
      </c>
    </row>
    <row r="3241" spans="1:14" x14ac:dyDescent="0.25">
      <c r="A3241" s="2" t="s">
        <v>22</v>
      </c>
      <c r="B3241" s="2" t="s">
        <v>23</v>
      </c>
      <c r="C3241" s="3">
        <v>20.16</v>
      </c>
      <c r="D3241" s="4">
        <v>247.96799999999999</v>
      </c>
      <c r="E3241" s="4">
        <v>221.76</v>
      </c>
      <c r="F3241" s="4">
        <f t="shared" si="225"/>
        <v>26.207999999999998</v>
      </c>
      <c r="G3241" s="5">
        <f t="shared" si="226"/>
        <v>0.1056910569105691</v>
      </c>
      <c r="H3241" s="2" t="s">
        <v>2141</v>
      </c>
      <c r="I3241" s="6" t="s">
        <v>32</v>
      </c>
      <c r="J3241" s="2" t="s">
        <v>2142</v>
      </c>
      <c r="K3241" s="2" t="s">
        <v>2143</v>
      </c>
      <c r="L3241" s="2" t="s">
        <v>28</v>
      </c>
      <c r="M3241" s="2" t="s">
        <v>5</v>
      </c>
      <c r="N3241" s="4">
        <v>5084.13</v>
      </c>
    </row>
    <row r="3242" spans="1:14" x14ac:dyDescent="0.25">
      <c r="A3242" s="2" t="s">
        <v>29</v>
      </c>
      <c r="B3242" s="2" t="s">
        <v>30</v>
      </c>
      <c r="C3242" s="3">
        <v>15.34</v>
      </c>
      <c r="D3242" s="4">
        <v>194.66460000000001</v>
      </c>
      <c r="E3242" s="4">
        <v>153.4</v>
      </c>
      <c r="F3242" s="4">
        <f t="shared" si="225"/>
        <v>41.264600000000002</v>
      </c>
      <c r="G3242" s="5">
        <f t="shared" si="226"/>
        <v>0.2119779353821907</v>
      </c>
      <c r="H3242" s="2" t="s">
        <v>2141</v>
      </c>
      <c r="I3242" s="6" t="s">
        <v>32</v>
      </c>
      <c r="J3242" s="2" t="s">
        <v>2142</v>
      </c>
      <c r="K3242" s="2" t="s">
        <v>2143</v>
      </c>
      <c r="L3242" s="2" t="s">
        <v>28</v>
      </c>
      <c r="M3242" s="2" t="s">
        <v>5</v>
      </c>
      <c r="N3242" s="4">
        <v>5084.13</v>
      </c>
    </row>
    <row r="3243" spans="1:14" x14ac:dyDescent="0.25">
      <c r="A3243" s="2" t="s">
        <v>196</v>
      </c>
      <c r="B3243" s="2" t="s">
        <v>197</v>
      </c>
      <c r="C3243" s="3">
        <v>3.87</v>
      </c>
      <c r="D3243" s="4">
        <v>72.678600000000003</v>
      </c>
      <c r="E3243" s="4">
        <v>69.272999999999996</v>
      </c>
      <c r="F3243" s="4">
        <f t="shared" si="225"/>
        <v>3.4056000000000068</v>
      </c>
      <c r="G3243" s="5">
        <f t="shared" si="226"/>
        <v>4.6858359957401584E-2</v>
      </c>
      <c r="H3243" s="2" t="s">
        <v>2141</v>
      </c>
      <c r="I3243" s="6" t="s">
        <v>32</v>
      </c>
      <c r="J3243" s="2" t="s">
        <v>2142</v>
      </c>
      <c r="K3243" s="2" t="s">
        <v>2143</v>
      </c>
      <c r="L3243" s="2" t="s">
        <v>28</v>
      </c>
      <c r="M3243" s="2" t="s">
        <v>5</v>
      </c>
      <c r="N3243" s="4">
        <v>5084.13</v>
      </c>
    </row>
    <row r="3244" spans="1:14" x14ac:dyDescent="0.25">
      <c r="A3244" s="2" t="s">
        <v>41</v>
      </c>
      <c r="B3244" s="2" t="s">
        <v>42</v>
      </c>
      <c r="C3244" s="3">
        <v>15.3</v>
      </c>
      <c r="D3244" s="4">
        <v>241.12799999999999</v>
      </c>
      <c r="E3244" s="4">
        <v>179.77500000000001</v>
      </c>
      <c r="F3244" s="4">
        <f t="shared" si="225"/>
        <v>61.35299999999998</v>
      </c>
      <c r="G3244" s="5">
        <f t="shared" si="226"/>
        <v>0.25444162436548218</v>
      </c>
      <c r="H3244" s="2" t="s">
        <v>2141</v>
      </c>
      <c r="I3244" s="6" t="s">
        <v>32</v>
      </c>
      <c r="J3244" s="2" t="s">
        <v>2142</v>
      </c>
      <c r="K3244" s="2" t="s">
        <v>2143</v>
      </c>
      <c r="L3244" s="2" t="s">
        <v>28</v>
      </c>
      <c r="M3244" s="2" t="s">
        <v>5</v>
      </c>
      <c r="N3244" s="4">
        <v>5084.13</v>
      </c>
    </row>
    <row r="3245" spans="1:14" x14ac:dyDescent="0.25">
      <c r="A3245" s="2" t="s">
        <v>703</v>
      </c>
      <c r="B3245" s="2" t="s">
        <v>704</v>
      </c>
      <c r="C3245" s="3">
        <v>20</v>
      </c>
      <c r="D3245" s="4">
        <v>157.4</v>
      </c>
      <c r="E3245" s="4">
        <v>95</v>
      </c>
      <c r="F3245" s="4">
        <f t="shared" si="225"/>
        <v>62.400000000000006</v>
      </c>
      <c r="G3245" s="5">
        <f t="shared" si="226"/>
        <v>0.39644218551461247</v>
      </c>
      <c r="H3245" s="2" t="s">
        <v>2141</v>
      </c>
      <c r="I3245" s="6" t="s">
        <v>32</v>
      </c>
      <c r="J3245" s="2" t="s">
        <v>2142</v>
      </c>
      <c r="K3245" s="2" t="s">
        <v>2143</v>
      </c>
      <c r="L3245" s="2" t="s">
        <v>28</v>
      </c>
      <c r="M3245" s="2" t="s">
        <v>5</v>
      </c>
      <c r="N3245" s="4">
        <v>5084.13</v>
      </c>
    </row>
    <row r="3246" spans="1:14" x14ac:dyDescent="0.25">
      <c r="A3246" s="2" t="s">
        <v>150</v>
      </c>
      <c r="B3246" s="2" t="s">
        <v>151</v>
      </c>
      <c r="C3246" s="3">
        <v>15.64</v>
      </c>
      <c r="D3246" s="4">
        <v>204.7276</v>
      </c>
      <c r="E3246" s="4">
        <v>153.27199999999999</v>
      </c>
      <c r="F3246" s="4">
        <f t="shared" si="225"/>
        <v>51.455600000000004</v>
      </c>
      <c r="G3246" s="5">
        <f t="shared" si="226"/>
        <v>0.25133689839572193</v>
      </c>
      <c r="H3246" s="2" t="s">
        <v>2141</v>
      </c>
      <c r="I3246" s="6" t="s">
        <v>32</v>
      </c>
      <c r="J3246" s="2" t="s">
        <v>2142</v>
      </c>
      <c r="K3246" s="2" t="s">
        <v>2143</v>
      </c>
      <c r="L3246" s="2" t="s">
        <v>28</v>
      </c>
      <c r="M3246" s="2" t="s">
        <v>5</v>
      </c>
      <c r="N3246" s="4">
        <v>5084.13</v>
      </c>
    </row>
    <row r="3247" spans="1:14" x14ac:dyDescent="0.25">
      <c r="A3247" s="2" t="s">
        <v>1216</v>
      </c>
      <c r="B3247" s="2" t="s">
        <v>1217</v>
      </c>
      <c r="C3247" s="3">
        <v>15.7</v>
      </c>
      <c r="D3247" s="4">
        <v>113.66800000000001</v>
      </c>
      <c r="E3247" s="4">
        <v>54.95</v>
      </c>
      <c r="F3247" s="4">
        <f t="shared" si="225"/>
        <v>58.718000000000004</v>
      </c>
      <c r="G3247" s="5">
        <f t="shared" si="226"/>
        <v>0.51657458563535907</v>
      </c>
      <c r="H3247" s="2" t="s">
        <v>2141</v>
      </c>
      <c r="I3247" s="6" t="s">
        <v>32</v>
      </c>
      <c r="J3247" s="2" t="s">
        <v>2142</v>
      </c>
      <c r="K3247" s="2" t="s">
        <v>2143</v>
      </c>
      <c r="L3247" s="2" t="s">
        <v>28</v>
      </c>
      <c r="M3247" s="2" t="s">
        <v>5</v>
      </c>
      <c r="N3247" s="4">
        <v>5084.13</v>
      </c>
    </row>
    <row r="3248" spans="1:14" x14ac:dyDescent="0.25">
      <c r="A3248" s="2" t="s">
        <v>611</v>
      </c>
      <c r="B3248" s="2" t="s">
        <v>612</v>
      </c>
      <c r="C3248" s="3">
        <v>31.13</v>
      </c>
      <c r="D3248" s="4">
        <v>186.46870000000001</v>
      </c>
      <c r="E3248" s="4">
        <v>112.068</v>
      </c>
      <c r="F3248" s="4">
        <f t="shared" si="225"/>
        <v>74.400700000000015</v>
      </c>
      <c r="G3248" s="5">
        <f t="shared" si="226"/>
        <v>0.39899833055091827</v>
      </c>
      <c r="H3248" s="2" t="s">
        <v>2141</v>
      </c>
      <c r="I3248" s="6" t="s">
        <v>32</v>
      </c>
      <c r="J3248" s="2" t="s">
        <v>2142</v>
      </c>
      <c r="K3248" s="2" t="s">
        <v>2143</v>
      </c>
      <c r="L3248" s="2" t="s">
        <v>28</v>
      </c>
      <c r="M3248" s="2" t="s">
        <v>5</v>
      </c>
      <c r="N3248" s="4">
        <v>5084.13</v>
      </c>
    </row>
    <row r="3249" spans="1:14" x14ac:dyDescent="0.25">
      <c r="A3249" s="2" t="s">
        <v>705</v>
      </c>
      <c r="B3249" s="2" t="s">
        <v>706</v>
      </c>
      <c r="C3249" s="3">
        <v>20</v>
      </c>
      <c r="D3249" s="4">
        <v>262.8</v>
      </c>
      <c r="E3249" s="4">
        <v>150</v>
      </c>
      <c r="F3249" s="4">
        <f t="shared" si="225"/>
        <v>112.80000000000001</v>
      </c>
      <c r="G3249" s="5">
        <f t="shared" si="226"/>
        <v>0.42922374429223747</v>
      </c>
      <c r="H3249" s="2" t="s">
        <v>2141</v>
      </c>
      <c r="I3249" s="6" t="s">
        <v>32</v>
      </c>
      <c r="J3249" s="2" t="s">
        <v>2142</v>
      </c>
      <c r="K3249" s="2" t="s">
        <v>2143</v>
      </c>
      <c r="L3249" s="2" t="s">
        <v>28</v>
      </c>
      <c r="M3249" s="2" t="s">
        <v>5</v>
      </c>
      <c r="N3249" s="4">
        <v>5084.13</v>
      </c>
    </row>
    <row r="3250" spans="1:14" x14ac:dyDescent="0.25">
      <c r="A3250" s="2" t="s">
        <v>603</v>
      </c>
      <c r="B3250" s="2" t="s">
        <v>604</v>
      </c>
      <c r="C3250" s="3">
        <v>15.9</v>
      </c>
      <c r="D3250" s="4">
        <v>273.48</v>
      </c>
      <c r="E3250" s="4">
        <v>184.44</v>
      </c>
      <c r="F3250" s="4">
        <f t="shared" si="225"/>
        <v>89.04000000000002</v>
      </c>
      <c r="G3250" s="5">
        <f t="shared" si="226"/>
        <v>0.32558139534883729</v>
      </c>
      <c r="H3250" s="2" t="s">
        <v>2141</v>
      </c>
      <c r="I3250" s="6" t="s">
        <v>32</v>
      </c>
      <c r="J3250" s="2" t="s">
        <v>2142</v>
      </c>
      <c r="K3250" s="2" t="s">
        <v>2143</v>
      </c>
      <c r="L3250" s="2" t="s">
        <v>28</v>
      </c>
      <c r="M3250" s="2" t="s">
        <v>5</v>
      </c>
      <c r="N3250" s="4">
        <v>5084.13</v>
      </c>
    </row>
    <row r="3251" spans="1:14" x14ac:dyDescent="0.25">
      <c r="A3251" s="2" t="s">
        <v>51</v>
      </c>
      <c r="B3251" s="2" t="s">
        <v>52</v>
      </c>
      <c r="C3251" s="3">
        <v>18.78</v>
      </c>
      <c r="D3251" s="4">
        <v>323.01600000000002</v>
      </c>
      <c r="E3251" s="4">
        <v>309.87</v>
      </c>
      <c r="F3251" s="4">
        <f t="shared" si="225"/>
        <v>13.146000000000015</v>
      </c>
      <c r="G3251" s="5">
        <f t="shared" si="226"/>
        <v>4.0697674418604696E-2</v>
      </c>
      <c r="H3251" s="2" t="s">
        <v>2141</v>
      </c>
      <c r="I3251" s="6" t="s">
        <v>32</v>
      </c>
      <c r="J3251" s="2" t="s">
        <v>2142</v>
      </c>
      <c r="K3251" s="2" t="s">
        <v>2143</v>
      </c>
      <c r="L3251" s="2" t="s">
        <v>28</v>
      </c>
      <c r="M3251" s="2" t="s">
        <v>5</v>
      </c>
      <c r="N3251" s="4">
        <v>5084.13</v>
      </c>
    </row>
    <row r="3252" spans="1:14" x14ac:dyDescent="0.25">
      <c r="A3252" s="2" t="s">
        <v>1266</v>
      </c>
      <c r="B3252" s="2" t="s">
        <v>1267</v>
      </c>
      <c r="C3252" s="3">
        <v>15.19</v>
      </c>
      <c r="D3252" s="4">
        <v>265.82499999999999</v>
      </c>
      <c r="E3252" s="4">
        <v>188.35599999999999</v>
      </c>
      <c r="F3252" s="4">
        <f t="shared" si="225"/>
        <v>77.468999999999994</v>
      </c>
      <c r="G3252" s="5">
        <f t="shared" si="226"/>
        <v>0.29142857142857143</v>
      </c>
      <c r="H3252" s="2" t="s">
        <v>2141</v>
      </c>
      <c r="I3252" s="6" t="s">
        <v>32</v>
      </c>
      <c r="J3252" s="2" t="s">
        <v>2142</v>
      </c>
      <c r="K3252" s="2" t="s">
        <v>2143</v>
      </c>
      <c r="L3252" s="2" t="s">
        <v>28</v>
      </c>
      <c r="M3252" s="2" t="s">
        <v>5</v>
      </c>
      <c r="N3252" s="4">
        <v>5084.13</v>
      </c>
    </row>
    <row r="3253" spans="1:14" x14ac:dyDescent="0.25">
      <c r="A3253" s="2" t="s">
        <v>219</v>
      </c>
      <c r="B3253" s="2" t="s">
        <v>220</v>
      </c>
      <c r="C3253" s="3">
        <v>19.66</v>
      </c>
      <c r="D3253" s="4">
        <v>284.28359999999998</v>
      </c>
      <c r="E3253" s="4">
        <v>186.77</v>
      </c>
      <c r="F3253" s="4">
        <f t="shared" si="225"/>
        <v>97.513599999999968</v>
      </c>
      <c r="G3253" s="5">
        <f t="shared" si="226"/>
        <v>0.34301521438450888</v>
      </c>
      <c r="H3253" s="2" t="s">
        <v>2141</v>
      </c>
      <c r="I3253" s="6" t="s">
        <v>32</v>
      </c>
      <c r="J3253" s="2" t="s">
        <v>2142</v>
      </c>
      <c r="K3253" s="2" t="s">
        <v>2143</v>
      </c>
      <c r="L3253" s="2" t="s">
        <v>28</v>
      </c>
      <c r="M3253" s="2" t="s">
        <v>5</v>
      </c>
      <c r="N3253" s="4">
        <v>5084.13</v>
      </c>
    </row>
    <row r="3254" spans="1:14" x14ac:dyDescent="0.25">
      <c r="A3254" s="2" t="s">
        <v>53</v>
      </c>
      <c r="B3254" s="2" t="s">
        <v>54</v>
      </c>
      <c r="C3254" s="3">
        <v>14.17</v>
      </c>
      <c r="D3254" s="4">
        <v>144.53399999999999</v>
      </c>
      <c r="E3254" s="4">
        <v>103.441</v>
      </c>
      <c r="F3254" s="4">
        <f t="shared" si="225"/>
        <v>41.092999999999989</v>
      </c>
      <c r="G3254" s="5">
        <f t="shared" si="226"/>
        <v>0.28431372549019601</v>
      </c>
      <c r="H3254" s="2" t="s">
        <v>2141</v>
      </c>
      <c r="I3254" s="6" t="s">
        <v>32</v>
      </c>
      <c r="J3254" s="2" t="s">
        <v>2142</v>
      </c>
      <c r="K3254" s="2" t="s">
        <v>2143</v>
      </c>
      <c r="L3254" s="2" t="s">
        <v>28</v>
      </c>
      <c r="M3254" s="2" t="s">
        <v>5</v>
      </c>
      <c r="N3254" s="4">
        <v>5084.13</v>
      </c>
    </row>
    <row r="3255" spans="1:14" x14ac:dyDescent="0.25">
      <c r="A3255" s="2" t="s">
        <v>134</v>
      </c>
      <c r="B3255" s="2" t="s">
        <v>135</v>
      </c>
      <c r="C3255" s="3">
        <v>15.34</v>
      </c>
      <c r="D3255" s="4">
        <v>164.29140000000001</v>
      </c>
      <c r="E3255" s="4">
        <v>108.914</v>
      </c>
      <c r="F3255" s="4">
        <f t="shared" si="225"/>
        <v>55.377400000000009</v>
      </c>
      <c r="G3255" s="5">
        <f t="shared" si="226"/>
        <v>0.33706816059757239</v>
      </c>
      <c r="H3255" s="2" t="s">
        <v>2141</v>
      </c>
      <c r="I3255" s="6" t="s">
        <v>32</v>
      </c>
      <c r="J3255" s="2" t="s">
        <v>2142</v>
      </c>
      <c r="K3255" s="2" t="s">
        <v>2143</v>
      </c>
      <c r="L3255" s="2" t="s">
        <v>28</v>
      </c>
      <c r="M3255" s="2" t="s">
        <v>5</v>
      </c>
      <c r="N3255" s="4">
        <v>5084.13</v>
      </c>
    </row>
    <row r="3256" spans="1:14" x14ac:dyDescent="0.25">
      <c r="A3256" s="2" t="s">
        <v>2144</v>
      </c>
      <c r="B3256" s="2" t="s">
        <v>2145</v>
      </c>
      <c r="C3256" s="3">
        <v>6.89</v>
      </c>
      <c r="D3256" s="4">
        <v>101.4208</v>
      </c>
      <c r="E3256" s="4">
        <v>85.436000000000007</v>
      </c>
      <c r="F3256" s="4">
        <f t="shared" si="225"/>
        <v>15.984799999999993</v>
      </c>
      <c r="G3256" s="5">
        <f t="shared" si="226"/>
        <v>0.15760869565217384</v>
      </c>
      <c r="H3256" s="2" t="s">
        <v>2141</v>
      </c>
      <c r="I3256" s="6" t="s">
        <v>32</v>
      </c>
      <c r="J3256" s="2" t="s">
        <v>2142</v>
      </c>
      <c r="K3256" s="2" t="s">
        <v>2143</v>
      </c>
      <c r="L3256" s="2" t="s">
        <v>28</v>
      </c>
      <c r="M3256" s="2" t="s">
        <v>5</v>
      </c>
      <c r="N3256" s="4">
        <v>5084.13</v>
      </c>
    </row>
    <row r="3257" spans="1:14" x14ac:dyDescent="0.25">
      <c r="A3257" s="2" t="s">
        <v>589</v>
      </c>
      <c r="B3257" s="2" t="s">
        <v>590</v>
      </c>
      <c r="C3257" s="3">
        <v>22.85</v>
      </c>
      <c r="D3257" s="4">
        <v>416.327</v>
      </c>
      <c r="E3257" s="4">
        <v>314.1875</v>
      </c>
      <c r="F3257" s="4">
        <f t="shared" si="225"/>
        <v>102.1395</v>
      </c>
      <c r="G3257" s="5">
        <f t="shared" si="226"/>
        <v>0.24533479692645443</v>
      </c>
      <c r="H3257" s="2" t="s">
        <v>2141</v>
      </c>
      <c r="I3257" s="6" t="s">
        <v>32</v>
      </c>
      <c r="J3257" s="2" t="s">
        <v>2142</v>
      </c>
      <c r="K3257" s="2" t="s">
        <v>2143</v>
      </c>
      <c r="L3257" s="2" t="s">
        <v>28</v>
      </c>
      <c r="M3257" s="2" t="s">
        <v>5</v>
      </c>
      <c r="N3257" s="4">
        <v>5084.13</v>
      </c>
    </row>
    <row r="3258" spans="1:14" x14ac:dyDescent="0.25">
      <c r="A3258" s="2" t="s">
        <v>57</v>
      </c>
      <c r="B3258" s="2" t="s">
        <v>58</v>
      </c>
      <c r="C3258" s="3">
        <v>5</v>
      </c>
      <c r="D3258" s="4">
        <v>135.1</v>
      </c>
      <c r="E3258" s="4">
        <v>98.8</v>
      </c>
      <c r="F3258" s="4">
        <f t="shared" si="225"/>
        <v>36.299999999999997</v>
      </c>
      <c r="G3258" s="5">
        <f t="shared" si="226"/>
        <v>0.26868985936343448</v>
      </c>
      <c r="H3258" s="2" t="s">
        <v>2141</v>
      </c>
      <c r="I3258" s="6" t="s">
        <v>32</v>
      </c>
      <c r="J3258" s="2" t="s">
        <v>2142</v>
      </c>
      <c r="K3258" s="2" t="s">
        <v>2143</v>
      </c>
      <c r="L3258" s="2" t="s">
        <v>28</v>
      </c>
      <c r="M3258" s="2" t="s">
        <v>5</v>
      </c>
      <c r="N3258" s="4">
        <v>5084.13</v>
      </c>
    </row>
    <row r="3259" spans="1:14" x14ac:dyDescent="0.25">
      <c r="A3259" s="2" t="s">
        <v>250</v>
      </c>
      <c r="B3259" s="2" t="s">
        <v>251</v>
      </c>
      <c r="C3259" s="3">
        <v>20</v>
      </c>
      <c r="D3259" s="4">
        <v>255.8</v>
      </c>
      <c r="E3259" s="4">
        <v>170</v>
      </c>
      <c r="F3259" s="4">
        <f t="shared" si="225"/>
        <v>85.800000000000011</v>
      </c>
      <c r="G3259" s="5">
        <f t="shared" si="226"/>
        <v>0.33541829554339331</v>
      </c>
      <c r="H3259" s="2" t="s">
        <v>2141</v>
      </c>
      <c r="I3259" s="6" t="s">
        <v>32</v>
      </c>
      <c r="J3259" s="2" t="s">
        <v>2142</v>
      </c>
      <c r="K3259" s="2" t="s">
        <v>2143</v>
      </c>
      <c r="L3259" s="2" t="s">
        <v>28</v>
      </c>
      <c r="M3259" s="2" t="s">
        <v>5</v>
      </c>
      <c r="N3259" s="4">
        <v>5084.13</v>
      </c>
    </row>
    <row r="3260" spans="1:14" x14ac:dyDescent="0.25">
      <c r="A3260" s="2" t="s">
        <v>187</v>
      </c>
      <c r="B3260" s="2" t="s">
        <v>188</v>
      </c>
      <c r="C3260" s="3">
        <v>25</v>
      </c>
      <c r="D3260" s="4">
        <v>801</v>
      </c>
      <c r="E3260" s="4">
        <v>550</v>
      </c>
      <c r="F3260" s="4">
        <f t="shared" si="225"/>
        <v>251</v>
      </c>
      <c r="G3260" s="5">
        <f t="shared" si="226"/>
        <v>0.31335830212234705</v>
      </c>
      <c r="H3260" s="2" t="s">
        <v>2141</v>
      </c>
      <c r="I3260" s="6" t="s">
        <v>32</v>
      </c>
      <c r="J3260" s="2" t="s">
        <v>2142</v>
      </c>
      <c r="K3260" s="2" t="s">
        <v>2143</v>
      </c>
      <c r="L3260" s="2" t="s">
        <v>28</v>
      </c>
      <c r="M3260" s="2" t="s">
        <v>5</v>
      </c>
      <c r="N3260" s="4">
        <v>5084.13</v>
      </c>
    </row>
    <row r="3262" spans="1:14" x14ac:dyDescent="0.25">
      <c r="A3262" s="13" t="s">
        <v>59</v>
      </c>
      <c r="B3262" s="21"/>
      <c r="C3262" s="22">
        <f>SUM(C3237:C3261)</f>
        <v>351.07</v>
      </c>
      <c r="D3262" s="23">
        <f>SUM(D3237:D3261)</f>
        <v>5084.1332999999995</v>
      </c>
      <c r="E3262" s="23">
        <f>SUM(E3237:E3261)</f>
        <v>3662.4225000000006</v>
      </c>
      <c r="F3262" s="23">
        <f>D3262-E3262</f>
        <v>1421.7107999999989</v>
      </c>
      <c r="G3262" s="24">
        <f>IF(((D3262)=0),0,(D3262-E3262)/ D3262)</f>
        <v>0.27963680653298351</v>
      </c>
      <c r="H3262" s="21"/>
      <c r="I3262" s="21"/>
      <c r="J3262" s="21"/>
      <c r="K3262" s="21"/>
      <c r="L3262" s="21"/>
      <c r="M3262" s="21"/>
      <c r="N3262" s="21"/>
    </row>
    <row r="3264" spans="1:14" s="17" customFormat="1" ht="18.75" x14ac:dyDescent="0.3"/>
    <row r="3265" spans="1:14" s="7" customFormat="1" x14ac:dyDescent="0.25">
      <c r="A3265" s="13" t="s">
        <v>2146</v>
      </c>
      <c r="B3265" s="18" t="s">
        <v>2147</v>
      </c>
      <c r="C3265" s="19"/>
      <c r="D3265" s="20" t="s">
        <v>5</v>
      </c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</row>
    <row r="3267" spans="1:14" x14ac:dyDescent="0.25">
      <c r="A3267" s="2" t="s">
        <v>2148</v>
      </c>
      <c r="B3267" s="2" t="s">
        <v>2149</v>
      </c>
      <c r="C3267" s="3">
        <v>1</v>
      </c>
      <c r="D3267" s="4">
        <v>408.32</v>
      </c>
      <c r="E3267" s="4">
        <v>206.81</v>
      </c>
      <c r="F3267" s="4">
        <f>D3267-E3267</f>
        <v>201.51</v>
      </c>
      <c r="G3267" s="5">
        <f>IF(((D3267)=0),0,(D3267-E3267)/ D3267)</f>
        <v>0.49350999216300939</v>
      </c>
      <c r="H3267" s="2" t="s">
        <v>2150</v>
      </c>
      <c r="I3267" s="6" t="s">
        <v>69</v>
      </c>
      <c r="J3267" s="2" t="s">
        <v>2151</v>
      </c>
      <c r="K3267" s="2" t="s">
        <v>2148</v>
      </c>
      <c r="L3267" s="2" t="s">
        <v>28</v>
      </c>
      <c r="M3267" s="2" t="s">
        <v>5</v>
      </c>
      <c r="N3267" s="4">
        <v>449.15</v>
      </c>
    </row>
    <row r="3268" spans="1:14" x14ac:dyDescent="0.25">
      <c r="A3268" s="2" t="s">
        <v>2148</v>
      </c>
      <c r="B3268" s="2" t="s">
        <v>2149</v>
      </c>
      <c r="C3268" s="3">
        <v>2</v>
      </c>
      <c r="D3268" s="4">
        <v>816.64</v>
      </c>
      <c r="E3268" s="4">
        <v>413.62</v>
      </c>
      <c r="F3268" s="4">
        <f>D3268-E3268</f>
        <v>403.02</v>
      </c>
      <c r="G3268" s="5">
        <f>IF(((D3268)=0),0,(D3268-E3268)/ D3268)</f>
        <v>0.49350999216300939</v>
      </c>
      <c r="H3268" s="2" t="s">
        <v>2152</v>
      </c>
      <c r="I3268" s="6" t="s">
        <v>69</v>
      </c>
      <c r="J3268" s="2" t="s">
        <v>2153</v>
      </c>
      <c r="K3268" s="2" t="s">
        <v>2148</v>
      </c>
      <c r="L3268" s="2" t="s">
        <v>28</v>
      </c>
      <c r="M3268" s="2" t="s">
        <v>5</v>
      </c>
      <c r="N3268" s="4">
        <v>898.3</v>
      </c>
    </row>
    <row r="3270" spans="1:14" x14ac:dyDescent="0.25">
      <c r="A3270" s="13" t="s">
        <v>59</v>
      </c>
      <c r="B3270" s="21"/>
      <c r="C3270" s="22">
        <f>SUM(C3264:C3269)</f>
        <v>3</v>
      </c>
      <c r="D3270" s="23">
        <f>SUM(D3264:D3269)</f>
        <v>1224.96</v>
      </c>
      <c r="E3270" s="23">
        <f>SUM(E3264:E3269)</f>
        <v>620.43000000000006</v>
      </c>
      <c r="F3270" s="23">
        <f>D3270-E3270</f>
        <v>604.53</v>
      </c>
      <c r="G3270" s="24">
        <f>IF(((D3270)=0),0,(D3270-E3270)/ D3270)</f>
        <v>0.49350999216300939</v>
      </c>
      <c r="H3270" s="21"/>
      <c r="I3270" s="21"/>
      <c r="J3270" s="21"/>
      <c r="K3270" s="21"/>
      <c r="L3270" s="21"/>
      <c r="M3270" s="21"/>
      <c r="N3270" s="21"/>
    </row>
    <row r="3272" spans="1:14" s="17" customFormat="1" ht="18.75" x14ac:dyDescent="0.3"/>
    <row r="3273" spans="1:14" s="7" customFormat="1" x14ac:dyDescent="0.25">
      <c r="A3273" s="13" t="s">
        <v>2154</v>
      </c>
      <c r="B3273" s="18" t="s">
        <v>2155</v>
      </c>
      <c r="C3273" s="19"/>
      <c r="D3273" s="20" t="s">
        <v>5</v>
      </c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</row>
    <row r="3275" spans="1:14" x14ac:dyDescent="0.25">
      <c r="A3275" s="2" t="s">
        <v>29</v>
      </c>
      <c r="B3275" s="2" t="s">
        <v>30</v>
      </c>
      <c r="C3275" s="3">
        <v>4.1319999999999997</v>
      </c>
      <c r="D3275" s="4">
        <v>63.302239999999998</v>
      </c>
      <c r="E3275" s="4">
        <v>41.32</v>
      </c>
      <c r="F3275" s="4">
        <f t="shared" ref="F3275:F3288" si="227">D3275-E3275</f>
        <v>21.982239999999997</v>
      </c>
      <c r="G3275" s="5">
        <f t="shared" ref="G3275:G3288" si="228">IF(((D3275)=0),0,(D3275-E3275)/ D3275)</f>
        <v>0.34725848563968664</v>
      </c>
      <c r="H3275" s="2" t="s">
        <v>2156</v>
      </c>
      <c r="I3275" s="6" t="s">
        <v>74</v>
      </c>
      <c r="J3275" s="2" t="s">
        <v>2157</v>
      </c>
      <c r="K3275" s="2" t="s">
        <v>5</v>
      </c>
      <c r="L3275" s="2" t="s">
        <v>28</v>
      </c>
      <c r="M3275" s="2" t="s">
        <v>5</v>
      </c>
      <c r="N3275" s="4">
        <v>944.98</v>
      </c>
    </row>
    <row r="3276" spans="1:14" x14ac:dyDescent="0.25">
      <c r="A3276" s="2" t="s">
        <v>29</v>
      </c>
      <c r="B3276" s="2" t="s">
        <v>30</v>
      </c>
      <c r="C3276" s="3">
        <v>8.16</v>
      </c>
      <c r="D3276" s="4">
        <v>125.0112</v>
      </c>
      <c r="E3276" s="4">
        <v>81.599999999999994</v>
      </c>
      <c r="F3276" s="4">
        <f t="shared" si="227"/>
        <v>43.411200000000008</v>
      </c>
      <c r="G3276" s="5">
        <f t="shared" si="228"/>
        <v>0.34725848563968675</v>
      </c>
      <c r="H3276" s="2" t="s">
        <v>2158</v>
      </c>
      <c r="I3276" s="6" t="s">
        <v>39</v>
      </c>
      <c r="J3276" s="2" t="s">
        <v>2159</v>
      </c>
      <c r="K3276" s="2" t="s">
        <v>5</v>
      </c>
      <c r="L3276" s="2" t="s">
        <v>28</v>
      </c>
      <c r="M3276" s="2" t="s">
        <v>5</v>
      </c>
      <c r="N3276" s="4">
        <v>1075.9100000000001</v>
      </c>
    </row>
    <row r="3277" spans="1:14" x14ac:dyDescent="0.25">
      <c r="A3277" s="2" t="s">
        <v>577</v>
      </c>
      <c r="B3277" s="2" t="s">
        <v>578</v>
      </c>
      <c r="C3277" s="3">
        <v>20</v>
      </c>
      <c r="D3277" s="4">
        <v>216.2</v>
      </c>
      <c r="E3277" s="4">
        <v>122</v>
      </c>
      <c r="F3277" s="4">
        <f t="shared" si="227"/>
        <v>94.199999999999989</v>
      </c>
      <c r="G3277" s="5">
        <f t="shared" si="228"/>
        <v>0.43570767807585564</v>
      </c>
      <c r="H3277" s="2" t="s">
        <v>2158</v>
      </c>
      <c r="I3277" s="6" t="s">
        <v>39</v>
      </c>
      <c r="J3277" s="2" t="s">
        <v>2159</v>
      </c>
      <c r="K3277" s="2" t="s">
        <v>5</v>
      </c>
      <c r="L3277" s="2" t="s">
        <v>28</v>
      </c>
      <c r="M3277" s="2" t="s">
        <v>5</v>
      </c>
      <c r="N3277" s="4">
        <v>1075.9100000000001</v>
      </c>
    </row>
    <row r="3278" spans="1:14" x14ac:dyDescent="0.25">
      <c r="A3278" s="2" t="s">
        <v>577</v>
      </c>
      <c r="B3278" s="2" t="s">
        <v>578</v>
      </c>
      <c r="C3278" s="3">
        <v>40</v>
      </c>
      <c r="D3278" s="4">
        <v>432.4</v>
      </c>
      <c r="E3278" s="4">
        <v>244</v>
      </c>
      <c r="F3278" s="4">
        <f t="shared" si="227"/>
        <v>188.39999999999998</v>
      </c>
      <c r="G3278" s="5">
        <f t="shared" si="228"/>
        <v>0.43570767807585564</v>
      </c>
      <c r="H3278" s="2" t="s">
        <v>2156</v>
      </c>
      <c r="I3278" s="6" t="s">
        <v>74</v>
      </c>
      <c r="J3278" s="2" t="s">
        <v>2157</v>
      </c>
      <c r="K3278" s="2" t="s">
        <v>5</v>
      </c>
      <c r="L3278" s="2" t="s">
        <v>28</v>
      </c>
      <c r="M3278" s="2" t="s">
        <v>5</v>
      </c>
      <c r="N3278" s="4">
        <v>944.98</v>
      </c>
    </row>
    <row r="3279" spans="1:14" x14ac:dyDescent="0.25">
      <c r="A3279" s="2" t="s">
        <v>577</v>
      </c>
      <c r="B3279" s="2" t="s">
        <v>578</v>
      </c>
      <c r="C3279" s="3">
        <v>-40</v>
      </c>
      <c r="D3279" s="4">
        <v>-432.4</v>
      </c>
      <c r="E3279" s="4">
        <v>-244</v>
      </c>
      <c r="F3279" s="4">
        <f t="shared" si="227"/>
        <v>-188.39999999999998</v>
      </c>
      <c r="G3279" s="5">
        <f t="shared" si="228"/>
        <v>0.43570767807585564</v>
      </c>
      <c r="H3279" s="2" t="s">
        <v>2160</v>
      </c>
      <c r="I3279" s="6" t="s">
        <v>69</v>
      </c>
      <c r="J3279" s="2" t="s">
        <v>2157</v>
      </c>
      <c r="K3279" s="2" t="s">
        <v>5</v>
      </c>
      <c r="L3279" s="2" t="s">
        <v>332</v>
      </c>
      <c r="M3279" s="2" t="s">
        <v>5</v>
      </c>
      <c r="N3279" s="4">
        <v>-432.4</v>
      </c>
    </row>
    <row r="3280" spans="1:14" x14ac:dyDescent="0.25">
      <c r="A3280" s="2" t="s">
        <v>603</v>
      </c>
      <c r="B3280" s="2" t="s">
        <v>604</v>
      </c>
      <c r="C3280" s="3">
        <v>1.65</v>
      </c>
      <c r="D3280" s="4">
        <v>41.563499999999998</v>
      </c>
      <c r="E3280" s="4">
        <v>19.14</v>
      </c>
      <c r="F3280" s="4">
        <f t="shared" si="227"/>
        <v>22.423499999999997</v>
      </c>
      <c r="G3280" s="5">
        <f t="shared" si="228"/>
        <v>0.53949980150853505</v>
      </c>
      <c r="H3280" s="2" t="s">
        <v>2156</v>
      </c>
      <c r="I3280" s="6" t="s">
        <v>74</v>
      </c>
      <c r="J3280" s="2" t="s">
        <v>2157</v>
      </c>
      <c r="K3280" s="2" t="s">
        <v>5</v>
      </c>
      <c r="L3280" s="2" t="s">
        <v>28</v>
      </c>
      <c r="M3280" s="2" t="s">
        <v>5</v>
      </c>
      <c r="N3280" s="4">
        <v>944.98</v>
      </c>
    </row>
    <row r="3281" spans="1:14" x14ac:dyDescent="0.25">
      <c r="A3281" s="2" t="s">
        <v>603</v>
      </c>
      <c r="B3281" s="2" t="s">
        <v>604</v>
      </c>
      <c r="C3281" s="3">
        <v>2.4039999999999999</v>
      </c>
      <c r="D3281" s="4">
        <v>60.556759999999997</v>
      </c>
      <c r="E3281" s="4">
        <v>27.886399999999998</v>
      </c>
      <c r="F3281" s="4">
        <f t="shared" si="227"/>
        <v>32.670360000000002</v>
      </c>
      <c r="G3281" s="5">
        <f t="shared" si="228"/>
        <v>0.53949980150853516</v>
      </c>
      <c r="H3281" s="2" t="s">
        <v>2158</v>
      </c>
      <c r="I3281" s="6" t="s">
        <v>39</v>
      </c>
      <c r="J3281" s="2" t="s">
        <v>2159</v>
      </c>
      <c r="K3281" s="2" t="s">
        <v>5</v>
      </c>
      <c r="L3281" s="2" t="s">
        <v>28</v>
      </c>
      <c r="M3281" s="2" t="s">
        <v>5</v>
      </c>
      <c r="N3281" s="4">
        <v>1075.9100000000001</v>
      </c>
    </row>
    <row r="3282" spans="1:14" x14ac:dyDescent="0.25">
      <c r="A3282" s="2" t="s">
        <v>219</v>
      </c>
      <c r="B3282" s="2" t="s">
        <v>220</v>
      </c>
      <c r="C3282" s="3">
        <v>1.65</v>
      </c>
      <c r="D3282" s="4">
        <v>25.344000000000001</v>
      </c>
      <c r="E3282" s="4">
        <v>15.675000000000001</v>
      </c>
      <c r="F3282" s="4">
        <f t="shared" si="227"/>
        <v>9.6690000000000005</v>
      </c>
      <c r="G3282" s="5">
        <f t="shared" si="228"/>
        <v>0.38151041666666669</v>
      </c>
      <c r="H3282" s="2" t="s">
        <v>2156</v>
      </c>
      <c r="I3282" s="6" t="s">
        <v>74</v>
      </c>
      <c r="J3282" s="2" t="s">
        <v>2157</v>
      </c>
      <c r="K3282" s="2" t="s">
        <v>5</v>
      </c>
      <c r="L3282" s="2" t="s">
        <v>28</v>
      </c>
      <c r="M3282" s="2" t="s">
        <v>5</v>
      </c>
      <c r="N3282" s="4">
        <v>944.98</v>
      </c>
    </row>
    <row r="3283" spans="1:14" x14ac:dyDescent="0.25">
      <c r="A3283" s="2" t="s">
        <v>219</v>
      </c>
      <c r="B3283" s="2" t="s">
        <v>220</v>
      </c>
      <c r="C3283" s="3">
        <v>2.1680000000000001</v>
      </c>
      <c r="D3283" s="4">
        <v>33.30048</v>
      </c>
      <c r="E3283" s="4">
        <v>20.596</v>
      </c>
      <c r="F3283" s="4">
        <f t="shared" si="227"/>
        <v>12.70448</v>
      </c>
      <c r="G3283" s="5">
        <f t="shared" si="228"/>
        <v>0.38151041666666669</v>
      </c>
      <c r="H3283" s="2" t="s">
        <v>2158</v>
      </c>
      <c r="I3283" s="6" t="s">
        <v>39</v>
      </c>
      <c r="J3283" s="2" t="s">
        <v>2159</v>
      </c>
      <c r="K3283" s="2" t="s">
        <v>5</v>
      </c>
      <c r="L3283" s="2" t="s">
        <v>28</v>
      </c>
      <c r="M3283" s="2" t="s">
        <v>5</v>
      </c>
      <c r="N3283" s="4">
        <v>1075.9100000000001</v>
      </c>
    </row>
    <row r="3284" spans="1:14" x14ac:dyDescent="0.25">
      <c r="A3284" s="2" t="s">
        <v>2161</v>
      </c>
      <c r="B3284" s="2" t="s">
        <v>2162</v>
      </c>
      <c r="C3284" s="3">
        <v>3.6520000000000001</v>
      </c>
      <c r="D3284" s="4">
        <v>98.238799999999998</v>
      </c>
      <c r="E3284" s="4">
        <v>51.128</v>
      </c>
      <c r="F3284" s="4">
        <f t="shared" si="227"/>
        <v>47.110799999999998</v>
      </c>
      <c r="G3284" s="5">
        <f t="shared" si="228"/>
        <v>0.4795539033457249</v>
      </c>
      <c r="H3284" s="2" t="s">
        <v>2156</v>
      </c>
      <c r="I3284" s="6" t="s">
        <v>74</v>
      </c>
      <c r="J3284" s="2" t="s">
        <v>2157</v>
      </c>
      <c r="K3284" s="2" t="s">
        <v>5</v>
      </c>
      <c r="L3284" s="2" t="s">
        <v>28</v>
      </c>
      <c r="M3284" s="2" t="s">
        <v>5</v>
      </c>
      <c r="N3284" s="4">
        <v>944.98</v>
      </c>
    </row>
    <row r="3285" spans="1:14" x14ac:dyDescent="0.25">
      <c r="A3285" s="2" t="s">
        <v>2161</v>
      </c>
      <c r="B3285" s="2" t="s">
        <v>2162</v>
      </c>
      <c r="C3285" s="3">
        <v>7.45</v>
      </c>
      <c r="D3285" s="4">
        <v>200.405</v>
      </c>
      <c r="E3285" s="4">
        <v>104.3</v>
      </c>
      <c r="F3285" s="4">
        <f t="shared" si="227"/>
        <v>96.105000000000004</v>
      </c>
      <c r="G3285" s="5">
        <f t="shared" si="228"/>
        <v>0.4795539033457249</v>
      </c>
      <c r="H3285" s="2" t="s">
        <v>2158</v>
      </c>
      <c r="I3285" s="6" t="s">
        <v>39</v>
      </c>
      <c r="J3285" s="2" t="s">
        <v>2159</v>
      </c>
      <c r="K3285" s="2" t="s">
        <v>5</v>
      </c>
      <c r="L3285" s="2" t="s">
        <v>28</v>
      </c>
      <c r="M3285" s="2" t="s">
        <v>5</v>
      </c>
      <c r="N3285" s="4">
        <v>1075.9100000000001</v>
      </c>
    </row>
    <row r="3286" spans="1:14" x14ac:dyDescent="0.25">
      <c r="A3286" s="2" t="s">
        <v>124</v>
      </c>
      <c r="B3286" s="2" t="s">
        <v>125</v>
      </c>
      <c r="C3286" s="3">
        <v>8.7750000000000004</v>
      </c>
      <c r="D3286" s="4">
        <v>284.1345</v>
      </c>
      <c r="E3286" s="4">
        <v>190.85624999999999</v>
      </c>
      <c r="F3286" s="4">
        <f t="shared" si="227"/>
        <v>93.278250000000014</v>
      </c>
      <c r="G3286" s="5">
        <f t="shared" si="228"/>
        <v>0.32828906732550961</v>
      </c>
      <c r="H3286" s="2" t="s">
        <v>2156</v>
      </c>
      <c r="I3286" s="6" t="s">
        <v>74</v>
      </c>
      <c r="J3286" s="2" t="s">
        <v>2157</v>
      </c>
      <c r="K3286" s="2" t="s">
        <v>5</v>
      </c>
      <c r="L3286" s="2" t="s">
        <v>28</v>
      </c>
      <c r="M3286" s="2" t="s">
        <v>5</v>
      </c>
      <c r="N3286" s="4">
        <v>944.98</v>
      </c>
    </row>
    <row r="3287" spans="1:14" x14ac:dyDescent="0.25">
      <c r="A3287" s="2" t="s">
        <v>124</v>
      </c>
      <c r="B3287" s="2" t="s">
        <v>125</v>
      </c>
      <c r="C3287" s="3">
        <v>11.698</v>
      </c>
      <c r="D3287" s="4">
        <v>378.78124000000003</v>
      </c>
      <c r="E3287" s="4">
        <v>254.4315</v>
      </c>
      <c r="F3287" s="4">
        <f t="shared" si="227"/>
        <v>124.34974000000003</v>
      </c>
      <c r="G3287" s="5">
        <f t="shared" si="228"/>
        <v>0.32828906732550961</v>
      </c>
      <c r="H3287" s="2" t="s">
        <v>2158</v>
      </c>
      <c r="I3287" s="6" t="s">
        <v>39</v>
      </c>
      <c r="J3287" s="2" t="s">
        <v>2159</v>
      </c>
      <c r="K3287" s="2" t="s">
        <v>5</v>
      </c>
      <c r="L3287" s="2" t="s">
        <v>28</v>
      </c>
      <c r="M3287" s="2" t="s">
        <v>5</v>
      </c>
      <c r="N3287" s="4">
        <v>1075.9100000000001</v>
      </c>
    </row>
    <row r="3288" spans="1:14" x14ac:dyDescent="0.25">
      <c r="A3288" s="2" t="s">
        <v>250</v>
      </c>
      <c r="B3288" s="2" t="s">
        <v>251</v>
      </c>
      <c r="C3288" s="3">
        <v>4.16</v>
      </c>
      <c r="D3288" s="4">
        <v>61.651200000000003</v>
      </c>
      <c r="E3288" s="4">
        <v>35.36</v>
      </c>
      <c r="F3288" s="4">
        <f t="shared" si="227"/>
        <v>26.291200000000003</v>
      </c>
      <c r="G3288" s="5">
        <f t="shared" si="228"/>
        <v>0.42645074224021595</v>
      </c>
      <c r="H3288" s="2" t="s">
        <v>2158</v>
      </c>
      <c r="I3288" s="6" t="s">
        <v>39</v>
      </c>
      <c r="J3288" s="2" t="s">
        <v>2159</v>
      </c>
      <c r="K3288" s="2" t="s">
        <v>5</v>
      </c>
      <c r="L3288" s="2" t="s">
        <v>28</v>
      </c>
      <c r="M3288" s="2" t="s">
        <v>5</v>
      </c>
      <c r="N3288" s="4">
        <v>1075.9100000000001</v>
      </c>
    </row>
    <row r="3290" spans="1:14" x14ac:dyDescent="0.25">
      <c r="A3290" s="13" t="s">
        <v>59</v>
      </c>
      <c r="B3290" s="21"/>
      <c r="C3290" s="22">
        <f>SUM(C3272:C3289)</f>
        <v>75.899000000000001</v>
      </c>
      <c r="D3290" s="23">
        <f>SUM(D3272:D3289)</f>
        <v>1588.48892</v>
      </c>
      <c r="E3290" s="23">
        <f>SUM(E3272:E3289)</f>
        <v>964.29314999999997</v>
      </c>
      <c r="F3290" s="23">
        <f>D3290-E3290</f>
        <v>624.19577000000004</v>
      </c>
      <c r="G3290" s="24">
        <f>IF(((D3290)=0),0,(D3290-E3290)/ D3290)</f>
        <v>0.3929494012460597</v>
      </c>
      <c r="H3290" s="21"/>
      <c r="I3290" s="21"/>
      <c r="J3290" s="21"/>
      <c r="K3290" s="21"/>
      <c r="L3290" s="21"/>
      <c r="M3290" s="21"/>
      <c r="N3290" s="21"/>
    </row>
    <row r="3292" spans="1:14" s="17" customFormat="1" ht="18.75" x14ac:dyDescent="0.3"/>
    <row r="3293" spans="1:14" s="7" customFormat="1" x14ac:dyDescent="0.25">
      <c r="A3293" s="13" t="s">
        <v>2163</v>
      </c>
      <c r="B3293" s="18" t="s">
        <v>2164</v>
      </c>
      <c r="C3293" s="19"/>
      <c r="D3293" s="20" t="s">
        <v>5</v>
      </c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</row>
    <row r="3295" spans="1:14" x14ac:dyDescent="0.25">
      <c r="A3295" s="2" t="s">
        <v>719</v>
      </c>
      <c r="B3295" s="2" t="s">
        <v>720</v>
      </c>
      <c r="C3295" s="3">
        <v>2</v>
      </c>
      <c r="D3295" s="4">
        <v>26.1</v>
      </c>
      <c r="E3295" s="4">
        <v>14.4</v>
      </c>
      <c r="F3295" s="4">
        <f t="shared" ref="F3295:F3304" si="229">D3295-E3295</f>
        <v>11.700000000000001</v>
      </c>
      <c r="G3295" s="5">
        <f t="shared" ref="G3295:G3304" si="230">IF(((D3295)=0),0,(D3295-E3295)/ D3295)</f>
        <v>0.44827586206896552</v>
      </c>
      <c r="H3295" s="2" t="s">
        <v>2165</v>
      </c>
      <c r="I3295" s="6" t="s">
        <v>32</v>
      </c>
      <c r="J3295" s="2" t="s">
        <v>2166</v>
      </c>
      <c r="K3295" s="2" t="s">
        <v>5</v>
      </c>
      <c r="L3295" s="2" t="s">
        <v>28</v>
      </c>
      <c r="M3295" s="2" t="s">
        <v>5</v>
      </c>
      <c r="N3295" s="4">
        <v>1704.04</v>
      </c>
    </row>
    <row r="3296" spans="1:14" x14ac:dyDescent="0.25">
      <c r="A3296" s="2" t="s">
        <v>1226</v>
      </c>
      <c r="B3296" s="2" t="s">
        <v>1227</v>
      </c>
      <c r="C3296" s="3">
        <v>20.295000000000002</v>
      </c>
      <c r="D3296" s="4">
        <v>310.9194</v>
      </c>
      <c r="E3296" s="4">
        <v>98.024850000000001</v>
      </c>
      <c r="F3296" s="4">
        <f t="shared" si="229"/>
        <v>212.89454999999998</v>
      </c>
      <c r="G3296" s="5">
        <f t="shared" si="230"/>
        <v>0.68472584856396856</v>
      </c>
      <c r="H3296" s="2" t="s">
        <v>2165</v>
      </c>
      <c r="I3296" s="6" t="s">
        <v>32</v>
      </c>
      <c r="J3296" s="2" t="s">
        <v>2166</v>
      </c>
      <c r="K3296" s="2" t="s">
        <v>5</v>
      </c>
      <c r="L3296" s="2" t="s">
        <v>28</v>
      </c>
      <c r="M3296" s="2" t="s">
        <v>5</v>
      </c>
      <c r="N3296" s="4">
        <v>1704.04</v>
      </c>
    </row>
    <row r="3297" spans="1:14" x14ac:dyDescent="0.25">
      <c r="A3297" s="2" t="s">
        <v>1097</v>
      </c>
      <c r="B3297" s="2" t="s">
        <v>1098</v>
      </c>
      <c r="C3297" s="3">
        <v>1</v>
      </c>
      <c r="D3297" s="4">
        <v>183.62</v>
      </c>
      <c r="E3297" s="4">
        <v>123</v>
      </c>
      <c r="F3297" s="4">
        <f t="shared" si="229"/>
        <v>60.620000000000005</v>
      </c>
      <c r="G3297" s="5">
        <f t="shared" si="230"/>
        <v>0.33013832915804381</v>
      </c>
      <c r="H3297" s="2" t="s">
        <v>2165</v>
      </c>
      <c r="I3297" s="6" t="s">
        <v>32</v>
      </c>
      <c r="J3297" s="2" t="s">
        <v>2166</v>
      </c>
      <c r="K3297" s="2" t="s">
        <v>5</v>
      </c>
      <c r="L3297" s="2" t="s">
        <v>28</v>
      </c>
      <c r="M3297" s="2" t="s">
        <v>5</v>
      </c>
      <c r="N3297" s="4">
        <v>1704.04</v>
      </c>
    </row>
    <row r="3298" spans="1:14" x14ac:dyDescent="0.25">
      <c r="A3298" s="2" t="s">
        <v>53</v>
      </c>
      <c r="B3298" s="2" t="s">
        <v>54</v>
      </c>
      <c r="C3298" s="3">
        <v>7.1550000000000002</v>
      </c>
      <c r="D3298" s="4">
        <v>86.074650000000005</v>
      </c>
      <c r="E3298" s="4">
        <v>52.231499999999997</v>
      </c>
      <c r="F3298" s="4">
        <f t="shared" si="229"/>
        <v>33.843150000000009</v>
      </c>
      <c r="G3298" s="5">
        <f t="shared" si="230"/>
        <v>0.39318370739817132</v>
      </c>
      <c r="H3298" s="2" t="s">
        <v>2167</v>
      </c>
      <c r="I3298" s="6" t="s">
        <v>69</v>
      </c>
      <c r="J3298" s="2" t="s">
        <v>2168</v>
      </c>
      <c r="K3298" s="2" t="s">
        <v>5</v>
      </c>
      <c r="L3298" s="2" t="s">
        <v>28</v>
      </c>
      <c r="M3298" s="2" t="s">
        <v>5</v>
      </c>
      <c r="N3298" s="4">
        <v>312.57</v>
      </c>
    </row>
    <row r="3299" spans="1:14" x14ac:dyDescent="0.25">
      <c r="A3299" s="2" t="s">
        <v>737</v>
      </c>
      <c r="B3299" s="2" t="s">
        <v>738</v>
      </c>
      <c r="C3299" s="3">
        <v>4.2619999999999996</v>
      </c>
      <c r="D3299" s="4">
        <v>224.39429999999999</v>
      </c>
      <c r="E3299" s="4">
        <v>168.34899999999999</v>
      </c>
      <c r="F3299" s="4">
        <f t="shared" si="229"/>
        <v>56.045299999999997</v>
      </c>
      <c r="G3299" s="5">
        <f t="shared" si="230"/>
        <v>0.24976258309591642</v>
      </c>
      <c r="H3299" s="2" t="s">
        <v>2165</v>
      </c>
      <c r="I3299" s="6" t="s">
        <v>32</v>
      </c>
      <c r="J3299" s="2" t="s">
        <v>2166</v>
      </c>
      <c r="K3299" s="2" t="s">
        <v>5</v>
      </c>
      <c r="L3299" s="2" t="s">
        <v>28</v>
      </c>
      <c r="M3299" s="2" t="s">
        <v>5</v>
      </c>
      <c r="N3299" s="4">
        <v>1704.04</v>
      </c>
    </row>
    <row r="3300" spans="1:14" x14ac:dyDescent="0.25">
      <c r="A3300" s="2" t="s">
        <v>670</v>
      </c>
      <c r="B3300" s="2" t="s">
        <v>671</v>
      </c>
      <c r="C3300" s="3">
        <v>8.42</v>
      </c>
      <c r="D3300" s="4">
        <v>226.49799999999999</v>
      </c>
      <c r="E3300" s="4">
        <v>122.09</v>
      </c>
      <c r="F3300" s="4">
        <f t="shared" si="229"/>
        <v>104.40799999999999</v>
      </c>
      <c r="G3300" s="5">
        <f t="shared" si="230"/>
        <v>0.46096654275092935</v>
      </c>
      <c r="H3300" s="2" t="s">
        <v>2167</v>
      </c>
      <c r="I3300" s="6" t="s">
        <v>69</v>
      </c>
      <c r="J3300" s="2" t="s">
        <v>2168</v>
      </c>
      <c r="K3300" s="2" t="s">
        <v>5</v>
      </c>
      <c r="L3300" s="2" t="s">
        <v>28</v>
      </c>
      <c r="M3300" s="2" t="s">
        <v>5</v>
      </c>
      <c r="N3300" s="4">
        <v>312.57</v>
      </c>
    </row>
    <row r="3301" spans="1:14" x14ac:dyDescent="0.25">
      <c r="A3301" s="2" t="s">
        <v>670</v>
      </c>
      <c r="B3301" s="2" t="s">
        <v>671</v>
      </c>
      <c r="C3301" s="3">
        <v>17.34</v>
      </c>
      <c r="D3301" s="4">
        <v>466.44600000000003</v>
      </c>
      <c r="E3301" s="4">
        <v>251.43</v>
      </c>
      <c r="F3301" s="4">
        <f t="shared" si="229"/>
        <v>215.01600000000002</v>
      </c>
      <c r="G3301" s="5">
        <f t="shared" si="230"/>
        <v>0.46096654275092941</v>
      </c>
      <c r="H3301" s="2" t="s">
        <v>2165</v>
      </c>
      <c r="I3301" s="6" t="s">
        <v>32</v>
      </c>
      <c r="J3301" s="2" t="s">
        <v>2166</v>
      </c>
      <c r="K3301" s="2" t="s">
        <v>5</v>
      </c>
      <c r="L3301" s="2" t="s">
        <v>28</v>
      </c>
      <c r="M3301" s="2" t="s">
        <v>5</v>
      </c>
      <c r="N3301" s="4">
        <v>1704.04</v>
      </c>
    </row>
    <row r="3302" spans="1:14" x14ac:dyDescent="0.25">
      <c r="A3302" s="2" t="s">
        <v>2169</v>
      </c>
      <c r="B3302" s="2" t="s">
        <v>2170</v>
      </c>
      <c r="C3302" s="3">
        <v>12.38</v>
      </c>
      <c r="D3302" s="4">
        <v>203.27959999999999</v>
      </c>
      <c r="E3302" s="4">
        <v>154.75</v>
      </c>
      <c r="F3302" s="4">
        <f t="shared" si="229"/>
        <v>48.529599999999988</v>
      </c>
      <c r="G3302" s="5">
        <f t="shared" si="230"/>
        <v>0.23873325213154684</v>
      </c>
      <c r="H3302" s="2" t="s">
        <v>2165</v>
      </c>
      <c r="I3302" s="6" t="s">
        <v>32</v>
      </c>
      <c r="J3302" s="2" t="s">
        <v>2166</v>
      </c>
      <c r="K3302" s="2" t="s">
        <v>5</v>
      </c>
      <c r="L3302" s="2" t="s">
        <v>28</v>
      </c>
      <c r="M3302" s="2" t="s">
        <v>5</v>
      </c>
      <c r="N3302" s="4">
        <v>1704.04</v>
      </c>
    </row>
    <row r="3303" spans="1:14" x14ac:dyDescent="0.25">
      <c r="A3303" s="2" t="s">
        <v>2171</v>
      </c>
      <c r="B3303" s="2" t="s">
        <v>2172</v>
      </c>
      <c r="C3303" s="3">
        <v>3.7120000000000002</v>
      </c>
      <c r="D3303" s="4">
        <v>150.37312</v>
      </c>
      <c r="E3303" s="4">
        <v>94.656000000000006</v>
      </c>
      <c r="F3303" s="4">
        <f t="shared" si="229"/>
        <v>55.717119999999994</v>
      </c>
      <c r="G3303" s="5">
        <f t="shared" si="230"/>
        <v>0.37052579609972841</v>
      </c>
      <c r="H3303" s="2" t="s">
        <v>2165</v>
      </c>
      <c r="I3303" s="6" t="s">
        <v>32</v>
      </c>
      <c r="J3303" s="2" t="s">
        <v>2166</v>
      </c>
      <c r="K3303" s="2" t="s">
        <v>5</v>
      </c>
      <c r="L3303" s="2" t="s">
        <v>28</v>
      </c>
      <c r="M3303" s="2" t="s">
        <v>5</v>
      </c>
      <c r="N3303" s="4">
        <v>1704.04</v>
      </c>
    </row>
    <row r="3304" spans="1:14" x14ac:dyDescent="0.25">
      <c r="A3304" s="2" t="s">
        <v>972</v>
      </c>
      <c r="B3304" s="2" t="s">
        <v>973</v>
      </c>
      <c r="C3304" s="3">
        <v>4.29</v>
      </c>
      <c r="D3304" s="4">
        <v>138.9102</v>
      </c>
      <c r="E3304" s="4">
        <v>93.307500000000005</v>
      </c>
      <c r="F3304" s="4">
        <f t="shared" si="229"/>
        <v>45.602699999999999</v>
      </c>
      <c r="G3304" s="5">
        <f t="shared" si="230"/>
        <v>0.32828906732550955</v>
      </c>
      <c r="H3304" s="2" t="s">
        <v>2165</v>
      </c>
      <c r="I3304" s="6" t="s">
        <v>32</v>
      </c>
      <c r="J3304" s="2" t="s">
        <v>2166</v>
      </c>
      <c r="K3304" s="2" t="s">
        <v>5</v>
      </c>
      <c r="L3304" s="2" t="s">
        <v>28</v>
      </c>
      <c r="M3304" s="2" t="s">
        <v>5</v>
      </c>
      <c r="N3304" s="4">
        <v>1704.04</v>
      </c>
    </row>
    <row r="3306" spans="1:14" x14ac:dyDescent="0.25">
      <c r="A3306" s="13" t="s">
        <v>59</v>
      </c>
      <c r="B3306" s="21"/>
      <c r="C3306" s="22">
        <f>SUM(C3292:C3305)</f>
        <v>80.854000000000013</v>
      </c>
      <c r="D3306" s="23">
        <f>SUM(D3292:D3305)</f>
        <v>2016.61527</v>
      </c>
      <c r="E3306" s="23">
        <f>SUM(E3292:E3305)</f>
        <v>1172.2388499999997</v>
      </c>
      <c r="F3306" s="23">
        <f>D3306-E3306</f>
        <v>844.37642000000028</v>
      </c>
      <c r="G3306" s="24">
        <f>IF(((D3306)=0),0,(D3306-E3306)/ D3306)</f>
        <v>0.41870972245489357</v>
      </c>
      <c r="H3306" s="21"/>
      <c r="I3306" s="21"/>
      <c r="J3306" s="21"/>
      <c r="K3306" s="21"/>
      <c r="L3306" s="21"/>
      <c r="M3306" s="21"/>
      <c r="N3306" s="21"/>
    </row>
    <row r="3308" spans="1:14" s="17" customFormat="1" ht="18.75" x14ac:dyDescent="0.3"/>
    <row r="3309" spans="1:14" s="7" customFormat="1" x14ac:dyDescent="0.25">
      <c r="A3309" s="13" t="s">
        <v>2173</v>
      </c>
      <c r="B3309" s="18" t="s">
        <v>2174</v>
      </c>
      <c r="C3309" s="19"/>
      <c r="D3309" s="20" t="s">
        <v>5</v>
      </c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</row>
    <row r="3311" spans="1:14" x14ac:dyDescent="0.25">
      <c r="A3311" s="2" t="s">
        <v>908</v>
      </c>
      <c r="B3311" s="2" t="s">
        <v>909</v>
      </c>
      <c r="C3311" s="3">
        <v>4.18</v>
      </c>
      <c r="D3311" s="4">
        <v>247.3306</v>
      </c>
      <c r="E3311" s="4">
        <v>154.66</v>
      </c>
      <c r="F3311" s="4">
        <f t="shared" ref="F3311:F3318" si="231">D3311-E3311</f>
        <v>92.670600000000007</v>
      </c>
      <c r="G3311" s="5">
        <f t="shared" ref="G3311:G3318" si="232">IF(((D3311)=0),0,(D3311-E3311)/ D3311)</f>
        <v>0.37468311644414404</v>
      </c>
      <c r="H3311" s="2" t="s">
        <v>2175</v>
      </c>
      <c r="I3311" s="6" t="s">
        <v>69</v>
      </c>
      <c r="J3311" s="2" t="s">
        <v>2176</v>
      </c>
      <c r="K3311" s="2" t="s">
        <v>5</v>
      </c>
      <c r="L3311" s="2" t="s">
        <v>28</v>
      </c>
      <c r="M3311" s="2" t="s">
        <v>5</v>
      </c>
      <c r="N3311" s="4">
        <v>1371.4</v>
      </c>
    </row>
    <row r="3312" spans="1:14" x14ac:dyDescent="0.25">
      <c r="A3312" s="2" t="s">
        <v>920</v>
      </c>
      <c r="B3312" s="2" t="s">
        <v>921</v>
      </c>
      <c r="C3312" s="3">
        <v>1.7</v>
      </c>
      <c r="D3312" s="4">
        <v>83.572000000000003</v>
      </c>
      <c r="E3312" s="4">
        <v>51</v>
      </c>
      <c r="F3312" s="4">
        <f t="shared" si="231"/>
        <v>32.572000000000003</v>
      </c>
      <c r="G3312" s="5">
        <f t="shared" si="232"/>
        <v>0.38974776240846221</v>
      </c>
      <c r="H3312" s="2" t="s">
        <v>2175</v>
      </c>
      <c r="I3312" s="6" t="s">
        <v>69</v>
      </c>
      <c r="J3312" s="2" t="s">
        <v>2176</v>
      </c>
      <c r="K3312" s="2" t="s">
        <v>5</v>
      </c>
      <c r="L3312" s="2" t="s">
        <v>28</v>
      </c>
      <c r="M3312" s="2" t="s">
        <v>5</v>
      </c>
      <c r="N3312" s="4">
        <v>1371.4</v>
      </c>
    </row>
    <row r="3313" spans="1:14" x14ac:dyDescent="0.25">
      <c r="A3313" s="2" t="s">
        <v>922</v>
      </c>
      <c r="B3313" s="2" t="s">
        <v>923</v>
      </c>
      <c r="C3313" s="3">
        <v>1.08</v>
      </c>
      <c r="D3313" s="4">
        <v>102.6</v>
      </c>
      <c r="E3313" s="4">
        <v>86.4</v>
      </c>
      <c r="F3313" s="4">
        <f t="shared" si="231"/>
        <v>16.199999999999989</v>
      </c>
      <c r="G3313" s="5">
        <f t="shared" si="232"/>
        <v>0.15789473684210517</v>
      </c>
      <c r="H3313" s="2" t="s">
        <v>2175</v>
      </c>
      <c r="I3313" s="6" t="s">
        <v>69</v>
      </c>
      <c r="J3313" s="2" t="s">
        <v>2176</v>
      </c>
      <c r="K3313" s="2" t="s">
        <v>5</v>
      </c>
      <c r="L3313" s="2" t="s">
        <v>28</v>
      </c>
      <c r="M3313" s="2" t="s">
        <v>5</v>
      </c>
      <c r="N3313" s="4">
        <v>1371.4</v>
      </c>
    </row>
    <row r="3314" spans="1:14" x14ac:dyDescent="0.25">
      <c r="A3314" s="2" t="s">
        <v>924</v>
      </c>
      <c r="B3314" s="2" t="s">
        <v>925</v>
      </c>
      <c r="C3314" s="3">
        <v>5.16</v>
      </c>
      <c r="D3314" s="4">
        <v>260.78640000000001</v>
      </c>
      <c r="E3314" s="4">
        <v>180.6</v>
      </c>
      <c r="F3314" s="4">
        <f t="shared" si="231"/>
        <v>80.18640000000002</v>
      </c>
      <c r="G3314" s="5">
        <f t="shared" si="232"/>
        <v>0.30747922437673136</v>
      </c>
      <c r="H3314" s="2" t="s">
        <v>2175</v>
      </c>
      <c r="I3314" s="6" t="s">
        <v>69</v>
      </c>
      <c r="J3314" s="2" t="s">
        <v>2176</v>
      </c>
      <c r="K3314" s="2" t="s">
        <v>5</v>
      </c>
      <c r="L3314" s="2" t="s">
        <v>28</v>
      </c>
      <c r="M3314" s="2" t="s">
        <v>5</v>
      </c>
      <c r="N3314" s="4">
        <v>1371.4</v>
      </c>
    </row>
    <row r="3315" spans="1:14" x14ac:dyDescent="0.25">
      <c r="A3315" s="2" t="s">
        <v>928</v>
      </c>
      <c r="B3315" s="2" t="s">
        <v>929</v>
      </c>
      <c r="C3315" s="3">
        <v>8.48</v>
      </c>
      <c r="D3315" s="4">
        <v>256.77440000000001</v>
      </c>
      <c r="E3315" s="4">
        <v>125.08</v>
      </c>
      <c r="F3315" s="4">
        <f t="shared" si="231"/>
        <v>131.69440000000003</v>
      </c>
      <c r="G3315" s="5">
        <f t="shared" si="232"/>
        <v>0.51287978863936601</v>
      </c>
      <c r="H3315" s="2" t="s">
        <v>2175</v>
      </c>
      <c r="I3315" s="6" t="s">
        <v>69</v>
      </c>
      <c r="J3315" s="2" t="s">
        <v>2176</v>
      </c>
      <c r="K3315" s="2" t="s">
        <v>5</v>
      </c>
      <c r="L3315" s="2" t="s">
        <v>28</v>
      </c>
      <c r="M3315" s="2" t="s">
        <v>5</v>
      </c>
      <c r="N3315" s="4">
        <v>1371.4</v>
      </c>
    </row>
    <row r="3316" spans="1:14" x14ac:dyDescent="0.25">
      <c r="A3316" s="2" t="s">
        <v>930</v>
      </c>
      <c r="B3316" s="2" t="s">
        <v>931</v>
      </c>
      <c r="C3316" s="3">
        <v>6.085</v>
      </c>
      <c r="D3316" s="4">
        <v>184.25380000000001</v>
      </c>
      <c r="E3316" s="4">
        <v>89.753749999999997</v>
      </c>
      <c r="F3316" s="4">
        <f t="shared" si="231"/>
        <v>94.500050000000016</v>
      </c>
      <c r="G3316" s="5">
        <f t="shared" si="232"/>
        <v>0.51287978863936601</v>
      </c>
      <c r="H3316" s="2" t="s">
        <v>2175</v>
      </c>
      <c r="I3316" s="6" t="s">
        <v>69</v>
      </c>
      <c r="J3316" s="2" t="s">
        <v>2176</v>
      </c>
      <c r="K3316" s="2" t="s">
        <v>5</v>
      </c>
      <c r="L3316" s="2" t="s">
        <v>28</v>
      </c>
      <c r="M3316" s="2" t="s">
        <v>5</v>
      </c>
      <c r="N3316" s="4">
        <v>1371.4</v>
      </c>
    </row>
    <row r="3317" spans="1:14" x14ac:dyDescent="0.25">
      <c r="A3317" s="2" t="s">
        <v>2177</v>
      </c>
      <c r="B3317" s="2" t="s">
        <v>2178</v>
      </c>
      <c r="C3317" s="3">
        <v>10</v>
      </c>
      <c r="D3317" s="4">
        <v>162.6</v>
      </c>
      <c r="E3317" s="4">
        <v>125</v>
      </c>
      <c r="F3317" s="4">
        <f t="shared" si="231"/>
        <v>37.599999999999994</v>
      </c>
      <c r="G3317" s="5">
        <f t="shared" si="232"/>
        <v>0.23124231242312421</v>
      </c>
      <c r="H3317" s="2" t="s">
        <v>2175</v>
      </c>
      <c r="I3317" s="6" t="s">
        <v>69</v>
      </c>
      <c r="J3317" s="2" t="s">
        <v>2176</v>
      </c>
      <c r="K3317" s="2" t="s">
        <v>5</v>
      </c>
      <c r="L3317" s="2" t="s">
        <v>28</v>
      </c>
      <c r="M3317" s="2" t="s">
        <v>5</v>
      </c>
      <c r="N3317" s="4">
        <v>1371.4</v>
      </c>
    </row>
    <row r="3318" spans="1:14" x14ac:dyDescent="0.25">
      <c r="A3318" s="2" t="s">
        <v>936</v>
      </c>
      <c r="B3318" s="2" t="s">
        <v>937</v>
      </c>
      <c r="C3318" s="3">
        <v>2.226</v>
      </c>
      <c r="D3318" s="4">
        <v>73.480260000000001</v>
      </c>
      <c r="E3318" s="4">
        <v>52.311</v>
      </c>
      <c r="F3318" s="4">
        <f t="shared" si="231"/>
        <v>21.169260000000001</v>
      </c>
      <c r="G3318" s="5">
        <f t="shared" si="232"/>
        <v>0.28809451681308695</v>
      </c>
      <c r="H3318" s="2" t="s">
        <v>2175</v>
      </c>
      <c r="I3318" s="6" t="s">
        <v>69</v>
      </c>
      <c r="J3318" s="2" t="s">
        <v>2176</v>
      </c>
      <c r="K3318" s="2" t="s">
        <v>5</v>
      </c>
      <c r="L3318" s="2" t="s">
        <v>28</v>
      </c>
      <c r="M3318" s="2" t="s">
        <v>5</v>
      </c>
      <c r="N3318" s="4">
        <v>1371.4</v>
      </c>
    </row>
    <row r="3320" spans="1:14" x14ac:dyDescent="0.25">
      <c r="A3320" s="13" t="s">
        <v>59</v>
      </c>
      <c r="B3320" s="21"/>
      <c r="C3320" s="22">
        <f>SUM(C3308:C3319)</f>
        <v>38.911000000000001</v>
      </c>
      <c r="D3320" s="23">
        <f>SUM(D3308:D3319)</f>
        <v>1371.3974599999999</v>
      </c>
      <c r="E3320" s="23">
        <f>SUM(E3308:E3319)</f>
        <v>864.80475000000001</v>
      </c>
      <c r="F3320" s="23">
        <f>D3320-E3320</f>
        <v>506.5927099999999</v>
      </c>
      <c r="G3320" s="24">
        <f>IF(((D3320)=0),0,(D3320-E3320)/ D3320)</f>
        <v>0.36939889767624329</v>
      </c>
      <c r="H3320" s="21"/>
      <c r="I3320" s="21"/>
      <c r="J3320" s="21"/>
      <c r="K3320" s="21"/>
      <c r="L3320" s="21"/>
      <c r="M3320" s="21"/>
      <c r="N3320" s="21"/>
    </row>
    <row r="3322" spans="1:14" s="17" customFormat="1" ht="18.75" x14ac:dyDescent="0.3"/>
    <row r="3323" spans="1:14" s="7" customFormat="1" x14ac:dyDescent="0.25">
      <c r="A3323" s="13" t="s">
        <v>2179</v>
      </c>
      <c r="B3323" s="18" t="s">
        <v>2180</v>
      </c>
      <c r="C3323" s="19"/>
      <c r="D3323" s="20" t="s">
        <v>5</v>
      </c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</row>
    <row r="3325" spans="1:14" x14ac:dyDescent="0.25">
      <c r="A3325" s="2" t="s">
        <v>1808</v>
      </c>
      <c r="B3325" s="2" t="s">
        <v>1809</v>
      </c>
      <c r="C3325" s="3">
        <v>48</v>
      </c>
      <c r="D3325" s="4">
        <v>1349.76</v>
      </c>
      <c r="E3325" s="4">
        <v>780</v>
      </c>
      <c r="F3325" s="4">
        <f>D3325-E3325</f>
        <v>569.76</v>
      </c>
      <c r="G3325" s="5">
        <f>IF(((D3325)=0),0,(D3325-E3325)/ D3325)</f>
        <v>0.42211948790896159</v>
      </c>
      <c r="H3325" s="2" t="s">
        <v>2181</v>
      </c>
      <c r="I3325" s="6" t="s">
        <v>69</v>
      </c>
      <c r="J3325" s="2" t="s">
        <v>2182</v>
      </c>
      <c r="K3325" s="2" t="s">
        <v>2183</v>
      </c>
      <c r="L3325" s="2" t="s">
        <v>28</v>
      </c>
      <c r="M3325" s="2" t="s">
        <v>5</v>
      </c>
      <c r="N3325" s="4">
        <v>1349.76</v>
      </c>
    </row>
    <row r="3326" spans="1:14" x14ac:dyDescent="0.25">
      <c r="A3326" s="2" t="s">
        <v>1977</v>
      </c>
      <c r="B3326" s="2" t="s">
        <v>1978</v>
      </c>
      <c r="C3326" s="3">
        <v>57.73</v>
      </c>
      <c r="D3326" s="4">
        <v>727.97529999999995</v>
      </c>
      <c r="E3326" s="4">
        <v>409.88299999999998</v>
      </c>
      <c r="F3326" s="4">
        <f>D3326-E3326</f>
        <v>318.09229999999997</v>
      </c>
      <c r="G3326" s="5">
        <f>IF(((D3326)=0),0,(D3326-E3326)/ D3326)</f>
        <v>0.43695479777954005</v>
      </c>
      <c r="H3326" s="2" t="s">
        <v>2184</v>
      </c>
      <c r="I3326" s="6" t="s">
        <v>69</v>
      </c>
      <c r="J3326" s="2" t="s">
        <v>2185</v>
      </c>
      <c r="K3326" s="2" t="s">
        <v>2186</v>
      </c>
      <c r="L3326" s="2" t="s">
        <v>28</v>
      </c>
      <c r="M3326" s="2" t="s">
        <v>5</v>
      </c>
      <c r="N3326" s="4">
        <v>727.98</v>
      </c>
    </row>
    <row r="3328" spans="1:14" x14ac:dyDescent="0.25">
      <c r="A3328" s="13" t="s">
        <v>59</v>
      </c>
      <c r="B3328" s="21"/>
      <c r="C3328" s="22">
        <f>SUM(C3322:C3327)</f>
        <v>105.72999999999999</v>
      </c>
      <c r="D3328" s="23">
        <f>SUM(D3322:D3327)</f>
        <v>2077.7352999999998</v>
      </c>
      <c r="E3328" s="23">
        <f>SUM(E3322:E3327)</f>
        <v>1189.883</v>
      </c>
      <c r="F3328" s="23">
        <f>D3328-E3328</f>
        <v>887.85229999999979</v>
      </c>
      <c r="G3328" s="24">
        <f>IF(((D3328)=0),0,(D3328-E3328)/ D3328)</f>
        <v>0.4273173295943905</v>
      </c>
      <c r="H3328" s="21"/>
      <c r="I3328" s="21"/>
      <c r="J3328" s="21"/>
      <c r="K3328" s="21"/>
      <c r="L3328" s="21"/>
      <c r="M3328" s="21"/>
      <c r="N3328" s="21"/>
    </row>
    <row r="3330" spans="1:14" s="17" customFormat="1" ht="18.75" x14ac:dyDescent="0.3"/>
    <row r="3331" spans="1:14" s="7" customFormat="1" x14ac:dyDescent="0.25">
      <c r="A3331" s="13" t="s">
        <v>2187</v>
      </c>
      <c r="B3331" s="18" t="s">
        <v>2188</v>
      </c>
      <c r="C3331" s="19"/>
      <c r="D3331" s="20" t="s">
        <v>5</v>
      </c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</row>
    <row r="3333" spans="1:14" x14ac:dyDescent="0.25">
      <c r="A3333" s="2" t="s">
        <v>1798</v>
      </c>
      <c r="B3333" s="2" t="s">
        <v>1799</v>
      </c>
      <c r="C3333" s="3">
        <v>40.54</v>
      </c>
      <c r="D3333" s="4">
        <v>899.17719999999997</v>
      </c>
      <c r="E3333" s="4">
        <v>478.37200000000001</v>
      </c>
      <c r="F3333" s="4">
        <f>D3333-E3333</f>
        <v>420.80519999999996</v>
      </c>
      <c r="G3333" s="5">
        <f>IF(((D3333)=0),0,(D3333-E3333)/ D3333)</f>
        <v>0.46798917944093776</v>
      </c>
      <c r="H3333" s="2" t="s">
        <v>2189</v>
      </c>
      <c r="I3333" s="6" t="s">
        <v>74</v>
      </c>
      <c r="J3333" s="2" t="s">
        <v>2190</v>
      </c>
      <c r="K3333" s="2" t="s">
        <v>2191</v>
      </c>
      <c r="L3333" s="2" t="s">
        <v>28</v>
      </c>
      <c r="M3333" s="2" t="s">
        <v>5</v>
      </c>
      <c r="N3333" s="4">
        <v>899.18</v>
      </c>
    </row>
    <row r="3335" spans="1:14" x14ac:dyDescent="0.25">
      <c r="A3335" s="13" t="s">
        <v>59</v>
      </c>
      <c r="B3335" s="21"/>
      <c r="C3335" s="22">
        <f>SUM(C3330:C3334)</f>
        <v>40.54</v>
      </c>
      <c r="D3335" s="23">
        <f>SUM(D3330:D3334)</f>
        <v>899.17719999999997</v>
      </c>
      <c r="E3335" s="23">
        <f>SUM(E3330:E3334)</f>
        <v>478.37200000000001</v>
      </c>
      <c r="F3335" s="23">
        <f>D3335-E3335</f>
        <v>420.80519999999996</v>
      </c>
      <c r="G3335" s="24">
        <f>IF(((D3335)=0),0,(D3335-E3335)/ D3335)</f>
        <v>0.46798917944093776</v>
      </c>
      <c r="H3335" s="21"/>
      <c r="I3335" s="21"/>
      <c r="J3335" s="21"/>
      <c r="K3335" s="21"/>
      <c r="L3335" s="21"/>
      <c r="M3335" s="21"/>
      <c r="N3335" s="21"/>
    </row>
    <row r="3337" spans="1:14" s="17" customFormat="1" ht="18.75" x14ac:dyDescent="0.3"/>
    <row r="3338" spans="1:14" s="7" customFormat="1" x14ac:dyDescent="0.25">
      <c r="A3338" s="13" t="s">
        <v>2192</v>
      </c>
      <c r="B3338" s="18" t="s">
        <v>2193</v>
      </c>
      <c r="C3338" s="19"/>
      <c r="D3338" s="20" t="s">
        <v>5</v>
      </c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</row>
    <row r="3340" spans="1:14" x14ac:dyDescent="0.25">
      <c r="A3340" s="2" t="s">
        <v>2194</v>
      </c>
      <c r="B3340" s="2" t="s">
        <v>2195</v>
      </c>
      <c r="C3340" s="3">
        <v>78.459999999999994</v>
      </c>
      <c r="D3340" s="4">
        <v>3668.0050000000001</v>
      </c>
      <c r="E3340" s="4">
        <v>2353.8000000000002</v>
      </c>
      <c r="F3340" s="4">
        <f>D3340-E3340</f>
        <v>1314.2049999999999</v>
      </c>
      <c r="G3340" s="5">
        <f>IF(((D3340)=0),0,(D3340-E3340)/ D3340)</f>
        <v>0.35828877005347592</v>
      </c>
      <c r="H3340" s="2" t="s">
        <v>2196</v>
      </c>
      <c r="I3340" s="6" t="s">
        <v>25</v>
      </c>
      <c r="J3340" s="2" t="s">
        <v>2197</v>
      </c>
      <c r="K3340" s="2" t="s">
        <v>5</v>
      </c>
      <c r="L3340" s="2" t="s">
        <v>28</v>
      </c>
      <c r="M3340" s="2" t="s">
        <v>5</v>
      </c>
      <c r="N3340" s="4">
        <v>3668.01</v>
      </c>
    </row>
    <row r="3342" spans="1:14" x14ac:dyDescent="0.25">
      <c r="A3342" s="13" t="s">
        <v>59</v>
      </c>
      <c r="B3342" s="21"/>
      <c r="C3342" s="22">
        <f>SUM(C3337:C3341)</f>
        <v>78.459999999999994</v>
      </c>
      <c r="D3342" s="23">
        <f>SUM(D3337:D3341)</f>
        <v>3668.0050000000001</v>
      </c>
      <c r="E3342" s="23">
        <f>SUM(E3337:E3341)</f>
        <v>2353.8000000000002</v>
      </c>
      <c r="F3342" s="23">
        <f>D3342-E3342</f>
        <v>1314.2049999999999</v>
      </c>
      <c r="G3342" s="24">
        <f>IF(((D3342)=0),0,(D3342-E3342)/ D3342)</f>
        <v>0.35828877005347592</v>
      </c>
      <c r="H3342" s="21"/>
      <c r="I3342" s="21"/>
      <c r="J3342" s="21"/>
      <c r="K3342" s="21"/>
      <c r="L3342" s="21"/>
      <c r="M3342" s="21"/>
      <c r="N3342" s="21"/>
    </row>
    <row r="3344" spans="1:14" s="17" customFormat="1" ht="18.75" x14ac:dyDescent="0.3"/>
    <row r="3345" spans="1:14" s="7" customFormat="1" x14ac:dyDescent="0.25">
      <c r="A3345" s="13" t="s">
        <v>2198</v>
      </c>
      <c r="B3345" s="18" t="s">
        <v>2199</v>
      </c>
      <c r="C3345" s="19"/>
      <c r="D3345" s="20" t="s">
        <v>5</v>
      </c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</row>
    <row r="3347" spans="1:14" x14ac:dyDescent="0.25">
      <c r="A3347" s="2" t="s">
        <v>698</v>
      </c>
      <c r="B3347" s="2" t="s">
        <v>699</v>
      </c>
      <c r="C3347" s="3">
        <v>15</v>
      </c>
      <c r="D3347" s="4">
        <v>215.25</v>
      </c>
      <c r="E3347" s="4">
        <v>150</v>
      </c>
      <c r="F3347" s="4">
        <f t="shared" ref="F3347:F3358" si="233">D3347-E3347</f>
        <v>65.25</v>
      </c>
      <c r="G3347" s="5">
        <f t="shared" ref="G3347:G3358" si="234">IF(((D3347)=0),0,(D3347-E3347)/ D3347)</f>
        <v>0.30313588850174217</v>
      </c>
      <c r="H3347" s="2" t="s">
        <v>2200</v>
      </c>
      <c r="I3347" s="6" t="s">
        <v>74</v>
      </c>
      <c r="J3347" s="2" t="s">
        <v>2201</v>
      </c>
      <c r="K3347" s="2" t="s">
        <v>5</v>
      </c>
      <c r="L3347" s="2" t="s">
        <v>28</v>
      </c>
      <c r="M3347" s="2" t="s">
        <v>5</v>
      </c>
      <c r="N3347" s="4">
        <v>1788.37</v>
      </c>
    </row>
    <row r="3348" spans="1:14" x14ac:dyDescent="0.25">
      <c r="A3348" s="2" t="s">
        <v>566</v>
      </c>
      <c r="B3348" s="2" t="s">
        <v>567</v>
      </c>
      <c r="C3348" s="3">
        <v>8.06</v>
      </c>
      <c r="D3348" s="4">
        <v>141.13059999999999</v>
      </c>
      <c r="E3348" s="4">
        <v>91.884</v>
      </c>
      <c r="F3348" s="4">
        <f t="shared" si="233"/>
        <v>49.246599999999987</v>
      </c>
      <c r="G3348" s="5">
        <f t="shared" si="234"/>
        <v>0.34894346087949735</v>
      </c>
      <c r="H3348" s="2" t="s">
        <v>2200</v>
      </c>
      <c r="I3348" s="6" t="s">
        <v>74</v>
      </c>
      <c r="J3348" s="2" t="s">
        <v>2201</v>
      </c>
      <c r="K3348" s="2" t="s">
        <v>5</v>
      </c>
      <c r="L3348" s="2" t="s">
        <v>28</v>
      </c>
      <c r="M3348" s="2" t="s">
        <v>5</v>
      </c>
      <c r="N3348" s="4">
        <v>1788.37</v>
      </c>
    </row>
    <row r="3349" spans="1:14" x14ac:dyDescent="0.25">
      <c r="A3349" s="2" t="s">
        <v>22</v>
      </c>
      <c r="B3349" s="2" t="s">
        <v>23</v>
      </c>
      <c r="C3349" s="3">
        <v>10.4</v>
      </c>
      <c r="D3349" s="4">
        <v>159.328</v>
      </c>
      <c r="E3349" s="4">
        <v>114.4</v>
      </c>
      <c r="F3349" s="4">
        <f t="shared" si="233"/>
        <v>44.927999999999997</v>
      </c>
      <c r="G3349" s="5">
        <f t="shared" si="234"/>
        <v>0.28198433420365532</v>
      </c>
      <c r="H3349" s="2" t="s">
        <v>2200</v>
      </c>
      <c r="I3349" s="6" t="s">
        <v>74</v>
      </c>
      <c r="J3349" s="2" t="s">
        <v>2201</v>
      </c>
      <c r="K3349" s="2" t="s">
        <v>5</v>
      </c>
      <c r="L3349" s="2" t="s">
        <v>28</v>
      </c>
      <c r="M3349" s="2" t="s">
        <v>5</v>
      </c>
      <c r="N3349" s="4">
        <v>1788.37</v>
      </c>
    </row>
    <row r="3350" spans="1:14" x14ac:dyDescent="0.25">
      <c r="A3350" s="2" t="s">
        <v>29</v>
      </c>
      <c r="B3350" s="2" t="s">
        <v>30</v>
      </c>
      <c r="C3350" s="3">
        <v>8.09</v>
      </c>
      <c r="D3350" s="4">
        <v>123.9388</v>
      </c>
      <c r="E3350" s="4">
        <v>80.900000000000006</v>
      </c>
      <c r="F3350" s="4">
        <f t="shared" si="233"/>
        <v>43.038799999999995</v>
      </c>
      <c r="G3350" s="5">
        <f t="shared" si="234"/>
        <v>0.34725848563968664</v>
      </c>
      <c r="H3350" s="2" t="s">
        <v>2200</v>
      </c>
      <c r="I3350" s="6" t="s">
        <v>74</v>
      </c>
      <c r="J3350" s="2" t="s">
        <v>2201</v>
      </c>
      <c r="K3350" s="2" t="s">
        <v>5</v>
      </c>
      <c r="L3350" s="2" t="s">
        <v>28</v>
      </c>
      <c r="M3350" s="2" t="s">
        <v>5</v>
      </c>
      <c r="N3350" s="4">
        <v>1788.37</v>
      </c>
    </row>
    <row r="3351" spans="1:14" x14ac:dyDescent="0.25">
      <c r="A3351" s="2" t="s">
        <v>575</v>
      </c>
      <c r="B3351" s="2" t="s">
        <v>576</v>
      </c>
      <c r="C3351" s="3">
        <v>10.75</v>
      </c>
      <c r="D3351" s="4">
        <v>228.11500000000001</v>
      </c>
      <c r="E3351" s="4">
        <v>110.1875</v>
      </c>
      <c r="F3351" s="4">
        <f t="shared" si="233"/>
        <v>117.92750000000001</v>
      </c>
      <c r="G3351" s="5">
        <f t="shared" si="234"/>
        <v>0.51696512723845434</v>
      </c>
      <c r="H3351" s="2" t="s">
        <v>2200</v>
      </c>
      <c r="I3351" s="6" t="s">
        <v>74</v>
      </c>
      <c r="J3351" s="2" t="s">
        <v>2201</v>
      </c>
      <c r="K3351" s="2" t="s">
        <v>5</v>
      </c>
      <c r="L3351" s="2" t="s">
        <v>28</v>
      </c>
      <c r="M3351" s="2" t="s">
        <v>5</v>
      </c>
      <c r="N3351" s="4">
        <v>1788.37</v>
      </c>
    </row>
    <row r="3352" spans="1:14" x14ac:dyDescent="0.25">
      <c r="A3352" s="2" t="s">
        <v>118</v>
      </c>
      <c r="B3352" s="2" t="s">
        <v>119</v>
      </c>
      <c r="C3352" s="3">
        <v>11.025</v>
      </c>
      <c r="D3352" s="4">
        <v>180.369</v>
      </c>
      <c r="E3352" s="4">
        <v>82.6875</v>
      </c>
      <c r="F3352" s="4">
        <f t="shared" si="233"/>
        <v>97.6815</v>
      </c>
      <c r="G3352" s="5">
        <f t="shared" si="234"/>
        <v>0.54156479217603914</v>
      </c>
      <c r="H3352" s="2" t="s">
        <v>2200</v>
      </c>
      <c r="I3352" s="6" t="s">
        <v>74</v>
      </c>
      <c r="J3352" s="2" t="s">
        <v>2201</v>
      </c>
      <c r="K3352" s="2" t="s">
        <v>5</v>
      </c>
      <c r="L3352" s="2" t="s">
        <v>28</v>
      </c>
      <c r="M3352" s="2" t="s">
        <v>5</v>
      </c>
      <c r="N3352" s="4">
        <v>1788.37</v>
      </c>
    </row>
    <row r="3353" spans="1:14" x14ac:dyDescent="0.25">
      <c r="A3353" s="2" t="s">
        <v>613</v>
      </c>
      <c r="B3353" s="2" t="s">
        <v>614</v>
      </c>
      <c r="C3353" s="3">
        <v>11.42</v>
      </c>
      <c r="D3353" s="4">
        <v>69.8904</v>
      </c>
      <c r="E3353" s="4">
        <v>41.112000000000002</v>
      </c>
      <c r="F3353" s="4">
        <f t="shared" si="233"/>
        <v>28.778399999999998</v>
      </c>
      <c r="G3353" s="5">
        <f t="shared" si="234"/>
        <v>0.41176470588235292</v>
      </c>
      <c r="H3353" s="2" t="s">
        <v>2200</v>
      </c>
      <c r="I3353" s="6" t="s">
        <v>74</v>
      </c>
      <c r="J3353" s="2" t="s">
        <v>2201</v>
      </c>
      <c r="K3353" s="2" t="s">
        <v>5</v>
      </c>
      <c r="L3353" s="2" t="s">
        <v>28</v>
      </c>
      <c r="M3353" s="2" t="s">
        <v>5</v>
      </c>
      <c r="N3353" s="4">
        <v>1788.37</v>
      </c>
    </row>
    <row r="3354" spans="1:14" x14ac:dyDescent="0.25">
      <c r="A3354" s="2" t="s">
        <v>211</v>
      </c>
      <c r="B3354" s="2" t="s">
        <v>212</v>
      </c>
      <c r="C3354" s="3">
        <v>10.37</v>
      </c>
      <c r="D3354" s="4">
        <v>52.057400000000001</v>
      </c>
      <c r="E3354" s="4">
        <v>25.925000000000001</v>
      </c>
      <c r="F3354" s="4">
        <f t="shared" si="233"/>
        <v>26.132400000000001</v>
      </c>
      <c r="G3354" s="5">
        <f t="shared" si="234"/>
        <v>0.50199203187250996</v>
      </c>
      <c r="H3354" s="2" t="s">
        <v>2200</v>
      </c>
      <c r="I3354" s="6" t="s">
        <v>74</v>
      </c>
      <c r="J3354" s="2" t="s">
        <v>2201</v>
      </c>
      <c r="K3354" s="2" t="s">
        <v>5</v>
      </c>
      <c r="L3354" s="2" t="s">
        <v>28</v>
      </c>
      <c r="M3354" s="2" t="s">
        <v>5</v>
      </c>
      <c r="N3354" s="4">
        <v>1788.37</v>
      </c>
    </row>
    <row r="3355" spans="1:14" x14ac:dyDescent="0.25">
      <c r="A3355" s="2" t="s">
        <v>581</v>
      </c>
      <c r="B3355" s="2" t="s">
        <v>582</v>
      </c>
      <c r="C3355" s="3">
        <v>9.43</v>
      </c>
      <c r="D3355" s="4">
        <v>144.4676</v>
      </c>
      <c r="E3355" s="4">
        <v>82.040999999999997</v>
      </c>
      <c r="F3355" s="4">
        <f t="shared" si="233"/>
        <v>62.426600000000008</v>
      </c>
      <c r="G3355" s="5">
        <f t="shared" si="234"/>
        <v>0.43211488250652746</v>
      </c>
      <c r="H3355" s="2" t="s">
        <v>2200</v>
      </c>
      <c r="I3355" s="6" t="s">
        <v>74</v>
      </c>
      <c r="J3355" s="2" t="s">
        <v>2201</v>
      </c>
      <c r="K3355" s="2" t="s">
        <v>5</v>
      </c>
      <c r="L3355" s="2" t="s">
        <v>28</v>
      </c>
      <c r="M3355" s="2" t="s">
        <v>5</v>
      </c>
      <c r="N3355" s="4">
        <v>1788.37</v>
      </c>
    </row>
    <row r="3356" spans="1:14" x14ac:dyDescent="0.25">
      <c r="A3356" s="2" t="s">
        <v>692</v>
      </c>
      <c r="B3356" s="2" t="s">
        <v>693</v>
      </c>
      <c r="C3356" s="3">
        <v>10.55</v>
      </c>
      <c r="D3356" s="4">
        <v>254.255</v>
      </c>
      <c r="E3356" s="4">
        <v>131.875</v>
      </c>
      <c r="F3356" s="4">
        <f t="shared" si="233"/>
        <v>122.38</v>
      </c>
      <c r="G3356" s="5">
        <f t="shared" si="234"/>
        <v>0.48132780082987553</v>
      </c>
      <c r="H3356" s="2" t="s">
        <v>2200</v>
      </c>
      <c r="I3356" s="6" t="s">
        <v>74</v>
      </c>
      <c r="J3356" s="2" t="s">
        <v>2201</v>
      </c>
      <c r="K3356" s="2" t="s">
        <v>5</v>
      </c>
      <c r="L3356" s="2" t="s">
        <v>28</v>
      </c>
      <c r="M3356" s="2" t="s">
        <v>5</v>
      </c>
      <c r="N3356" s="4">
        <v>1788.37</v>
      </c>
    </row>
    <row r="3357" spans="1:14" x14ac:dyDescent="0.25">
      <c r="A3357" s="2" t="s">
        <v>250</v>
      </c>
      <c r="B3357" s="2" t="s">
        <v>251</v>
      </c>
      <c r="C3357" s="3">
        <v>10.445</v>
      </c>
      <c r="D3357" s="4">
        <v>154.79490000000001</v>
      </c>
      <c r="E3357" s="4">
        <v>88.782499999999999</v>
      </c>
      <c r="F3357" s="4">
        <f t="shared" si="233"/>
        <v>66.012400000000014</v>
      </c>
      <c r="G3357" s="5">
        <f t="shared" si="234"/>
        <v>0.42645074224021595</v>
      </c>
      <c r="H3357" s="2" t="s">
        <v>2200</v>
      </c>
      <c r="I3357" s="6" t="s">
        <v>74</v>
      </c>
      <c r="J3357" s="2" t="s">
        <v>2201</v>
      </c>
      <c r="K3357" s="2" t="s">
        <v>5</v>
      </c>
      <c r="L3357" s="2" t="s">
        <v>28</v>
      </c>
      <c r="M3357" s="2" t="s">
        <v>5</v>
      </c>
      <c r="N3357" s="4">
        <v>1788.37</v>
      </c>
    </row>
    <row r="3358" spans="1:14" x14ac:dyDescent="0.25">
      <c r="A3358" s="2" t="s">
        <v>591</v>
      </c>
      <c r="B3358" s="2" t="s">
        <v>592</v>
      </c>
      <c r="C3358" s="3">
        <v>6.21</v>
      </c>
      <c r="D3358" s="4">
        <v>64.770300000000006</v>
      </c>
      <c r="E3358" s="4">
        <v>36.018000000000001</v>
      </c>
      <c r="F3358" s="4">
        <f t="shared" si="233"/>
        <v>28.752300000000005</v>
      </c>
      <c r="G3358" s="5">
        <f t="shared" si="234"/>
        <v>0.44391179290508154</v>
      </c>
      <c r="H3358" s="2" t="s">
        <v>2200</v>
      </c>
      <c r="I3358" s="6" t="s">
        <v>74</v>
      </c>
      <c r="J3358" s="2" t="s">
        <v>2201</v>
      </c>
      <c r="K3358" s="2" t="s">
        <v>5</v>
      </c>
      <c r="L3358" s="2" t="s">
        <v>28</v>
      </c>
      <c r="M3358" s="2" t="s">
        <v>5</v>
      </c>
      <c r="N3358" s="4">
        <v>1788.37</v>
      </c>
    </row>
    <row r="3360" spans="1:14" x14ac:dyDescent="0.25">
      <c r="A3360" s="13" t="s">
        <v>59</v>
      </c>
      <c r="B3360" s="21"/>
      <c r="C3360" s="22">
        <f>SUM(C3344:C3359)</f>
        <v>121.74999999999999</v>
      </c>
      <c r="D3360" s="23">
        <f>SUM(D3344:D3359)</f>
        <v>1788.3669999999997</v>
      </c>
      <c r="E3360" s="23">
        <f>SUM(E3344:E3359)</f>
        <v>1035.8125</v>
      </c>
      <c r="F3360" s="23">
        <f>D3360-E3360</f>
        <v>752.55449999999973</v>
      </c>
      <c r="G3360" s="24">
        <f>IF(((D3360)=0),0,(D3360-E3360)/ D3360)</f>
        <v>0.42080540515453474</v>
      </c>
      <c r="H3360" s="21"/>
      <c r="I3360" s="21"/>
      <c r="J3360" s="21"/>
      <c r="K3360" s="21"/>
      <c r="L3360" s="21"/>
      <c r="M3360" s="21"/>
      <c r="N3360" s="21"/>
    </row>
    <row r="3362" spans="1:14" s="17" customFormat="1" ht="18.75" x14ac:dyDescent="0.3"/>
    <row r="3363" spans="1:14" s="7" customFormat="1" x14ac:dyDescent="0.25">
      <c r="A3363" s="13" t="s">
        <v>2202</v>
      </c>
      <c r="B3363" s="18" t="s">
        <v>2203</v>
      </c>
      <c r="C3363" s="19"/>
      <c r="D3363" s="20" t="s">
        <v>5</v>
      </c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</row>
    <row r="3365" spans="1:14" x14ac:dyDescent="0.25">
      <c r="A3365" s="2" t="s">
        <v>41</v>
      </c>
      <c r="B3365" s="2" t="s">
        <v>42</v>
      </c>
      <c r="C3365" s="3">
        <v>10.31</v>
      </c>
      <c r="D3365" s="4">
        <v>180.52809999999999</v>
      </c>
      <c r="E3365" s="4">
        <v>121.1425</v>
      </c>
      <c r="F3365" s="4">
        <f t="shared" ref="F3365:F3375" si="235">D3365-E3365</f>
        <v>59.385599999999997</v>
      </c>
      <c r="G3365" s="5">
        <f t="shared" ref="G3365:G3375" si="236">IF(((D3365)=0),0,(D3365-E3365)/ D3365)</f>
        <v>0.3289548829240434</v>
      </c>
      <c r="H3365" s="2" t="s">
        <v>2204</v>
      </c>
      <c r="I3365" s="6" t="s">
        <v>69</v>
      </c>
      <c r="J3365" s="2" t="s">
        <v>2205</v>
      </c>
      <c r="K3365" s="2" t="s">
        <v>5</v>
      </c>
      <c r="L3365" s="2" t="s">
        <v>28</v>
      </c>
      <c r="M3365" s="2" t="s">
        <v>5</v>
      </c>
      <c r="N3365" s="4">
        <v>1326.1</v>
      </c>
    </row>
    <row r="3366" spans="1:14" x14ac:dyDescent="0.25">
      <c r="A3366" s="2" t="s">
        <v>2206</v>
      </c>
      <c r="B3366" s="2" t="s">
        <v>2207</v>
      </c>
      <c r="C3366" s="3">
        <v>18.34</v>
      </c>
      <c r="D3366" s="4">
        <v>280.96879999999999</v>
      </c>
      <c r="E3366" s="4">
        <v>126.54600000000001</v>
      </c>
      <c r="F3366" s="4">
        <f t="shared" si="235"/>
        <v>154.4228</v>
      </c>
      <c r="G3366" s="5">
        <f t="shared" si="236"/>
        <v>0.54960835509138384</v>
      </c>
      <c r="H3366" s="2" t="s">
        <v>2208</v>
      </c>
      <c r="I3366" s="6" t="s">
        <v>32</v>
      </c>
      <c r="J3366" s="2" t="s">
        <v>2209</v>
      </c>
      <c r="K3366" s="2" t="s">
        <v>5</v>
      </c>
      <c r="L3366" s="2" t="s">
        <v>28</v>
      </c>
      <c r="M3366" s="2" t="s">
        <v>5</v>
      </c>
      <c r="N3366" s="4">
        <v>934.86</v>
      </c>
    </row>
    <row r="3367" spans="1:14" x14ac:dyDescent="0.25">
      <c r="A3367" s="2" t="s">
        <v>2206</v>
      </c>
      <c r="B3367" s="2" t="s">
        <v>2207</v>
      </c>
      <c r="C3367" s="3">
        <v>7.25</v>
      </c>
      <c r="D3367" s="4">
        <v>111.07</v>
      </c>
      <c r="E3367" s="4">
        <v>50.024999999999999</v>
      </c>
      <c r="F3367" s="4">
        <f t="shared" si="235"/>
        <v>61.044999999999995</v>
      </c>
      <c r="G3367" s="5">
        <f t="shared" si="236"/>
        <v>0.54960835509138384</v>
      </c>
      <c r="H3367" s="2" t="s">
        <v>2204</v>
      </c>
      <c r="I3367" s="6" t="s">
        <v>69</v>
      </c>
      <c r="J3367" s="2" t="s">
        <v>2205</v>
      </c>
      <c r="K3367" s="2" t="s">
        <v>5</v>
      </c>
      <c r="L3367" s="2" t="s">
        <v>28</v>
      </c>
      <c r="M3367" s="2" t="s">
        <v>5</v>
      </c>
      <c r="N3367" s="4">
        <v>1326.1</v>
      </c>
    </row>
    <row r="3368" spans="1:14" x14ac:dyDescent="0.25">
      <c r="A3368" s="2" t="s">
        <v>152</v>
      </c>
      <c r="B3368" s="2" t="s">
        <v>153</v>
      </c>
      <c r="C3368" s="3">
        <v>5.7919999999999998</v>
      </c>
      <c r="D3368" s="4">
        <v>95.104640000000003</v>
      </c>
      <c r="E3368" s="4">
        <v>39.964799999999997</v>
      </c>
      <c r="F3368" s="4">
        <f t="shared" si="235"/>
        <v>55.139840000000007</v>
      </c>
      <c r="G3368" s="5">
        <f t="shared" si="236"/>
        <v>0.57978075517661398</v>
      </c>
      <c r="H3368" s="2" t="s">
        <v>2208</v>
      </c>
      <c r="I3368" s="6" t="s">
        <v>32</v>
      </c>
      <c r="J3368" s="2" t="s">
        <v>2209</v>
      </c>
      <c r="K3368" s="2" t="s">
        <v>5</v>
      </c>
      <c r="L3368" s="2" t="s">
        <v>28</v>
      </c>
      <c r="M3368" s="2" t="s">
        <v>5</v>
      </c>
      <c r="N3368" s="4">
        <v>934.86</v>
      </c>
    </row>
    <row r="3369" spans="1:14" x14ac:dyDescent="0.25">
      <c r="A3369" s="2" t="s">
        <v>556</v>
      </c>
      <c r="B3369" s="2" t="s">
        <v>557</v>
      </c>
      <c r="C3369" s="3">
        <v>5.234</v>
      </c>
      <c r="D3369" s="4">
        <v>91.64734</v>
      </c>
      <c r="E3369" s="4">
        <v>48.414499999999997</v>
      </c>
      <c r="F3369" s="4">
        <f t="shared" si="235"/>
        <v>43.232840000000003</v>
      </c>
      <c r="G3369" s="5">
        <f t="shared" si="236"/>
        <v>0.47173043974871504</v>
      </c>
      <c r="H3369" s="2" t="s">
        <v>2204</v>
      </c>
      <c r="I3369" s="6" t="s">
        <v>69</v>
      </c>
      <c r="J3369" s="2" t="s">
        <v>2205</v>
      </c>
      <c r="K3369" s="2" t="s">
        <v>5</v>
      </c>
      <c r="L3369" s="2" t="s">
        <v>28</v>
      </c>
      <c r="M3369" s="2" t="s">
        <v>5</v>
      </c>
      <c r="N3369" s="4">
        <v>1326.1</v>
      </c>
    </row>
    <row r="3370" spans="1:14" x14ac:dyDescent="0.25">
      <c r="A3370" s="2" t="s">
        <v>215</v>
      </c>
      <c r="B3370" s="2" t="s">
        <v>216</v>
      </c>
      <c r="C3370" s="3">
        <v>19.3</v>
      </c>
      <c r="D3370" s="4">
        <v>400.28199999999998</v>
      </c>
      <c r="E3370" s="4">
        <v>294.32499999999999</v>
      </c>
      <c r="F3370" s="4">
        <f t="shared" si="235"/>
        <v>105.95699999999999</v>
      </c>
      <c r="G3370" s="5">
        <f t="shared" si="236"/>
        <v>0.26470588235294118</v>
      </c>
      <c r="H3370" s="2" t="s">
        <v>2204</v>
      </c>
      <c r="I3370" s="6" t="s">
        <v>69</v>
      </c>
      <c r="J3370" s="2" t="s">
        <v>2205</v>
      </c>
      <c r="K3370" s="2" t="s">
        <v>5</v>
      </c>
      <c r="L3370" s="2" t="s">
        <v>28</v>
      </c>
      <c r="M3370" s="2" t="s">
        <v>5</v>
      </c>
      <c r="N3370" s="4">
        <v>1326.1</v>
      </c>
    </row>
    <row r="3371" spans="1:14" x14ac:dyDescent="0.25">
      <c r="A3371" s="2" t="s">
        <v>215</v>
      </c>
      <c r="B3371" s="2" t="s">
        <v>216</v>
      </c>
      <c r="C3371" s="3">
        <v>4.2919999999999998</v>
      </c>
      <c r="D3371" s="4">
        <v>89.016080000000002</v>
      </c>
      <c r="E3371" s="4">
        <v>65.453000000000003</v>
      </c>
      <c r="F3371" s="4">
        <f t="shared" si="235"/>
        <v>23.563079999999999</v>
      </c>
      <c r="G3371" s="5">
        <f t="shared" si="236"/>
        <v>0.26470588235294118</v>
      </c>
      <c r="H3371" s="2" t="s">
        <v>2208</v>
      </c>
      <c r="I3371" s="6" t="s">
        <v>32</v>
      </c>
      <c r="J3371" s="2" t="s">
        <v>2209</v>
      </c>
      <c r="K3371" s="2" t="s">
        <v>5</v>
      </c>
      <c r="L3371" s="2" t="s">
        <v>28</v>
      </c>
      <c r="M3371" s="2" t="s">
        <v>5</v>
      </c>
      <c r="N3371" s="4">
        <v>934.86</v>
      </c>
    </row>
    <row r="3372" spans="1:14" x14ac:dyDescent="0.25">
      <c r="A3372" s="2" t="s">
        <v>2210</v>
      </c>
      <c r="B3372" s="2" t="s">
        <v>2211</v>
      </c>
      <c r="C3372" s="3">
        <v>11.42</v>
      </c>
      <c r="D3372" s="4">
        <v>325.35579999999999</v>
      </c>
      <c r="E3372" s="4">
        <v>168.44499999999999</v>
      </c>
      <c r="F3372" s="4">
        <f t="shared" si="235"/>
        <v>156.91079999999999</v>
      </c>
      <c r="G3372" s="5">
        <f t="shared" si="236"/>
        <v>0.48227448227448227</v>
      </c>
      <c r="H3372" s="2" t="s">
        <v>2208</v>
      </c>
      <c r="I3372" s="6" t="s">
        <v>32</v>
      </c>
      <c r="J3372" s="2" t="s">
        <v>2209</v>
      </c>
      <c r="K3372" s="2" t="s">
        <v>5</v>
      </c>
      <c r="L3372" s="2" t="s">
        <v>28</v>
      </c>
      <c r="M3372" s="2" t="s">
        <v>5</v>
      </c>
      <c r="N3372" s="4">
        <v>934.86</v>
      </c>
    </row>
    <row r="3373" spans="1:14" x14ac:dyDescent="0.25">
      <c r="A3373" s="2" t="s">
        <v>1296</v>
      </c>
      <c r="B3373" s="2" t="s">
        <v>1297</v>
      </c>
      <c r="C3373" s="3">
        <v>15.555</v>
      </c>
      <c r="D3373" s="4">
        <v>443.16194999999999</v>
      </c>
      <c r="E3373" s="4">
        <v>229.43625</v>
      </c>
      <c r="F3373" s="4">
        <f t="shared" si="235"/>
        <v>213.72569999999999</v>
      </c>
      <c r="G3373" s="5">
        <f t="shared" si="236"/>
        <v>0.48227448227448227</v>
      </c>
      <c r="H3373" s="2" t="s">
        <v>2204</v>
      </c>
      <c r="I3373" s="6" t="s">
        <v>69</v>
      </c>
      <c r="J3373" s="2" t="s">
        <v>2205</v>
      </c>
      <c r="K3373" s="2" t="s">
        <v>5</v>
      </c>
      <c r="L3373" s="2" t="s">
        <v>28</v>
      </c>
      <c r="M3373" s="2" t="s">
        <v>5</v>
      </c>
      <c r="N3373" s="4">
        <v>1326.1</v>
      </c>
    </row>
    <row r="3374" spans="1:14" x14ac:dyDescent="0.25">
      <c r="A3374" s="2" t="s">
        <v>124</v>
      </c>
      <c r="B3374" s="2" t="s">
        <v>125</v>
      </c>
      <c r="C3374" s="3">
        <v>4.46</v>
      </c>
      <c r="D3374" s="4">
        <v>144.41480000000001</v>
      </c>
      <c r="E3374" s="4">
        <v>97.004999999999995</v>
      </c>
      <c r="F3374" s="4">
        <f t="shared" si="235"/>
        <v>47.409800000000018</v>
      </c>
      <c r="G3374" s="5">
        <f t="shared" si="236"/>
        <v>0.32828906732550966</v>
      </c>
      <c r="H3374" s="2" t="s">
        <v>2208</v>
      </c>
      <c r="I3374" s="6" t="s">
        <v>32</v>
      </c>
      <c r="J3374" s="2" t="s">
        <v>2209</v>
      </c>
      <c r="K3374" s="2" t="s">
        <v>5</v>
      </c>
      <c r="L3374" s="2" t="s">
        <v>28</v>
      </c>
      <c r="M3374" s="2" t="s">
        <v>5</v>
      </c>
      <c r="N3374" s="4">
        <v>934.86</v>
      </c>
    </row>
    <row r="3375" spans="1:14" x14ac:dyDescent="0.25">
      <c r="A3375" s="2" t="s">
        <v>124</v>
      </c>
      <c r="B3375" s="2" t="s">
        <v>125</v>
      </c>
      <c r="C3375" s="3">
        <v>3.07</v>
      </c>
      <c r="D3375" s="4">
        <v>99.406599999999997</v>
      </c>
      <c r="E3375" s="4">
        <v>66.772499999999994</v>
      </c>
      <c r="F3375" s="4">
        <f t="shared" si="235"/>
        <v>32.634100000000004</v>
      </c>
      <c r="G3375" s="5">
        <f t="shared" si="236"/>
        <v>0.32828906732550961</v>
      </c>
      <c r="H3375" s="2" t="s">
        <v>2204</v>
      </c>
      <c r="I3375" s="6" t="s">
        <v>69</v>
      </c>
      <c r="J3375" s="2" t="s">
        <v>2205</v>
      </c>
      <c r="K3375" s="2" t="s">
        <v>5</v>
      </c>
      <c r="L3375" s="2" t="s">
        <v>28</v>
      </c>
      <c r="M3375" s="2" t="s">
        <v>5</v>
      </c>
      <c r="N3375" s="4">
        <v>1326.1</v>
      </c>
    </row>
    <row r="3377" spans="1:14" x14ac:dyDescent="0.25">
      <c r="A3377" s="13" t="s">
        <v>59</v>
      </c>
      <c r="B3377" s="21"/>
      <c r="C3377" s="22">
        <f>SUM(C3362:C3376)</f>
        <v>105.02299999999998</v>
      </c>
      <c r="D3377" s="23">
        <f>SUM(D3362:D3376)</f>
        <v>2260.9561099999996</v>
      </c>
      <c r="E3377" s="23">
        <f>SUM(E3362:E3376)</f>
        <v>1307.5295499999997</v>
      </c>
      <c r="F3377" s="23">
        <f>D3377-E3377</f>
        <v>953.42655999999988</v>
      </c>
      <c r="G3377" s="24">
        <f>IF(((D3377)=0),0,(D3377-E3377)/ D3377)</f>
        <v>0.42169175942119463</v>
      </c>
      <c r="H3377" s="21"/>
      <c r="I3377" s="21"/>
      <c r="J3377" s="21"/>
      <c r="K3377" s="21"/>
      <c r="L3377" s="21"/>
      <c r="M3377" s="21"/>
      <c r="N3377" s="21"/>
    </row>
    <row r="3379" spans="1:14" s="17" customFormat="1" ht="18.75" x14ac:dyDescent="0.3"/>
    <row r="3380" spans="1:14" s="7" customFormat="1" x14ac:dyDescent="0.25">
      <c r="A3380" s="13" t="s">
        <v>2212</v>
      </c>
      <c r="B3380" s="18" t="s">
        <v>2213</v>
      </c>
      <c r="C3380" s="19"/>
      <c r="D3380" s="20" t="s">
        <v>5</v>
      </c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</row>
    <row r="3382" spans="1:14" x14ac:dyDescent="0.25">
      <c r="A3382" s="2" t="s">
        <v>29</v>
      </c>
      <c r="B3382" s="2" t="s">
        <v>30</v>
      </c>
      <c r="C3382" s="3">
        <v>4.1340000000000003</v>
      </c>
      <c r="D3382" s="4">
        <v>63.332880000000003</v>
      </c>
      <c r="E3382" s="4">
        <v>41.34</v>
      </c>
      <c r="F3382" s="4">
        <f t="shared" ref="F3382:F3388" si="237">D3382-E3382</f>
        <v>21.99288</v>
      </c>
      <c r="G3382" s="5">
        <f t="shared" ref="G3382:G3388" si="238">IF(((D3382)=0),0,(D3382-E3382)/ D3382)</f>
        <v>0.34725848563968664</v>
      </c>
      <c r="H3382" s="2" t="s">
        <v>2214</v>
      </c>
      <c r="I3382" s="6" t="s">
        <v>25</v>
      </c>
      <c r="J3382" s="2" t="s">
        <v>2215</v>
      </c>
      <c r="K3382" s="2" t="s">
        <v>5</v>
      </c>
      <c r="L3382" s="2" t="s">
        <v>28</v>
      </c>
      <c r="M3382" s="2" t="s">
        <v>5</v>
      </c>
      <c r="N3382" s="4">
        <v>2012.34</v>
      </c>
    </row>
    <row r="3383" spans="1:14" x14ac:dyDescent="0.25">
      <c r="A3383" s="2" t="s">
        <v>150</v>
      </c>
      <c r="B3383" s="2" t="s">
        <v>151</v>
      </c>
      <c r="C3383" s="3">
        <v>4.1900000000000004</v>
      </c>
      <c r="D3383" s="4">
        <v>70.852900000000005</v>
      </c>
      <c r="E3383" s="4">
        <v>41.061999999999998</v>
      </c>
      <c r="F3383" s="4">
        <f t="shared" si="237"/>
        <v>29.790900000000008</v>
      </c>
      <c r="G3383" s="5">
        <f t="shared" si="238"/>
        <v>0.42046126552335905</v>
      </c>
      <c r="H3383" s="2" t="s">
        <v>2214</v>
      </c>
      <c r="I3383" s="6" t="s">
        <v>25</v>
      </c>
      <c r="J3383" s="2" t="s">
        <v>2215</v>
      </c>
      <c r="K3383" s="2" t="s">
        <v>5</v>
      </c>
      <c r="L3383" s="2" t="s">
        <v>28</v>
      </c>
      <c r="M3383" s="2" t="s">
        <v>5</v>
      </c>
      <c r="N3383" s="4">
        <v>2012.34</v>
      </c>
    </row>
    <row r="3384" spans="1:14" x14ac:dyDescent="0.25">
      <c r="A3384" s="2" t="s">
        <v>118</v>
      </c>
      <c r="B3384" s="2" t="s">
        <v>119</v>
      </c>
      <c r="C3384" s="3">
        <v>5.62</v>
      </c>
      <c r="D3384" s="4">
        <v>91.943200000000004</v>
      </c>
      <c r="E3384" s="4">
        <v>42.15</v>
      </c>
      <c r="F3384" s="4">
        <f t="shared" si="237"/>
        <v>49.793200000000006</v>
      </c>
      <c r="G3384" s="5">
        <f t="shared" si="238"/>
        <v>0.54156479217603914</v>
      </c>
      <c r="H3384" s="2" t="s">
        <v>2214</v>
      </c>
      <c r="I3384" s="6" t="s">
        <v>25</v>
      </c>
      <c r="J3384" s="2" t="s">
        <v>2215</v>
      </c>
      <c r="K3384" s="2" t="s">
        <v>5</v>
      </c>
      <c r="L3384" s="2" t="s">
        <v>28</v>
      </c>
      <c r="M3384" s="2" t="s">
        <v>5</v>
      </c>
      <c r="N3384" s="4">
        <v>2012.34</v>
      </c>
    </row>
    <row r="3385" spans="1:14" x14ac:dyDescent="0.25">
      <c r="A3385" s="2" t="s">
        <v>632</v>
      </c>
      <c r="B3385" s="2" t="s">
        <v>633</v>
      </c>
      <c r="C3385" s="3">
        <v>1.99</v>
      </c>
      <c r="D3385" s="4">
        <v>32.715600000000002</v>
      </c>
      <c r="E3385" s="4">
        <v>24.675999999999998</v>
      </c>
      <c r="F3385" s="4">
        <f t="shared" si="237"/>
        <v>8.0396000000000036</v>
      </c>
      <c r="G3385" s="5">
        <f t="shared" si="238"/>
        <v>0.24574209245742101</v>
      </c>
      <c r="H3385" s="2" t="s">
        <v>2214</v>
      </c>
      <c r="I3385" s="6" t="s">
        <v>25</v>
      </c>
      <c r="J3385" s="2" t="s">
        <v>2215</v>
      </c>
      <c r="K3385" s="2" t="s">
        <v>5</v>
      </c>
      <c r="L3385" s="2" t="s">
        <v>28</v>
      </c>
      <c r="M3385" s="2" t="s">
        <v>5</v>
      </c>
      <c r="N3385" s="4">
        <v>2012.34</v>
      </c>
    </row>
    <row r="3386" spans="1:14" x14ac:dyDescent="0.25">
      <c r="A3386" s="2" t="s">
        <v>122</v>
      </c>
      <c r="B3386" s="2" t="s">
        <v>123</v>
      </c>
      <c r="C3386" s="3">
        <v>5.63</v>
      </c>
      <c r="D3386" s="4">
        <v>64.013099999999994</v>
      </c>
      <c r="E3386" s="4">
        <v>30.965</v>
      </c>
      <c r="F3386" s="4">
        <f t="shared" si="237"/>
        <v>33.048099999999991</v>
      </c>
      <c r="G3386" s="5">
        <f t="shared" si="238"/>
        <v>0.51627088830255052</v>
      </c>
      <c r="H3386" s="2" t="s">
        <v>2214</v>
      </c>
      <c r="I3386" s="6" t="s">
        <v>25</v>
      </c>
      <c r="J3386" s="2" t="s">
        <v>2215</v>
      </c>
      <c r="K3386" s="2" t="s">
        <v>5</v>
      </c>
      <c r="L3386" s="2" t="s">
        <v>28</v>
      </c>
      <c r="M3386" s="2" t="s">
        <v>5</v>
      </c>
      <c r="N3386" s="4">
        <v>2012.34</v>
      </c>
    </row>
    <row r="3387" spans="1:14" x14ac:dyDescent="0.25">
      <c r="A3387" s="2" t="s">
        <v>646</v>
      </c>
      <c r="B3387" s="2" t="s">
        <v>647</v>
      </c>
      <c r="C3387" s="3">
        <v>38.83</v>
      </c>
      <c r="D3387" s="4">
        <v>1586.2055</v>
      </c>
      <c r="E3387" s="4">
        <v>1203.73</v>
      </c>
      <c r="F3387" s="4">
        <f t="shared" si="237"/>
        <v>382.47550000000001</v>
      </c>
      <c r="G3387" s="5">
        <f t="shared" si="238"/>
        <v>0.24112607099143207</v>
      </c>
      <c r="H3387" s="2" t="s">
        <v>2214</v>
      </c>
      <c r="I3387" s="6" t="s">
        <v>25</v>
      </c>
      <c r="J3387" s="2" t="s">
        <v>2215</v>
      </c>
      <c r="K3387" s="2" t="s">
        <v>5</v>
      </c>
      <c r="L3387" s="2" t="s">
        <v>28</v>
      </c>
      <c r="M3387" s="2" t="s">
        <v>5</v>
      </c>
      <c r="N3387" s="4">
        <v>2012.34</v>
      </c>
    </row>
    <row r="3388" spans="1:14" x14ac:dyDescent="0.25">
      <c r="A3388" s="2" t="s">
        <v>790</v>
      </c>
      <c r="B3388" s="2" t="s">
        <v>791</v>
      </c>
      <c r="C3388" s="3">
        <v>6.29</v>
      </c>
      <c r="D3388" s="4">
        <v>103.2818</v>
      </c>
      <c r="E3388" s="4">
        <v>78.625</v>
      </c>
      <c r="F3388" s="4">
        <f t="shared" si="237"/>
        <v>24.656800000000004</v>
      </c>
      <c r="G3388" s="5">
        <f t="shared" si="238"/>
        <v>0.23873325213154692</v>
      </c>
      <c r="H3388" s="2" t="s">
        <v>2214</v>
      </c>
      <c r="I3388" s="6" t="s">
        <v>25</v>
      </c>
      <c r="J3388" s="2" t="s">
        <v>2215</v>
      </c>
      <c r="K3388" s="2" t="s">
        <v>5</v>
      </c>
      <c r="L3388" s="2" t="s">
        <v>28</v>
      </c>
      <c r="M3388" s="2" t="s">
        <v>5</v>
      </c>
      <c r="N3388" s="4">
        <v>2012.34</v>
      </c>
    </row>
    <row r="3390" spans="1:14" x14ac:dyDescent="0.25">
      <c r="A3390" s="13" t="s">
        <v>59</v>
      </c>
      <c r="B3390" s="21"/>
      <c r="C3390" s="22">
        <f>SUM(C3379:C3389)</f>
        <v>66.684000000000012</v>
      </c>
      <c r="D3390" s="23">
        <f>SUM(D3379:D3389)</f>
        <v>2012.3449800000001</v>
      </c>
      <c r="E3390" s="23">
        <f>SUM(E3379:E3389)</f>
        <v>1462.548</v>
      </c>
      <c r="F3390" s="23">
        <f>D3390-E3390</f>
        <v>549.79698000000008</v>
      </c>
      <c r="G3390" s="24">
        <f>IF(((D3390)=0),0,(D3390-E3390)/ D3390)</f>
        <v>0.27321209109980737</v>
      </c>
      <c r="H3390" s="21"/>
      <c r="I3390" s="21"/>
      <c r="J3390" s="21"/>
      <c r="K3390" s="21"/>
      <c r="L3390" s="21"/>
      <c r="M3390" s="21"/>
      <c r="N3390" s="21"/>
    </row>
    <row r="3392" spans="1:14" s="17" customFormat="1" ht="18.75" x14ac:dyDescent="0.3"/>
    <row r="3393" spans="1:14" s="7" customFormat="1" x14ac:dyDescent="0.25">
      <c r="A3393" s="13" t="s">
        <v>2216</v>
      </c>
      <c r="B3393" s="18" t="s">
        <v>2217</v>
      </c>
      <c r="C3393" s="19"/>
      <c r="D3393" s="20" t="s">
        <v>5</v>
      </c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</row>
    <row r="3395" spans="1:14" x14ac:dyDescent="0.25">
      <c r="A3395" s="2" t="s">
        <v>350</v>
      </c>
      <c r="B3395" s="2" t="s">
        <v>351</v>
      </c>
      <c r="C3395" s="3">
        <v>12</v>
      </c>
      <c r="D3395" s="4">
        <v>133.68</v>
      </c>
      <c r="E3395" s="4">
        <v>86.4</v>
      </c>
      <c r="F3395" s="4">
        <f t="shared" ref="F3395:F3432" si="239">D3395-E3395</f>
        <v>47.28</v>
      </c>
      <c r="G3395" s="5">
        <f t="shared" ref="G3395:G3432" si="240">IF(((D3395)=0),0,(D3395-E3395)/ D3395)</f>
        <v>0.35368043087971274</v>
      </c>
      <c r="H3395" s="2" t="s">
        <v>2218</v>
      </c>
      <c r="I3395" s="6" t="s">
        <v>32</v>
      </c>
      <c r="J3395" s="2" t="s">
        <v>2219</v>
      </c>
      <c r="K3395" s="2" t="s">
        <v>2220</v>
      </c>
      <c r="L3395" s="2" t="s">
        <v>28</v>
      </c>
      <c r="M3395" s="2" t="s">
        <v>5</v>
      </c>
      <c r="N3395" s="4">
        <v>10462.09</v>
      </c>
    </row>
    <row r="3396" spans="1:14" x14ac:dyDescent="0.25">
      <c r="A3396" s="2" t="s">
        <v>355</v>
      </c>
      <c r="B3396" s="2" t="s">
        <v>356</v>
      </c>
      <c r="C3396" s="3">
        <v>75</v>
      </c>
      <c r="D3396" s="4">
        <v>1071.75</v>
      </c>
      <c r="E3396" s="4">
        <v>750</v>
      </c>
      <c r="F3396" s="4">
        <f t="shared" si="239"/>
        <v>321.75</v>
      </c>
      <c r="G3396" s="5">
        <f t="shared" si="240"/>
        <v>0.30020993701889431</v>
      </c>
      <c r="H3396" s="2" t="s">
        <v>2218</v>
      </c>
      <c r="I3396" s="6" t="s">
        <v>32</v>
      </c>
      <c r="J3396" s="2" t="s">
        <v>2219</v>
      </c>
      <c r="K3396" s="2" t="s">
        <v>2220</v>
      </c>
      <c r="L3396" s="2" t="s">
        <v>28</v>
      </c>
      <c r="M3396" s="2" t="s">
        <v>5</v>
      </c>
      <c r="N3396" s="4">
        <v>10462.09</v>
      </c>
    </row>
    <row r="3397" spans="1:14" x14ac:dyDescent="0.25">
      <c r="A3397" s="2" t="s">
        <v>355</v>
      </c>
      <c r="B3397" s="2" t="s">
        <v>356</v>
      </c>
      <c r="C3397" s="3">
        <v>75</v>
      </c>
      <c r="D3397" s="4">
        <v>1071.75</v>
      </c>
      <c r="E3397" s="4">
        <v>750</v>
      </c>
      <c r="F3397" s="4">
        <f t="shared" si="239"/>
        <v>321.75</v>
      </c>
      <c r="G3397" s="5">
        <f t="shared" si="240"/>
        <v>0.30020993701889431</v>
      </c>
      <c r="H3397" s="2" t="s">
        <v>2221</v>
      </c>
      <c r="I3397" s="6" t="s">
        <v>69</v>
      </c>
      <c r="J3397" s="2" t="s">
        <v>2222</v>
      </c>
      <c r="K3397" s="2" t="s">
        <v>2223</v>
      </c>
      <c r="L3397" s="2" t="s">
        <v>28</v>
      </c>
      <c r="M3397" s="2" t="s">
        <v>5</v>
      </c>
      <c r="N3397" s="4">
        <v>11982.38</v>
      </c>
    </row>
    <row r="3398" spans="1:14" x14ac:dyDescent="0.25">
      <c r="A3398" s="2" t="s">
        <v>360</v>
      </c>
      <c r="B3398" s="2" t="s">
        <v>361</v>
      </c>
      <c r="C3398" s="3">
        <v>25.36</v>
      </c>
      <c r="D3398" s="4">
        <v>418.18639999999999</v>
      </c>
      <c r="E3398" s="4">
        <v>299.24799999999999</v>
      </c>
      <c r="F3398" s="4">
        <f t="shared" si="239"/>
        <v>118.9384</v>
      </c>
      <c r="G3398" s="5">
        <f t="shared" si="240"/>
        <v>0.28441479684657367</v>
      </c>
      <c r="H3398" s="2" t="s">
        <v>2221</v>
      </c>
      <c r="I3398" s="6" t="s">
        <v>69</v>
      </c>
      <c r="J3398" s="2" t="s">
        <v>2222</v>
      </c>
      <c r="K3398" s="2" t="s">
        <v>2223</v>
      </c>
      <c r="L3398" s="2" t="s">
        <v>28</v>
      </c>
      <c r="M3398" s="2" t="s">
        <v>5</v>
      </c>
      <c r="N3398" s="4">
        <v>11982.38</v>
      </c>
    </row>
    <row r="3399" spans="1:14" x14ac:dyDescent="0.25">
      <c r="A3399" s="2" t="s">
        <v>360</v>
      </c>
      <c r="B3399" s="2" t="s">
        <v>361</v>
      </c>
      <c r="C3399" s="3">
        <v>30.59</v>
      </c>
      <c r="D3399" s="4">
        <v>504.42910000000001</v>
      </c>
      <c r="E3399" s="4">
        <v>360.96199999999999</v>
      </c>
      <c r="F3399" s="4">
        <f t="shared" si="239"/>
        <v>143.46710000000002</v>
      </c>
      <c r="G3399" s="5">
        <f t="shared" si="240"/>
        <v>0.28441479684657373</v>
      </c>
      <c r="H3399" s="2" t="s">
        <v>2218</v>
      </c>
      <c r="I3399" s="6" t="s">
        <v>32</v>
      </c>
      <c r="J3399" s="2" t="s">
        <v>2219</v>
      </c>
      <c r="K3399" s="2" t="s">
        <v>2220</v>
      </c>
      <c r="L3399" s="2" t="s">
        <v>28</v>
      </c>
      <c r="M3399" s="2" t="s">
        <v>5</v>
      </c>
      <c r="N3399" s="4">
        <v>10462.09</v>
      </c>
    </row>
    <row r="3400" spans="1:14" x14ac:dyDescent="0.25">
      <c r="A3400" s="2" t="s">
        <v>466</v>
      </c>
      <c r="B3400" s="2" t="s">
        <v>467</v>
      </c>
      <c r="C3400" s="3">
        <v>59.37</v>
      </c>
      <c r="D3400" s="4">
        <v>848.39729999999997</v>
      </c>
      <c r="E3400" s="4">
        <v>653.07000000000005</v>
      </c>
      <c r="F3400" s="4">
        <f t="shared" si="239"/>
        <v>195.32729999999992</v>
      </c>
      <c r="G3400" s="5">
        <f t="shared" si="240"/>
        <v>0.23023093072078368</v>
      </c>
      <c r="H3400" s="2" t="s">
        <v>2221</v>
      </c>
      <c r="I3400" s="6" t="s">
        <v>69</v>
      </c>
      <c r="J3400" s="2" t="s">
        <v>2222</v>
      </c>
      <c r="K3400" s="2" t="s">
        <v>2223</v>
      </c>
      <c r="L3400" s="2" t="s">
        <v>28</v>
      </c>
      <c r="M3400" s="2" t="s">
        <v>5</v>
      </c>
      <c r="N3400" s="4">
        <v>11982.38</v>
      </c>
    </row>
    <row r="3401" spans="1:14" x14ac:dyDescent="0.25">
      <c r="A3401" s="2" t="s">
        <v>466</v>
      </c>
      <c r="B3401" s="2" t="s">
        <v>467</v>
      </c>
      <c r="C3401" s="3">
        <v>80.11</v>
      </c>
      <c r="D3401" s="4">
        <v>1144.7719</v>
      </c>
      <c r="E3401" s="4">
        <v>881.21</v>
      </c>
      <c r="F3401" s="4">
        <f t="shared" si="239"/>
        <v>263.56189999999992</v>
      </c>
      <c r="G3401" s="5">
        <f t="shared" si="240"/>
        <v>0.23023093072078371</v>
      </c>
      <c r="H3401" s="2" t="s">
        <v>2218</v>
      </c>
      <c r="I3401" s="6" t="s">
        <v>32</v>
      </c>
      <c r="J3401" s="2" t="s">
        <v>2219</v>
      </c>
      <c r="K3401" s="2" t="s">
        <v>2220</v>
      </c>
      <c r="L3401" s="2" t="s">
        <v>28</v>
      </c>
      <c r="M3401" s="2" t="s">
        <v>5</v>
      </c>
      <c r="N3401" s="4">
        <v>10462.09</v>
      </c>
    </row>
    <row r="3402" spans="1:14" x14ac:dyDescent="0.25">
      <c r="A3402" s="2" t="s">
        <v>368</v>
      </c>
      <c r="B3402" s="2" t="s">
        <v>369</v>
      </c>
      <c r="C3402" s="3">
        <v>30.69</v>
      </c>
      <c r="D3402" s="4">
        <v>506.07810000000001</v>
      </c>
      <c r="E3402" s="4">
        <v>383.625</v>
      </c>
      <c r="F3402" s="4">
        <f t="shared" si="239"/>
        <v>122.45310000000001</v>
      </c>
      <c r="G3402" s="5">
        <f t="shared" si="240"/>
        <v>0.2419648271679806</v>
      </c>
      <c r="H3402" s="2" t="s">
        <v>2221</v>
      </c>
      <c r="I3402" s="6" t="s">
        <v>69</v>
      </c>
      <c r="J3402" s="2" t="s">
        <v>2222</v>
      </c>
      <c r="K3402" s="2" t="s">
        <v>2223</v>
      </c>
      <c r="L3402" s="2" t="s">
        <v>28</v>
      </c>
      <c r="M3402" s="2" t="s">
        <v>5</v>
      </c>
      <c r="N3402" s="4">
        <v>11982.38</v>
      </c>
    </row>
    <row r="3403" spans="1:14" x14ac:dyDescent="0.25">
      <c r="A3403" s="2" t="s">
        <v>372</v>
      </c>
      <c r="B3403" s="2" t="s">
        <v>373</v>
      </c>
      <c r="C3403" s="3">
        <v>15.78</v>
      </c>
      <c r="D3403" s="4">
        <v>208.9272</v>
      </c>
      <c r="E3403" s="4">
        <v>142.02000000000001</v>
      </c>
      <c r="F3403" s="4">
        <f t="shared" si="239"/>
        <v>66.907199999999989</v>
      </c>
      <c r="G3403" s="5">
        <f t="shared" si="240"/>
        <v>0.32024169184290024</v>
      </c>
      <c r="H3403" s="2" t="s">
        <v>2221</v>
      </c>
      <c r="I3403" s="6" t="s">
        <v>69</v>
      </c>
      <c r="J3403" s="2" t="s">
        <v>2222</v>
      </c>
      <c r="K3403" s="2" t="s">
        <v>2223</v>
      </c>
      <c r="L3403" s="2" t="s">
        <v>28</v>
      </c>
      <c r="M3403" s="2" t="s">
        <v>5</v>
      </c>
      <c r="N3403" s="4">
        <v>11982.38</v>
      </c>
    </row>
    <row r="3404" spans="1:14" x14ac:dyDescent="0.25">
      <c r="A3404" s="2" t="s">
        <v>372</v>
      </c>
      <c r="B3404" s="2" t="s">
        <v>373</v>
      </c>
      <c r="C3404" s="3">
        <v>44.5</v>
      </c>
      <c r="D3404" s="4">
        <v>589.17999999999995</v>
      </c>
      <c r="E3404" s="4">
        <v>400.5</v>
      </c>
      <c r="F3404" s="4">
        <f t="shared" si="239"/>
        <v>188.67999999999995</v>
      </c>
      <c r="G3404" s="5">
        <f t="shared" si="240"/>
        <v>0.32024169184290024</v>
      </c>
      <c r="H3404" s="2" t="s">
        <v>2218</v>
      </c>
      <c r="I3404" s="6" t="s">
        <v>32</v>
      </c>
      <c r="J3404" s="2" t="s">
        <v>2219</v>
      </c>
      <c r="K3404" s="2" t="s">
        <v>2220</v>
      </c>
      <c r="L3404" s="2" t="s">
        <v>28</v>
      </c>
      <c r="M3404" s="2" t="s">
        <v>5</v>
      </c>
      <c r="N3404" s="4">
        <v>10462.09</v>
      </c>
    </row>
    <row r="3405" spans="1:14" x14ac:dyDescent="0.25">
      <c r="A3405" s="2" t="s">
        <v>472</v>
      </c>
      <c r="B3405" s="2" t="s">
        <v>473</v>
      </c>
      <c r="C3405" s="3">
        <v>43.994999999999997</v>
      </c>
      <c r="D3405" s="4">
        <v>355.91955000000002</v>
      </c>
      <c r="E3405" s="4">
        <v>224.37450000000001</v>
      </c>
      <c r="F3405" s="4">
        <f t="shared" si="239"/>
        <v>131.54505</v>
      </c>
      <c r="G3405" s="5">
        <f t="shared" si="240"/>
        <v>0.36959208899876389</v>
      </c>
      <c r="H3405" s="2" t="s">
        <v>2218</v>
      </c>
      <c r="I3405" s="6" t="s">
        <v>32</v>
      </c>
      <c r="J3405" s="2" t="s">
        <v>2219</v>
      </c>
      <c r="K3405" s="2" t="s">
        <v>2220</v>
      </c>
      <c r="L3405" s="2" t="s">
        <v>28</v>
      </c>
      <c r="M3405" s="2" t="s">
        <v>5</v>
      </c>
      <c r="N3405" s="4">
        <v>10462.09</v>
      </c>
    </row>
    <row r="3406" spans="1:14" x14ac:dyDescent="0.25">
      <c r="A3406" s="2" t="s">
        <v>472</v>
      </c>
      <c r="B3406" s="2" t="s">
        <v>473</v>
      </c>
      <c r="C3406" s="3">
        <v>111.88</v>
      </c>
      <c r="D3406" s="4">
        <v>905.10919999999999</v>
      </c>
      <c r="E3406" s="4">
        <v>570.58799999999997</v>
      </c>
      <c r="F3406" s="4">
        <f t="shared" si="239"/>
        <v>334.52120000000002</v>
      </c>
      <c r="G3406" s="5">
        <f t="shared" si="240"/>
        <v>0.36959208899876395</v>
      </c>
      <c r="H3406" s="2" t="s">
        <v>2221</v>
      </c>
      <c r="I3406" s="6" t="s">
        <v>69</v>
      </c>
      <c r="J3406" s="2" t="s">
        <v>2222</v>
      </c>
      <c r="K3406" s="2" t="s">
        <v>2223</v>
      </c>
      <c r="L3406" s="2" t="s">
        <v>28</v>
      </c>
      <c r="M3406" s="2" t="s">
        <v>5</v>
      </c>
      <c r="N3406" s="4">
        <v>11982.38</v>
      </c>
    </row>
    <row r="3407" spans="1:14" x14ac:dyDescent="0.25">
      <c r="A3407" s="2" t="s">
        <v>440</v>
      </c>
      <c r="B3407" s="2" t="s">
        <v>441</v>
      </c>
      <c r="C3407" s="3">
        <v>20.25</v>
      </c>
      <c r="D3407" s="4">
        <v>189.33750000000001</v>
      </c>
      <c r="E3407" s="4">
        <v>202.5</v>
      </c>
      <c r="F3407" s="4">
        <f t="shared" si="239"/>
        <v>-13.162499999999994</v>
      </c>
      <c r="G3407" s="5">
        <f t="shared" si="240"/>
        <v>-6.9518716577540079E-2</v>
      </c>
      <c r="H3407" s="2" t="s">
        <v>2218</v>
      </c>
      <c r="I3407" s="6" t="s">
        <v>32</v>
      </c>
      <c r="J3407" s="2" t="s">
        <v>2219</v>
      </c>
      <c r="K3407" s="2" t="s">
        <v>2220</v>
      </c>
      <c r="L3407" s="2" t="s">
        <v>28</v>
      </c>
      <c r="M3407" s="2" t="s">
        <v>5</v>
      </c>
      <c r="N3407" s="4">
        <v>10462.09</v>
      </c>
    </row>
    <row r="3408" spans="1:14" x14ac:dyDescent="0.25">
      <c r="A3408" s="2" t="s">
        <v>474</v>
      </c>
      <c r="B3408" s="2" t="s">
        <v>475</v>
      </c>
      <c r="C3408" s="3">
        <v>60.23</v>
      </c>
      <c r="D3408" s="4">
        <v>328.85579999999999</v>
      </c>
      <c r="E3408" s="4">
        <v>216.828</v>
      </c>
      <c r="F3408" s="4">
        <f t="shared" si="239"/>
        <v>112.02779999999998</v>
      </c>
      <c r="G3408" s="5">
        <f t="shared" si="240"/>
        <v>0.34065934065934061</v>
      </c>
      <c r="H3408" s="2" t="s">
        <v>2221</v>
      </c>
      <c r="I3408" s="6" t="s">
        <v>69</v>
      </c>
      <c r="J3408" s="2" t="s">
        <v>2222</v>
      </c>
      <c r="K3408" s="2" t="s">
        <v>2223</v>
      </c>
      <c r="L3408" s="2" t="s">
        <v>28</v>
      </c>
      <c r="M3408" s="2" t="s">
        <v>5</v>
      </c>
      <c r="N3408" s="4">
        <v>11982.38</v>
      </c>
    </row>
    <row r="3409" spans="1:14" x14ac:dyDescent="0.25">
      <c r="A3409" s="2" t="s">
        <v>376</v>
      </c>
      <c r="B3409" s="2" t="s">
        <v>377</v>
      </c>
      <c r="C3409" s="3">
        <v>18.914999999999999</v>
      </c>
      <c r="D3409" s="4">
        <v>228.4932</v>
      </c>
      <c r="E3409" s="4">
        <v>138.0795</v>
      </c>
      <c r="F3409" s="4">
        <f t="shared" si="239"/>
        <v>90.413700000000006</v>
      </c>
      <c r="G3409" s="5">
        <f t="shared" si="240"/>
        <v>0.39569536423841062</v>
      </c>
      <c r="H3409" s="2" t="s">
        <v>2218</v>
      </c>
      <c r="I3409" s="6" t="s">
        <v>32</v>
      </c>
      <c r="J3409" s="2" t="s">
        <v>2219</v>
      </c>
      <c r="K3409" s="2" t="s">
        <v>2220</v>
      </c>
      <c r="L3409" s="2" t="s">
        <v>28</v>
      </c>
      <c r="M3409" s="2" t="s">
        <v>5</v>
      </c>
      <c r="N3409" s="4">
        <v>10462.09</v>
      </c>
    </row>
    <row r="3410" spans="1:14" x14ac:dyDescent="0.25">
      <c r="A3410" s="2" t="s">
        <v>378</v>
      </c>
      <c r="B3410" s="2" t="s">
        <v>379</v>
      </c>
      <c r="C3410" s="3">
        <v>100.81</v>
      </c>
      <c r="D3410" s="4">
        <v>1217.7847999999999</v>
      </c>
      <c r="E3410" s="4">
        <v>735.91300000000001</v>
      </c>
      <c r="F3410" s="4">
        <f t="shared" si="239"/>
        <v>481.87179999999989</v>
      </c>
      <c r="G3410" s="5">
        <f t="shared" si="240"/>
        <v>0.39569536423841056</v>
      </c>
      <c r="H3410" s="2" t="s">
        <v>2221</v>
      </c>
      <c r="I3410" s="6" t="s">
        <v>69</v>
      </c>
      <c r="J3410" s="2" t="s">
        <v>2222</v>
      </c>
      <c r="K3410" s="2" t="s">
        <v>2223</v>
      </c>
      <c r="L3410" s="2" t="s">
        <v>28</v>
      </c>
      <c r="M3410" s="2" t="s">
        <v>5</v>
      </c>
      <c r="N3410" s="4">
        <v>11982.38</v>
      </c>
    </row>
    <row r="3411" spans="1:14" x14ac:dyDescent="0.25">
      <c r="A3411" s="2" t="s">
        <v>378</v>
      </c>
      <c r="B3411" s="2" t="s">
        <v>379</v>
      </c>
      <c r="C3411" s="3">
        <v>95.55</v>
      </c>
      <c r="D3411" s="4">
        <v>1154.2439999999999</v>
      </c>
      <c r="E3411" s="4">
        <v>697.51499999999999</v>
      </c>
      <c r="F3411" s="4">
        <f t="shared" si="239"/>
        <v>456.72899999999993</v>
      </c>
      <c r="G3411" s="5">
        <f t="shared" si="240"/>
        <v>0.39569536423841056</v>
      </c>
      <c r="H3411" s="2" t="s">
        <v>2218</v>
      </c>
      <c r="I3411" s="6" t="s">
        <v>32</v>
      </c>
      <c r="J3411" s="2" t="s">
        <v>2219</v>
      </c>
      <c r="K3411" s="2" t="s">
        <v>2220</v>
      </c>
      <c r="L3411" s="2" t="s">
        <v>28</v>
      </c>
      <c r="M3411" s="2" t="s">
        <v>5</v>
      </c>
      <c r="N3411" s="4">
        <v>10462.09</v>
      </c>
    </row>
    <row r="3412" spans="1:14" x14ac:dyDescent="0.25">
      <c r="A3412" s="2" t="s">
        <v>384</v>
      </c>
      <c r="B3412" s="2" t="s">
        <v>385</v>
      </c>
      <c r="C3412" s="3">
        <v>57.35</v>
      </c>
      <c r="D3412" s="4">
        <v>250.04599999999999</v>
      </c>
      <c r="E3412" s="4">
        <v>143.375</v>
      </c>
      <c r="F3412" s="4">
        <f t="shared" si="239"/>
        <v>106.67099999999999</v>
      </c>
      <c r="G3412" s="5">
        <f t="shared" si="240"/>
        <v>0.42660550458715596</v>
      </c>
      <c r="H3412" s="2" t="s">
        <v>2218</v>
      </c>
      <c r="I3412" s="6" t="s">
        <v>32</v>
      </c>
      <c r="J3412" s="2" t="s">
        <v>2219</v>
      </c>
      <c r="K3412" s="2" t="s">
        <v>2220</v>
      </c>
      <c r="L3412" s="2" t="s">
        <v>28</v>
      </c>
      <c r="M3412" s="2" t="s">
        <v>5</v>
      </c>
      <c r="N3412" s="4">
        <v>10462.09</v>
      </c>
    </row>
    <row r="3413" spans="1:14" x14ac:dyDescent="0.25">
      <c r="A3413" s="2" t="s">
        <v>390</v>
      </c>
      <c r="B3413" s="2" t="s">
        <v>391</v>
      </c>
      <c r="C3413" s="3">
        <v>23.916</v>
      </c>
      <c r="D3413" s="4">
        <v>263.79347999999999</v>
      </c>
      <c r="E3413" s="4">
        <v>179.37</v>
      </c>
      <c r="F3413" s="4">
        <f t="shared" si="239"/>
        <v>84.423479999999984</v>
      </c>
      <c r="G3413" s="5">
        <f t="shared" si="240"/>
        <v>0.32003626473254754</v>
      </c>
      <c r="H3413" s="2" t="s">
        <v>2221</v>
      </c>
      <c r="I3413" s="6" t="s">
        <v>69</v>
      </c>
      <c r="J3413" s="2" t="s">
        <v>2222</v>
      </c>
      <c r="K3413" s="2" t="s">
        <v>2223</v>
      </c>
      <c r="L3413" s="2" t="s">
        <v>28</v>
      </c>
      <c r="M3413" s="2" t="s">
        <v>5</v>
      </c>
      <c r="N3413" s="4">
        <v>11982.38</v>
      </c>
    </row>
    <row r="3414" spans="1:14" x14ac:dyDescent="0.25">
      <c r="A3414" s="2" t="s">
        <v>390</v>
      </c>
      <c r="B3414" s="2" t="s">
        <v>391</v>
      </c>
      <c r="C3414" s="3">
        <v>19.47</v>
      </c>
      <c r="D3414" s="4">
        <v>214.75409999999999</v>
      </c>
      <c r="E3414" s="4">
        <v>146.02500000000001</v>
      </c>
      <c r="F3414" s="4">
        <f t="shared" si="239"/>
        <v>68.729099999999988</v>
      </c>
      <c r="G3414" s="5">
        <f t="shared" si="240"/>
        <v>0.32003626473254754</v>
      </c>
      <c r="H3414" s="2" t="s">
        <v>2218</v>
      </c>
      <c r="I3414" s="6" t="s">
        <v>32</v>
      </c>
      <c r="J3414" s="2" t="s">
        <v>2219</v>
      </c>
      <c r="K3414" s="2" t="s">
        <v>2220</v>
      </c>
      <c r="L3414" s="2" t="s">
        <v>28</v>
      </c>
      <c r="M3414" s="2" t="s">
        <v>5</v>
      </c>
      <c r="N3414" s="4">
        <v>10462.09</v>
      </c>
    </row>
    <row r="3415" spans="1:14" x14ac:dyDescent="0.25">
      <c r="A3415" s="2" t="s">
        <v>392</v>
      </c>
      <c r="B3415" s="2" t="s">
        <v>393</v>
      </c>
      <c r="C3415" s="3">
        <v>10.4</v>
      </c>
      <c r="D3415" s="4">
        <v>151.32</v>
      </c>
      <c r="E3415" s="4">
        <v>109.2</v>
      </c>
      <c r="F3415" s="4">
        <f t="shared" si="239"/>
        <v>42.11999999999999</v>
      </c>
      <c r="G3415" s="5">
        <f t="shared" si="240"/>
        <v>0.27835051546391748</v>
      </c>
      <c r="H3415" s="2" t="s">
        <v>2218</v>
      </c>
      <c r="I3415" s="6" t="s">
        <v>32</v>
      </c>
      <c r="J3415" s="2" t="s">
        <v>2219</v>
      </c>
      <c r="K3415" s="2" t="s">
        <v>2220</v>
      </c>
      <c r="L3415" s="2" t="s">
        <v>28</v>
      </c>
      <c r="M3415" s="2" t="s">
        <v>5</v>
      </c>
      <c r="N3415" s="4">
        <v>10462.09</v>
      </c>
    </row>
    <row r="3416" spans="1:14" x14ac:dyDescent="0.25">
      <c r="A3416" s="2" t="s">
        <v>394</v>
      </c>
      <c r="B3416" s="2" t="s">
        <v>395</v>
      </c>
      <c r="C3416" s="3">
        <v>92</v>
      </c>
      <c r="D3416" s="4">
        <v>1497.76</v>
      </c>
      <c r="E3416" s="4">
        <v>1518</v>
      </c>
      <c r="F3416" s="4">
        <f t="shared" si="239"/>
        <v>-20.240000000000009</v>
      </c>
      <c r="G3416" s="5">
        <f t="shared" si="240"/>
        <v>-1.3513513513513519E-2</v>
      </c>
      <c r="H3416" s="2" t="s">
        <v>2221</v>
      </c>
      <c r="I3416" s="6" t="s">
        <v>69</v>
      </c>
      <c r="J3416" s="2" t="s">
        <v>2222</v>
      </c>
      <c r="K3416" s="2" t="s">
        <v>2223</v>
      </c>
      <c r="L3416" s="2" t="s">
        <v>28</v>
      </c>
      <c r="M3416" s="2" t="s">
        <v>5</v>
      </c>
      <c r="N3416" s="4">
        <v>11982.38</v>
      </c>
    </row>
    <row r="3417" spans="1:14" x14ac:dyDescent="0.25">
      <c r="A3417" s="2" t="s">
        <v>480</v>
      </c>
      <c r="B3417" s="2" t="s">
        <v>481</v>
      </c>
      <c r="C3417" s="3">
        <v>4.41</v>
      </c>
      <c r="D3417" s="4">
        <v>109.32389999999999</v>
      </c>
      <c r="E3417" s="4">
        <v>81.364500000000007</v>
      </c>
      <c r="F3417" s="4">
        <f t="shared" si="239"/>
        <v>27.959399999999988</v>
      </c>
      <c r="G3417" s="5">
        <f t="shared" si="240"/>
        <v>0.25574828559903179</v>
      </c>
      <c r="H3417" s="2" t="s">
        <v>2218</v>
      </c>
      <c r="I3417" s="6" t="s">
        <v>32</v>
      </c>
      <c r="J3417" s="2" t="s">
        <v>2219</v>
      </c>
      <c r="K3417" s="2" t="s">
        <v>2220</v>
      </c>
      <c r="L3417" s="2" t="s">
        <v>28</v>
      </c>
      <c r="M3417" s="2" t="s">
        <v>5</v>
      </c>
      <c r="N3417" s="4">
        <v>10462.09</v>
      </c>
    </row>
    <row r="3418" spans="1:14" x14ac:dyDescent="0.25">
      <c r="A3418" s="2" t="s">
        <v>480</v>
      </c>
      <c r="B3418" s="2" t="s">
        <v>481</v>
      </c>
      <c r="C3418" s="3">
        <v>4.6399999999999997</v>
      </c>
      <c r="D3418" s="4">
        <v>115.0256</v>
      </c>
      <c r="E3418" s="4">
        <v>85.608000000000004</v>
      </c>
      <c r="F3418" s="4">
        <f t="shared" si="239"/>
        <v>29.417599999999993</v>
      </c>
      <c r="G3418" s="5">
        <f t="shared" si="240"/>
        <v>0.25574828559903179</v>
      </c>
      <c r="H3418" s="2" t="s">
        <v>2221</v>
      </c>
      <c r="I3418" s="6" t="s">
        <v>69</v>
      </c>
      <c r="J3418" s="2" t="s">
        <v>2222</v>
      </c>
      <c r="K3418" s="2" t="s">
        <v>2223</v>
      </c>
      <c r="L3418" s="2" t="s">
        <v>28</v>
      </c>
      <c r="M3418" s="2" t="s">
        <v>5</v>
      </c>
      <c r="N3418" s="4">
        <v>11982.38</v>
      </c>
    </row>
    <row r="3419" spans="1:14" x14ac:dyDescent="0.25">
      <c r="A3419" s="2" t="s">
        <v>2224</v>
      </c>
      <c r="B3419" s="2" t="s">
        <v>2225</v>
      </c>
      <c r="C3419" s="3">
        <v>96.82</v>
      </c>
      <c r="D3419" s="4">
        <v>1594.6253999999999</v>
      </c>
      <c r="E3419" s="4">
        <v>1055.338</v>
      </c>
      <c r="F3419" s="4">
        <f t="shared" si="239"/>
        <v>539.28739999999993</v>
      </c>
      <c r="G3419" s="5">
        <f t="shared" si="240"/>
        <v>0.3381906496660595</v>
      </c>
      <c r="H3419" s="2" t="s">
        <v>2221</v>
      </c>
      <c r="I3419" s="6" t="s">
        <v>69</v>
      </c>
      <c r="J3419" s="2" t="s">
        <v>2222</v>
      </c>
      <c r="K3419" s="2" t="s">
        <v>2223</v>
      </c>
      <c r="L3419" s="2" t="s">
        <v>28</v>
      </c>
      <c r="M3419" s="2" t="s">
        <v>5</v>
      </c>
      <c r="N3419" s="4">
        <v>11982.38</v>
      </c>
    </row>
    <row r="3420" spans="1:14" x14ac:dyDescent="0.25">
      <c r="A3420" s="2" t="s">
        <v>400</v>
      </c>
      <c r="B3420" s="2" t="s">
        <v>401</v>
      </c>
      <c r="C3420" s="3">
        <v>61.03</v>
      </c>
      <c r="D3420" s="4">
        <v>731.13940000000002</v>
      </c>
      <c r="E3420" s="4">
        <v>494.34300000000002</v>
      </c>
      <c r="F3420" s="4">
        <f t="shared" si="239"/>
        <v>236.79640000000001</v>
      </c>
      <c r="G3420" s="5">
        <f t="shared" si="240"/>
        <v>0.32387312186978295</v>
      </c>
      <c r="H3420" s="2" t="s">
        <v>2221</v>
      </c>
      <c r="I3420" s="6" t="s">
        <v>69</v>
      </c>
      <c r="J3420" s="2" t="s">
        <v>2222</v>
      </c>
      <c r="K3420" s="2" t="s">
        <v>2223</v>
      </c>
      <c r="L3420" s="2" t="s">
        <v>28</v>
      </c>
      <c r="M3420" s="2" t="s">
        <v>5</v>
      </c>
      <c r="N3420" s="4">
        <v>11982.38</v>
      </c>
    </row>
    <row r="3421" spans="1:14" x14ac:dyDescent="0.25">
      <c r="A3421" s="2" t="s">
        <v>402</v>
      </c>
      <c r="B3421" s="2" t="s">
        <v>403</v>
      </c>
      <c r="C3421" s="3">
        <v>102.77</v>
      </c>
      <c r="D3421" s="4">
        <v>966.03800000000001</v>
      </c>
      <c r="E3421" s="4">
        <v>750.221</v>
      </c>
      <c r="F3421" s="4">
        <f t="shared" si="239"/>
        <v>215.81700000000001</v>
      </c>
      <c r="G3421" s="5">
        <f t="shared" si="240"/>
        <v>0.22340425531914895</v>
      </c>
      <c r="H3421" s="2" t="s">
        <v>2218</v>
      </c>
      <c r="I3421" s="6" t="s">
        <v>32</v>
      </c>
      <c r="J3421" s="2" t="s">
        <v>2219</v>
      </c>
      <c r="K3421" s="2" t="s">
        <v>2220</v>
      </c>
      <c r="L3421" s="2" t="s">
        <v>28</v>
      </c>
      <c r="M3421" s="2" t="s">
        <v>5</v>
      </c>
      <c r="N3421" s="4">
        <v>10462.09</v>
      </c>
    </row>
    <row r="3422" spans="1:14" x14ac:dyDescent="0.25">
      <c r="A3422" s="2" t="s">
        <v>448</v>
      </c>
      <c r="B3422" s="2" t="s">
        <v>449</v>
      </c>
      <c r="C3422" s="3">
        <v>15.46</v>
      </c>
      <c r="D3422" s="4">
        <v>144.55099999999999</v>
      </c>
      <c r="E3422" s="4">
        <v>112.858</v>
      </c>
      <c r="F3422" s="4">
        <f t="shared" si="239"/>
        <v>31.692999999999984</v>
      </c>
      <c r="G3422" s="5">
        <f t="shared" si="240"/>
        <v>0.21925133689839563</v>
      </c>
      <c r="H3422" s="2" t="s">
        <v>2221</v>
      </c>
      <c r="I3422" s="6" t="s">
        <v>69</v>
      </c>
      <c r="J3422" s="2" t="s">
        <v>2222</v>
      </c>
      <c r="K3422" s="2" t="s">
        <v>2223</v>
      </c>
      <c r="L3422" s="2" t="s">
        <v>28</v>
      </c>
      <c r="M3422" s="2" t="s">
        <v>5</v>
      </c>
      <c r="N3422" s="4">
        <v>11982.38</v>
      </c>
    </row>
    <row r="3423" spans="1:14" x14ac:dyDescent="0.25">
      <c r="A3423" s="2" t="s">
        <v>448</v>
      </c>
      <c r="B3423" s="2" t="s">
        <v>449</v>
      </c>
      <c r="C3423" s="3">
        <v>17.54</v>
      </c>
      <c r="D3423" s="4">
        <v>163.999</v>
      </c>
      <c r="E3423" s="4">
        <v>128.042</v>
      </c>
      <c r="F3423" s="4">
        <f t="shared" si="239"/>
        <v>35.956999999999994</v>
      </c>
      <c r="G3423" s="5">
        <f t="shared" si="240"/>
        <v>0.21925133689839568</v>
      </c>
      <c r="H3423" s="2" t="s">
        <v>2218</v>
      </c>
      <c r="I3423" s="6" t="s">
        <v>32</v>
      </c>
      <c r="J3423" s="2" t="s">
        <v>2219</v>
      </c>
      <c r="K3423" s="2" t="s">
        <v>2220</v>
      </c>
      <c r="L3423" s="2" t="s">
        <v>28</v>
      </c>
      <c r="M3423" s="2" t="s">
        <v>5</v>
      </c>
      <c r="N3423" s="4">
        <v>10462.09</v>
      </c>
    </row>
    <row r="3424" spans="1:14" x14ac:dyDescent="0.25">
      <c r="A3424" s="2" t="s">
        <v>2226</v>
      </c>
      <c r="B3424" s="2" t="s">
        <v>2227</v>
      </c>
      <c r="C3424" s="3">
        <v>29.184999999999999</v>
      </c>
      <c r="D3424" s="4">
        <v>234.6474</v>
      </c>
      <c r="E3424" s="4">
        <v>207.21350000000001</v>
      </c>
      <c r="F3424" s="4">
        <f t="shared" si="239"/>
        <v>27.433899999999994</v>
      </c>
      <c r="G3424" s="5">
        <f t="shared" si="240"/>
        <v>0.11691542288557211</v>
      </c>
      <c r="H3424" s="2" t="s">
        <v>2221</v>
      </c>
      <c r="I3424" s="6" t="s">
        <v>69</v>
      </c>
      <c r="J3424" s="2" t="s">
        <v>2222</v>
      </c>
      <c r="K3424" s="2" t="s">
        <v>2223</v>
      </c>
      <c r="L3424" s="2" t="s">
        <v>28</v>
      </c>
      <c r="M3424" s="2" t="s">
        <v>5</v>
      </c>
      <c r="N3424" s="4">
        <v>11982.38</v>
      </c>
    </row>
    <row r="3425" spans="1:14" x14ac:dyDescent="0.25">
      <c r="A3425" s="2" t="s">
        <v>2226</v>
      </c>
      <c r="B3425" s="2" t="s">
        <v>2227</v>
      </c>
      <c r="C3425" s="3">
        <v>10.965</v>
      </c>
      <c r="D3425" s="4">
        <v>88.158600000000007</v>
      </c>
      <c r="E3425" s="4">
        <v>77.851500000000001</v>
      </c>
      <c r="F3425" s="4">
        <f t="shared" si="239"/>
        <v>10.307100000000005</v>
      </c>
      <c r="G3425" s="5">
        <f t="shared" si="240"/>
        <v>0.11691542288557219</v>
      </c>
      <c r="H3425" s="2" t="s">
        <v>2218</v>
      </c>
      <c r="I3425" s="6" t="s">
        <v>32</v>
      </c>
      <c r="J3425" s="2" t="s">
        <v>2219</v>
      </c>
      <c r="K3425" s="2" t="s">
        <v>2220</v>
      </c>
      <c r="L3425" s="2" t="s">
        <v>28</v>
      </c>
      <c r="M3425" s="2" t="s">
        <v>5</v>
      </c>
      <c r="N3425" s="4">
        <v>10462.09</v>
      </c>
    </row>
    <row r="3426" spans="1:14" x14ac:dyDescent="0.25">
      <c r="A3426" s="2" t="s">
        <v>408</v>
      </c>
      <c r="B3426" s="2" t="s">
        <v>409</v>
      </c>
      <c r="C3426" s="3">
        <v>11.015000000000001</v>
      </c>
      <c r="D3426" s="4">
        <v>193.864</v>
      </c>
      <c r="E3426" s="4">
        <v>151.45625000000001</v>
      </c>
      <c r="F3426" s="4">
        <f t="shared" si="239"/>
        <v>42.407749999999993</v>
      </c>
      <c r="G3426" s="5">
        <f t="shared" si="240"/>
        <v>0.21874999999999997</v>
      </c>
      <c r="H3426" s="2" t="s">
        <v>2221</v>
      </c>
      <c r="I3426" s="6" t="s">
        <v>69</v>
      </c>
      <c r="J3426" s="2" t="s">
        <v>2222</v>
      </c>
      <c r="K3426" s="2" t="s">
        <v>2223</v>
      </c>
      <c r="L3426" s="2" t="s">
        <v>28</v>
      </c>
      <c r="M3426" s="2" t="s">
        <v>5</v>
      </c>
      <c r="N3426" s="4">
        <v>11982.38</v>
      </c>
    </row>
    <row r="3427" spans="1:14" x14ac:dyDescent="0.25">
      <c r="A3427" s="2" t="s">
        <v>408</v>
      </c>
      <c r="B3427" s="2" t="s">
        <v>409</v>
      </c>
      <c r="C3427" s="3">
        <v>53.52</v>
      </c>
      <c r="D3427" s="4">
        <v>941.952</v>
      </c>
      <c r="E3427" s="4">
        <v>735.9</v>
      </c>
      <c r="F3427" s="4">
        <f t="shared" si="239"/>
        <v>206.05200000000002</v>
      </c>
      <c r="G3427" s="5">
        <f t="shared" si="240"/>
        <v>0.21875000000000003</v>
      </c>
      <c r="H3427" s="2" t="s">
        <v>2218</v>
      </c>
      <c r="I3427" s="6" t="s">
        <v>32</v>
      </c>
      <c r="J3427" s="2" t="s">
        <v>2219</v>
      </c>
      <c r="K3427" s="2" t="s">
        <v>2220</v>
      </c>
      <c r="L3427" s="2" t="s">
        <v>28</v>
      </c>
      <c r="M3427" s="2" t="s">
        <v>5</v>
      </c>
      <c r="N3427" s="4">
        <v>10462.09</v>
      </c>
    </row>
    <row r="3428" spans="1:14" x14ac:dyDescent="0.25">
      <c r="A3428" s="2" t="s">
        <v>414</v>
      </c>
      <c r="B3428" s="2" t="s">
        <v>415</v>
      </c>
      <c r="C3428" s="3">
        <v>23</v>
      </c>
      <c r="D3428" s="4">
        <v>277.83999999999997</v>
      </c>
      <c r="E3428" s="4">
        <v>195.5</v>
      </c>
      <c r="F3428" s="4">
        <f t="shared" si="239"/>
        <v>82.339999999999975</v>
      </c>
      <c r="G3428" s="5">
        <f t="shared" si="240"/>
        <v>0.29635761589403969</v>
      </c>
      <c r="H3428" s="2" t="s">
        <v>2218</v>
      </c>
      <c r="I3428" s="6" t="s">
        <v>32</v>
      </c>
      <c r="J3428" s="2" t="s">
        <v>2219</v>
      </c>
      <c r="K3428" s="2" t="s">
        <v>2220</v>
      </c>
      <c r="L3428" s="2" t="s">
        <v>28</v>
      </c>
      <c r="M3428" s="2" t="s">
        <v>5</v>
      </c>
      <c r="N3428" s="4">
        <v>10462.09</v>
      </c>
    </row>
    <row r="3429" spans="1:14" x14ac:dyDescent="0.25">
      <c r="A3429" s="2" t="s">
        <v>414</v>
      </c>
      <c r="B3429" s="2" t="s">
        <v>415</v>
      </c>
      <c r="C3429" s="3">
        <v>118.5</v>
      </c>
      <c r="D3429" s="4">
        <v>1431.48</v>
      </c>
      <c r="E3429" s="4">
        <v>1007.25</v>
      </c>
      <c r="F3429" s="4">
        <f t="shared" si="239"/>
        <v>424.23</v>
      </c>
      <c r="G3429" s="5">
        <f t="shared" si="240"/>
        <v>0.29635761589403975</v>
      </c>
      <c r="H3429" s="2" t="s">
        <v>2221</v>
      </c>
      <c r="I3429" s="6" t="s">
        <v>69</v>
      </c>
      <c r="J3429" s="2" t="s">
        <v>2222</v>
      </c>
      <c r="K3429" s="2" t="s">
        <v>2223</v>
      </c>
      <c r="L3429" s="2" t="s">
        <v>28</v>
      </c>
      <c r="M3429" s="2" t="s">
        <v>5</v>
      </c>
      <c r="N3429" s="4">
        <v>11982.38</v>
      </c>
    </row>
    <row r="3430" spans="1:14" x14ac:dyDescent="0.25">
      <c r="A3430" s="2" t="s">
        <v>418</v>
      </c>
      <c r="B3430" s="2" t="s">
        <v>419</v>
      </c>
      <c r="C3430" s="3">
        <v>28.92</v>
      </c>
      <c r="D3430" s="4">
        <v>270.40199999999999</v>
      </c>
      <c r="E3430" s="4">
        <v>274.74</v>
      </c>
      <c r="F3430" s="4">
        <f t="shared" si="239"/>
        <v>-4.3380000000000223</v>
      </c>
      <c r="G3430" s="5">
        <f t="shared" si="240"/>
        <v>-1.6042780748663183E-2</v>
      </c>
      <c r="H3430" s="2" t="s">
        <v>2221</v>
      </c>
      <c r="I3430" s="6" t="s">
        <v>69</v>
      </c>
      <c r="J3430" s="2" t="s">
        <v>2222</v>
      </c>
      <c r="K3430" s="2" t="s">
        <v>2223</v>
      </c>
      <c r="L3430" s="2" t="s">
        <v>28</v>
      </c>
      <c r="M3430" s="2" t="s">
        <v>5</v>
      </c>
      <c r="N3430" s="4">
        <v>11982.38</v>
      </c>
    </row>
    <row r="3431" spans="1:14" x14ac:dyDescent="0.25">
      <c r="A3431" s="2" t="s">
        <v>418</v>
      </c>
      <c r="B3431" s="2" t="s">
        <v>419</v>
      </c>
      <c r="C3431" s="3">
        <v>33.26</v>
      </c>
      <c r="D3431" s="4">
        <v>310.98099999999999</v>
      </c>
      <c r="E3431" s="4">
        <v>315.97000000000003</v>
      </c>
      <c r="F3431" s="4">
        <f t="shared" si="239"/>
        <v>-4.9890000000000327</v>
      </c>
      <c r="G3431" s="5">
        <f t="shared" si="240"/>
        <v>-1.6042780748663207E-2</v>
      </c>
      <c r="H3431" s="2" t="s">
        <v>2218</v>
      </c>
      <c r="I3431" s="6" t="s">
        <v>32</v>
      </c>
      <c r="J3431" s="2" t="s">
        <v>2219</v>
      </c>
      <c r="K3431" s="2" t="s">
        <v>2220</v>
      </c>
      <c r="L3431" s="2" t="s">
        <v>28</v>
      </c>
      <c r="M3431" s="2" t="s">
        <v>5</v>
      </c>
      <c r="N3431" s="4">
        <v>10462.09</v>
      </c>
    </row>
    <row r="3432" spans="1:14" x14ac:dyDescent="0.25">
      <c r="A3432" s="2" t="s">
        <v>2228</v>
      </c>
      <c r="B3432" s="2" t="s">
        <v>2229</v>
      </c>
      <c r="C3432" s="3">
        <v>64.635000000000005</v>
      </c>
      <c r="D3432" s="4">
        <v>1615.875</v>
      </c>
      <c r="E3432" s="4">
        <v>1325.0174999999999</v>
      </c>
      <c r="F3432" s="4">
        <f t="shared" si="239"/>
        <v>290.85750000000007</v>
      </c>
      <c r="G3432" s="5">
        <f t="shared" si="240"/>
        <v>0.18000000000000005</v>
      </c>
      <c r="H3432" s="2" t="s">
        <v>2218</v>
      </c>
      <c r="I3432" s="6" t="s">
        <v>32</v>
      </c>
      <c r="J3432" s="2" t="s">
        <v>2219</v>
      </c>
      <c r="K3432" s="2" t="s">
        <v>2220</v>
      </c>
      <c r="L3432" s="2" t="s">
        <v>28</v>
      </c>
      <c r="M3432" s="2" t="s">
        <v>5</v>
      </c>
      <c r="N3432" s="4">
        <v>10462.09</v>
      </c>
    </row>
    <row r="3434" spans="1:14" x14ac:dyDescent="0.25">
      <c r="A3434" s="13" t="s">
        <v>59</v>
      </c>
      <c r="B3434" s="21"/>
      <c r="C3434" s="22">
        <f>SUM(C3392:C3433)</f>
        <v>1778.8360000000002</v>
      </c>
      <c r="D3434" s="23">
        <f>SUM(D3392:D3433)</f>
        <v>22444.469930000003</v>
      </c>
      <c r="E3434" s="23">
        <f>SUM(E3392:E3433)</f>
        <v>16587.47625</v>
      </c>
      <c r="F3434" s="23">
        <f>D3434-E3434</f>
        <v>5856.9936800000032</v>
      </c>
      <c r="G3434" s="24">
        <f>IF(((D3434)=0),0,(D3434-E3434)/ D3434)</f>
        <v>0.26095486764743581</v>
      </c>
      <c r="H3434" s="21"/>
      <c r="I3434" s="21"/>
      <c r="J3434" s="21"/>
      <c r="K3434" s="21"/>
      <c r="L3434" s="21"/>
      <c r="M3434" s="21"/>
      <c r="N3434" s="21"/>
    </row>
    <row r="3436" spans="1:14" s="17" customFormat="1" ht="18.75" x14ac:dyDescent="0.3"/>
    <row r="3437" spans="1:14" s="7" customFormat="1" x14ac:dyDescent="0.25">
      <c r="A3437" s="13" t="s">
        <v>2230</v>
      </c>
      <c r="B3437" s="18" t="s">
        <v>2231</v>
      </c>
      <c r="C3437" s="19"/>
      <c r="D3437" s="20" t="s">
        <v>5</v>
      </c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</row>
    <row r="3439" spans="1:14" x14ac:dyDescent="0.25">
      <c r="A3439" s="2" t="s">
        <v>355</v>
      </c>
      <c r="B3439" s="2" t="s">
        <v>356</v>
      </c>
      <c r="C3439" s="3">
        <v>55</v>
      </c>
      <c r="D3439" s="4">
        <v>785.95</v>
      </c>
      <c r="E3439" s="4">
        <v>550</v>
      </c>
      <c r="F3439" s="4">
        <f t="shared" ref="F3439:F3477" si="241">D3439-E3439</f>
        <v>235.95000000000005</v>
      </c>
      <c r="G3439" s="5">
        <f t="shared" ref="G3439:G3477" si="242">IF(((D3439)=0),0,(D3439-E3439)/ D3439)</f>
        <v>0.30020993701889437</v>
      </c>
      <c r="H3439" s="2" t="s">
        <v>2232</v>
      </c>
      <c r="I3439" s="6" t="s">
        <v>69</v>
      </c>
      <c r="J3439" s="2" t="s">
        <v>2233</v>
      </c>
      <c r="K3439" s="2" t="s">
        <v>2234</v>
      </c>
      <c r="L3439" s="2" t="s">
        <v>28</v>
      </c>
      <c r="M3439" s="2" t="s">
        <v>5</v>
      </c>
      <c r="N3439" s="4">
        <v>7007.39</v>
      </c>
    </row>
    <row r="3440" spans="1:14" x14ac:dyDescent="0.25">
      <c r="A3440" s="2" t="s">
        <v>355</v>
      </c>
      <c r="B3440" s="2" t="s">
        <v>356</v>
      </c>
      <c r="C3440" s="3">
        <v>55</v>
      </c>
      <c r="D3440" s="4">
        <v>785.95</v>
      </c>
      <c r="E3440" s="4">
        <v>550</v>
      </c>
      <c r="F3440" s="4">
        <f t="shared" si="241"/>
        <v>235.95000000000005</v>
      </c>
      <c r="G3440" s="5">
        <f t="shared" si="242"/>
        <v>0.30020993701889437</v>
      </c>
      <c r="H3440" s="2" t="s">
        <v>2235</v>
      </c>
      <c r="I3440" s="6" t="s">
        <v>32</v>
      </c>
      <c r="J3440" s="2" t="s">
        <v>2236</v>
      </c>
      <c r="K3440" s="2" t="s">
        <v>2237</v>
      </c>
      <c r="L3440" s="2" t="s">
        <v>28</v>
      </c>
      <c r="M3440" s="2" t="s">
        <v>5</v>
      </c>
      <c r="N3440" s="4">
        <v>7247.69</v>
      </c>
    </row>
    <row r="3441" spans="1:14" x14ac:dyDescent="0.25">
      <c r="A3441" s="2" t="s">
        <v>360</v>
      </c>
      <c r="B3441" s="2" t="s">
        <v>361</v>
      </c>
      <c r="C3441" s="3">
        <v>15.14</v>
      </c>
      <c r="D3441" s="4">
        <v>249.65860000000001</v>
      </c>
      <c r="E3441" s="4">
        <v>178.65199999999999</v>
      </c>
      <c r="F3441" s="4">
        <f t="shared" si="241"/>
        <v>71.00660000000002</v>
      </c>
      <c r="G3441" s="5">
        <f t="shared" si="242"/>
        <v>0.28441479684657378</v>
      </c>
      <c r="H3441" s="2" t="s">
        <v>2232</v>
      </c>
      <c r="I3441" s="6" t="s">
        <v>69</v>
      </c>
      <c r="J3441" s="2" t="s">
        <v>2233</v>
      </c>
      <c r="K3441" s="2" t="s">
        <v>2234</v>
      </c>
      <c r="L3441" s="2" t="s">
        <v>28</v>
      </c>
      <c r="M3441" s="2" t="s">
        <v>5</v>
      </c>
      <c r="N3441" s="4">
        <v>7007.39</v>
      </c>
    </row>
    <row r="3442" spans="1:14" x14ac:dyDescent="0.25">
      <c r="A3442" s="2" t="s">
        <v>360</v>
      </c>
      <c r="B3442" s="2" t="s">
        <v>361</v>
      </c>
      <c r="C3442" s="3">
        <v>15.32</v>
      </c>
      <c r="D3442" s="4">
        <v>252.6268</v>
      </c>
      <c r="E3442" s="4">
        <v>180.77600000000001</v>
      </c>
      <c r="F3442" s="4">
        <f t="shared" si="241"/>
        <v>71.850799999999992</v>
      </c>
      <c r="G3442" s="5">
        <f t="shared" si="242"/>
        <v>0.28441479684657367</v>
      </c>
      <c r="H3442" s="2" t="s">
        <v>2235</v>
      </c>
      <c r="I3442" s="6" t="s">
        <v>32</v>
      </c>
      <c r="J3442" s="2" t="s">
        <v>2236</v>
      </c>
      <c r="K3442" s="2" t="s">
        <v>2237</v>
      </c>
      <c r="L3442" s="2" t="s">
        <v>28</v>
      </c>
      <c r="M3442" s="2" t="s">
        <v>5</v>
      </c>
      <c r="N3442" s="4">
        <v>7247.69</v>
      </c>
    </row>
    <row r="3443" spans="1:14" x14ac:dyDescent="0.25">
      <c r="A3443" s="2" t="s">
        <v>466</v>
      </c>
      <c r="B3443" s="2" t="s">
        <v>467</v>
      </c>
      <c r="C3443" s="3">
        <v>44.36</v>
      </c>
      <c r="D3443" s="4">
        <v>633.90440000000001</v>
      </c>
      <c r="E3443" s="4">
        <v>487.96</v>
      </c>
      <c r="F3443" s="4">
        <f t="shared" si="241"/>
        <v>145.94440000000003</v>
      </c>
      <c r="G3443" s="5">
        <f t="shared" si="242"/>
        <v>0.23023093072078382</v>
      </c>
      <c r="H3443" s="2" t="s">
        <v>2235</v>
      </c>
      <c r="I3443" s="6" t="s">
        <v>32</v>
      </c>
      <c r="J3443" s="2" t="s">
        <v>2236</v>
      </c>
      <c r="K3443" s="2" t="s">
        <v>2237</v>
      </c>
      <c r="L3443" s="2" t="s">
        <v>28</v>
      </c>
      <c r="M3443" s="2" t="s">
        <v>5</v>
      </c>
      <c r="N3443" s="4">
        <v>7247.69</v>
      </c>
    </row>
    <row r="3444" spans="1:14" x14ac:dyDescent="0.25">
      <c r="A3444" s="2" t="s">
        <v>466</v>
      </c>
      <c r="B3444" s="2" t="s">
        <v>467</v>
      </c>
      <c r="C3444" s="3">
        <v>47.72</v>
      </c>
      <c r="D3444" s="4">
        <v>681.91880000000003</v>
      </c>
      <c r="E3444" s="4">
        <v>524.91999999999996</v>
      </c>
      <c r="F3444" s="4">
        <f t="shared" si="241"/>
        <v>156.99880000000007</v>
      </c>
      <c r="G3444" s="5">
        <f t="shared" si="242"/>
        <v>0.23023093072078385</v>
      </c>
      <c r="H3444" s="2" t="s">
        <v>2232</v>
      </c>
      <c r="I3444" s="6" t="s">
        <v>69</v>
      </c>
      <c r="J3444" s="2" t="s">
        <v>2233</v>
      </c>
      <c r="K3444" s="2" t="s">
        <v>2234</v>
      </c>
      <c r="L3444" s="2" t="s">
        <v>28</v>
      </c>
      <c r="M3444" s="2" t="s">
        <v>5</v>
      </c>
      <c r="N3444" s="4">
        <v>7007.39</v>
      </c>
    </row>
    <row r="3445" spans="1:14" x14ac:dyDescent="0.25">
      <c r="A3445" s="2" t="s">
        <v>368</v>
      </c>
      <c r="B3445" s="2" t="s">
        <v>369</v>
      </c>
      <c r="C3445" s="3">
        <v>15.36</v>
      </c>
      <c r="D3445" s="4">
        <v>253.28639999999999</v>
      </c>
      <c r="E3445" s="4">
        <v>192</v>
      </c>
      <c r="F3445" s="4">
        <f t="shared" si="241"/>
        <v>61.286399999999986</v>
      </c>
      <c r="G3445" s="5">
        <f t="shared" si="242"/>
        <v>0.24196482716798054</v>
      </c>
      <c r="H3445" s="2" t="s">
        <v>2232</v>
      </c>
      <c r="I3445" s="6" t="s">
        <v>69</v>
      </c>
      <c r="J3445" s="2" t="s">
        <v>2233</v>
      </c>
      <c r="K3445" s="2" t="s">
        <v>2234</v>
      </c>
      <c r="L3445" s="2" t="s">
        <v>28</v>
      </c>
      <c r="M3445" s="2" t="s">
        <v>5</v>
      </c>
      <c r="N3445" s="4">
        <v>7007.39</v>
      </c>
    </row>
    <row r="3446" spans="1:14" x14ac:dyDescent="0.25">
      <c r="A3446" s="2" t="s">
        <v>372</v>
      </c>
      <c r="B3446" s="2" t="s">
        <v>373</v>
      </c>
      <c r="C3446" s="3">
        <v>15.45</v>
      </c>
      <c r="D3446" s="4">
        <v>204.55799999999999</v>
      </c>
      <c r="E3446" s="4">
        <v>139.05000000000001</v>
      </c>
      <c r="F3446" s="4">
        <f t="shared" si="241"/>
        <v>65.507999999999981</v>
      </c>
      <c r="G3446" s="5">
        <f t="shared" si="242"/>
        <v>0.32024169184290024</v>
      </c>
      <c r="H3446" s="2" t="s">
        <v>2232</v>
      </c>
      <c r="I3446" s="6" t="s">
        <v>69</v>
      </c>
      <c r="J3446" s="2" t="s">
        <v>2233</v>
      </c>
      <c r="K3446" s="2" t="s">
        <v>2234</v>
      </c>
      <c r="L3446" s="2" t="s">
        <v>28</v>
      </c>
      <c r="M3446" s="2" t="s">
        <v>5</v>
      </c>
      <c r="N3446" s="4">
        <v>7007.39</v>
      </c>
    </row>
    <row r="3447" spans="1:14" x14ac:dyDescent="0.25">
      <c r="A3447" s="2" t="s">
        <v>372</v>
      </c>
      <c r="B3447" s="2" t="s">
        <v>373</v>
      </c>
      <c r="C3447" s="3">
        <v>31.43</v>
      </c>
      <c r="D3447" s="4">
        <v>416.13319999999999</v>
      </c>
      <c r="E3447" s="4">
        <v>282.87</v>
      </c>
      <c r="F3447" s="4">
        <f t="shared" si="241"/>
        <v>133.26319999999998</v>
      </c>
      <c r="G3447" s="5">
        <f t="shared" si="242"/>
        <v>0.32024169184290024</v>
      </c>
      <c r="H3447" s="2" t="s">
        <v>2235</v>
      </c>
      <c r="I3447" s="6" t="s">
        <v>32</v>
      </c>
      <c r="J3447" s="2" t="s">
        <v>2236</v>
      </c>
      <c r="K3447" s="2" t="s">
        <v>2237</v>
      </c>
      <c r="L3447" s="2" t="s">
        <v>28</v>
      </c>
      <c r="M3447" s="2" t="s">
        <v>5</v>
      </c>
      <c r="N3447" s="4">
        <v>7247.69</v>
      </c>
    </row>
    <row r="3448" spans="1:14" x14ac:dyDescent="0.25">
      <c r="A3448" s="2" t="s">
        <v>472</v>
      </c>
      <c r="B3448" s="2" t="s">
        <v>473</v>
      </c>
      <c r="C3448" s="3">
        <v>31.105</v>
      </c>
      <c r="D3448" s="4">
        <v>251.63945000000001</v>
      </c>
      <c r="E3448" s="4">
        <v>158.63550000000001</v>
      </c>
      <c r="F3448" s="4">
        <f t="shared" si="241"/>
        <v>93.003950000000003</v>
      </c>
      <c r="G3448" s="5">
        <f t="shared" si="242"/>
        <v>0.36959208899876389</v>
      </c>
      <c r="H3448" s="2" t="s">
        <v>2235</v>
      </c>
      <c r="I3448" s="6" t="s">
        <v>32</v>
      </c>
      <c r="J3448" s="2" t="s">
        <v>2236</v>
      </c>
      <c r="K3448" s="2" t="s">
        <v>2237</v>
      </c>
      <c r="L3448" s="2" t="s">
        <v>28</v>
      </c>
      <c r="M3448" s="2" t="s">
        <v>5</v>
      </c>
      <c r="N3448" s="4">
        <v>7247.69</v>
      </c>
    </row>
    <row r="3449" spans="1:14" x14ac:dyDescent="0.25">
      <c r="A3449" s="2" t="s">
        <v>472</v>
      </c>
      <c r="B3449" s="2" t="s">
        <v>473</v>
      </c>
      <c r="C3449" s="3">
        <v>79.295000000000002</v>
      </c>
      <c r="D3449" s="4">
        <v>641.49654999999996</v>
      </c>
      <c r="E3449" s="4">
        <v>404.40449999999998</v>
      </c>
      <c r="F3449" s="4">
        <f t="shared" si="241"/>
        <v>237.09204999999997</v>
      </c>
      <c r="G3449" s="5">
        <f t="shared" si="242"/>
        <v>0.36959208899876389</v>
      </c>
      <c r="H3449" s="2" t="s">
        <v>2232</v>
      </c>
      <c r="I3449" s="6" t="s">
        <v>69</v>
      </c>
      <c r="J3449" s="2" t="s">
        <v>2233</v>
      </c>
      <c r="K3449" s="2" t="s">
        <v>2234</v>
      </c>
      <c r="L3449" s="2" t="s">
        <v>28</v>
      </c>
      <c r="M3449" s="2" t="s">
        <v>5</v>
      </c>
      <c r="N3449" s="4">
        <v>7007.39</v>
      </c>
    </row>
    <row r="3450" spans="1:14" x14ac:dyDescent="0.25">
      <c r="A3450" s="2" t="s">
        <v>374</v>
      </c>
      <c r="B3450" s="2" t="s">
        <v>375</v>
      </c>
      <c r="C3450" s="3">
        <v>2.5</v>
      </c>
      <c r="D3450" s="4">
        <v>45.575000000000003</v>
      </c>
      <c r="E3450" s="4">
        <v>34.9</v>
      </c>
      <c r="F3450" s="4">
        <f t="shared" si="241"/>
        <v>10.675000000000004</v>
      </c>
      <c r="G3450" s="5">
        <f t="shared" si="242"/>
        <v>0.23422929237520579</v>
      </c>
      <c r="H3450" s="2" t="s">
        <v>2235</v>
      </c>
      <c r="I3450" s="6" t="s">
        <v>32</v>
      </c>
      <c r="J3450" s="2" t="s">
        <v>2236</v>
      </c>
      <c r="K3450" s="2" t="s">
        <v>2237</v>
      </c>
      <c r="L3450" s="2" t="s">
        <v>28</v>
      </c>
      <c r="M3450" s="2" t="s">
        <v>5</v>
      </c>
      <c r="N3450" s="4">
        <v>7247.69</v>
      </c>
    </row>
    <row r="3451" spans="1:14" x14ac:dyDescent="0.25">
      <c r="A3451" s="2" t="s">
        <v>376</v>
      </c>
      <c r="B3451" s="2" t="s">
        <v>377</v>
      </c>
      <c r="C3451" s="3">
        <v>11.85</v>
      </c>
      <c r="D3451" s="4">
        <v>143.148</v>
      </c>
      <c r="E3451" s="4">
        <v>86.504999999999995</v>
      </c>
      <c r="F3451" s="4">
        <f t="shared" si="241"/>
        <v>56.643000000000001</v>
      </c>
      <c r="G3451" s="5">
        <f t="shared" si="242"/>
        <v>0.39569536423841062</v>
      </c>
      <c r="H3451" s="2" t="s">
        <v>2235</v>
      </c>
      <c r="I3451" s="6" t="s">
        <v>32</v>
      </c>
      <c r="J3451" s="2" t="s">
        <v>2236</v>
      </c>
      <c r="K3451" s="2" t="s">
        <v>2237</v>
      </c>
      <c r="L3451" s="2" t="s">
        <v>28</v>
      </c>
      <c r="M3451" s="2" t="s">
        <v>5</v>
      </c>
      <c r="N3451" s="4">
        <v>7247.69</v>
      </c>
    </row>
    <row r="3452" spans="1:14" x14ac:dyDescent="0.25">
      <c r="A3452" s="2" t="s">
        <v>378</v>
      </c>
      <c r="B3452" s="2" t="s">
        <v>379</v>
      </c>
      <c r="C3452" s="3">
        <v>47.49</v>
      </c>
      <c r="D3452" s="4">
        <v>573.67920000000004</v>
      </c>
      <c r="E3452" s="4">
        <v>346.67700000000002</v>
      </c>
      <c r="F3452" s="4">
        <f t="shared" si="241"/>
        <v>227.00220000000002</v>
      </c>
      <c r="G3452" s="5">
        <f t="shared" si="242"/>
        <v>0.39569536423841062</v>
      </c>
      <c r="H3452" s="2" t="s">
        <v>2235</v>
      </c>
      <c r="I3452" s="6" t="s">
        <v>32</v>
      </c>
      <c r="J3452" s="2" t="s">
        <v>2236</v>
      </c>
      <c r="K3452" s="2" t="s">
        <v>2237</v>
      </c>
      <c r="L3452" s="2" t="s">
        <v>28</v>
      </c>
      <c r="M3452" s="2" t="s">
        <v>5</v>
      </c>
      <c r="N3452" s="4">
        <v>7247.69</v>
      </c>
    </row>
    <row r="3453" spans="1:14" x14ac:dyDescent="0.25">
      <c r="A3453" s="2" t="s">
        <v>378</v>
      </c>
      <c r="B3453" s="2" t="s">
        <v>379</v>
      </c>
      <c r="C3453" s="3">
        <v>32.93</v>
      </c>
      <c r="D3453" s="4">
        <v>397.7944</v>
      </c>
      <c r="E3453" s="4">
        <v>240.38900000000001</v>
      </c>
      <c r="F3453" s="4">
        <f t="shared" si="241"/>
        <v>157.40539999999999</v>
      </c>
      <c r="G3453" s="5">
        <f t="shared" si="242"/>
        <v>0.39569536423841056</v>
      </c>
      <c r="H3453" s="2" t="s">
        <v>2232</v>
      </c>
      <c r="I3453" s="6" t="s">
        <v>69</v>
      </c>
      <c r="J3453" s="2" t="s">
        <v>2233</v>
      </c>
      <c r="K3453" s="2" t="s">
        <v>2234</v>
      </c>
      <c r="L3453" s="2" t="s">
        <v>28</v>
      </c>
      <c r="M3453" s="2" t="s">
        <v>5</v>
      </c>
      <c r="N3453" s="4">
        <v>7007.39</v>
      </c>
    </row>
    <row r="3454" spans="1:14" x14ac:dyDescent="0.25">
      <c r="A3454" s="2" t="s">
        <v>384</v>
      </c>
      <c r="B3454" s="2" t="s">
        <v>385</v>
      </c>
      <c r="C3454" s="3">
        <v>30.79</v>
      </c>
      <c r="D3454" s="4">
        <v>134.24440000000001</v>
      </c>
      <c r="E3454" s="4">
        <v>76.974999999999994</v>
      </c>
      <c r="F3454" s="4">
        <f t="shared" si="241"/>
        <v>57.269400000000019</v>
      </c>
      <c r="G3454" s="5">
        <f t="shared" si="242"/>
        <v>0.42660550458715607</v>
      </c>
      <c r="H3454" s="2" t="s">
        <v>2235</v>
      </c>
      <c r="I3454" s="6" t="s">
        <v>32</v>
      </c>
      <c r="J3454" s="2" t="s">
        <v>2236</v>
      </c>
      <c r="K3454" s="2" t="s">
        <v>2237</v>
      </c>
      <c r="L3454" s="2" t="s">
        <v>28</v>
      </c>
      <c r="M3454" s="2" t="s">
        <v>5</v>
      </c>
      <c r="N3454" s="4">
        <v>7247.69</v>
      </c>
    </row>
    <row r="3455" spans="1:14" x14ac:dyDescent="0.25">
      <c r="A3455" s="2" t="s">
        <v>386</v>
      </c>
      <c r="B3455" s="2" t="s">
        <v>387</v>
      </c>
      <c r="C3455" s="3">
        <v>6</v>
      </c>
      <c r="D3455" s="4">
        <v>55.8</v>
      </c>
      <c r="E3455" s="4">
        <v>26.16</v>
      </c>
      <c r="F3455" s="4">
        <f t="shared" si="241"/>
        <v>29.639999999999997</v>
      </c>
      <c r="G3455" s="5">
        <f t="shared" si="242"/>
        <v>0.53118279569892468</v>
      </c>
      <c r="H3455" s="2" t="s">
        <v>2235</v>
      </c>
      <c r="I3455" s="6" t="s">
        <v>32</v>
      </c>
      <c r="J3455" s="2" t="s">
        <v>2236</v>
      </c>
      <c r="K3455" s="2" t="s">
        <v>2237</v>
      </c>
      <c r="L3455" s="2" t="s">
        <v>28</v>
      </c>
      <c r="M3455" s="2" t="s">
        <v>5</v>
      </c>
      <c r="N3455" s="4">
        <v>7247.69</v>
      </c>
    </row>
    <row r="3456" spans="1:14" x14ac:dyDescent="0.25">
      <c r="A3456" s="2" t="s">
        <v>390</v>
      </c>
      <c r="B3456" s="2" t="s">
        <v>391</v>
      </c>
      <c r="C3456" s="3">
        <v>19.78</v>
      </c>
      <c r="D3456" s="4">
        <v>218.17339999999999</v>
      </c>
      <c r="E3456" s="4">
        <v>148.35</v>
      </c>
      <c r="F3456" s="4">
        <f t="shared" si="241"/>
        <v>69.823399999999992</v>
      </c>
      <c r="G3456" s="5">
        <f t="shared" si="242"/>
        <v>0.32003626473254759</v>
      </c>
      <c r="H3456" s="2" t="s">
        <v>2235</v>
      </c>
      <c r="I3456" s="6" t="s">
        <v>32</v>
      </c>
      <c r="J3456" s="2" t="s">
        <v>2236</v>
      </c>
      <c r="K3456" s="2" t="s">
        <v>2237</v>
      </c>
      <c r="L3456" s="2" t="s">
        <v>28</v>
      </c>
      <c r="M3456" s="2" t="s">
        <v>5</v>
      </c>
      <c r="N3456" s="4">
        <v>7247.69</v>
      </c>
    </row>
    <row r="3457" spans="1:14" x14ac:dyDescent="0.25">
      <c r="A3457" s="2" t="s">
        <v>390</v>
      </c>
      <c r="B3457" s="2" t="s">
        <v>391</v>
      </c>
      <c r="C3457" s="3">
        <v>12.022</v>
      </c>
      <c r="D3457" s="4">
        <v>132.60265999999999</v>
      </c>
      <c r="E3457" s="4">
        <v>90.165000000000006</v>
      </c>
      <c r="F3457" s="4">
        <f t="shared" si="241"/>
        <v>42.43765999999998</v>
      </c>
      <c r="G3457" s="5">
        <f t="shared" si="242"/>
        <v>0.32003626473254748</v>
      </c>
      <c r="H3457" s="2" t="s">
        <v>2232</v>
      </c>
      <c r="I3457" s="6" t="s">
        <v>69</v>
      </c>
      <c r="J3457" s="2" t="s">
        <v>2233</v>
      </c>
      <c r="K3457" s="2" t="s">
        <v>2234</v>
      </c>
      <c r="L3457" s="2" t="s">
        <v>28</v>
      </c>
      <c r="M3457" s="2" t="s">
        <v>5</v>
      </c>
      <c r="N3457" s="4">
        <v>7007.39</v>
      </c>
    </row>
    <row r="3458" spans="1:14" x14ac:dyDescent="0.25">
      <c r="A3458" s="2" t="s">
        <v>394</v>
      </c>
      <c r="B3458" s="2" t="s">
        <v>395</v>
      </c>
      <c r="C3458" s="3">
        <v>43.24</v>
      </c>
      <c r="D3458" s="4">
        <v>703.94719999999995</v>
      </c>
      <c r="E3458" s="4">
        <v>713.46</v>
      </c>
      <c r="F3458" s="4">
        <f t="shared" si="241"/>
        <v>-9.5128000000000839</v>
      </c>
      <c r="G3458" s="5">
        <f t="shared" si="242"/>
        <v>-1.3513513513513634E-2</v>
      </c>
      <c r="H3458" s="2" t="s">
        <v>2232</v>
      </c>
      <c r="I3458" s="6" t="s">
        <v>69</v>
      </c>
      <c r="J3458" s="2" t="s">
        <v>2233</v>
      </c>
      <c r="K3458" s="2" t="s">
        <v>2234</v>
      </c>
      <c r="L3458" s="2" t="s">
        <v>28</v>
      </c>
      <c r="M3458" s="2" t="s">
        <v>5</v>
      </c>
      <c r="N3458" s="4">
        <v>7007.39</v>
      </c>
    </row>
    <row r="3459" spans="1:14" x14ac:dyDescent="0.25">
      <c r="A3459" s="2" t="s">
        <v>396</v>
      </c>
      <c r="B3459" s="2" t="s">
        <v>397</v>
      </c>
      <c r="C3459" s="3">
        <v>10.61</v>
      </c>
      <c r="D3459" s="4">
        <v>127.1078</v>
      </c>
      <c r="E3459" s="4">
        <v>89.760599999999997</v>
      </c>
      <c r="F3459" s="4">
        <f t="shared" si="241"/>
        <v>37.347200000000001</v>
      </c>
      <c r="G3459" s="5">
        <f t="shared" si="242"/>
        <v>0.29382303839732887</v>
      </c>
      <c r="H3459" s="2" t="s">
        <v>2235</v>
      </c>
      <c r="I3459" s="6" t="s">
        <v>32</v>
      </c>
      <c r="J3459" s="2" t="s">
        <v>2236</v>
      </c>
      <c r="K3459" s="2" t="s">
        <v>2237</v>
      </c>
      <c r="L3459" s="2" t="s">
        <v>28</v>
      </c>
      <c r="M3459" s="2" t="s">
        <v>5</v>
      </c>
      <c r="N3459" s="4">
        <v>7247.69</v>
      </c>
    </row>
    <row r="3460" spans="1:14" x14ac:dyDescent="0.25">
      <c r="A3460" s="2" t="s">
        <v>480</v>
      </c>
      <c r="B3460" s="2" t="s">
        <v>481</v>
      </c>
      <c r="C3460" s="3">
        <v>4.96</v>
      </c>
      <c r="D3460" s="4">
        <v>122.9584</v>
      </c>
      <c r="E3460" s="4">
        <v>91.512</v>
      </c>
      <c r="F3460" s="4">
        <f t="shared" si="241"/>
        <v>31.446399999999997</v>
      </c>
      <c r="G3460" s="5">
        <f t="shared" si="242"/>
        <v>0.25574828559903184</v>
      </c>
      <c r="H3460" s="2" t="s">
        <v>2232</v>
      </c>
      <c r="I3460" s="6" t="s">
        <v>69</v>
      </c>
      <c r="J3460" s="2" t="s">
        <v>2233</v>
      </c>
      <c r="K3460" s="2" t="s">
        <v>2234</v>
      </c>
      <c r="L3460" s="2" t="s">
        <v>28</v>
      </c>
      <c r="M3460" s="2" t="s">
        <v>5</v>
      </c>
      <c r="N3460" s="4">
        <v>7007.39</v>
      </c>
    </row>
    <row r="3461" spans="1:14" x14ac:dyDescent="0.25">
      <c r="A3461" s="2" t="s">
        <v>2224</v>
      </c>
      <c r="B3461" s="2" t="s">
        <v>2225</v>
      </c>
      <c r="C3461" s="3">
        <v>41.244999999999997</v>
      </c>
      <c r="D3461" s="4">
        <v>679.30515000000003</v>
      </c>
      <c r="E3461" s="4">
        <v>449.57049999999998</v>
      </c>
      <c r="F3461" s="4">
        <f t="shared" si="241"/>
        <v>229.73465000000004</v>
      </c>
      <c r="G3461" s="5">
        <f t="shared" si="242"/>
        <v>0.33819064966605955</v>
      </c>
      <c r="H3461" s="2" t="s">
        <v>2232</v>
      </c>
      <c r="I3461" s="6" t="s">
        <v>69</v>
      </c>
      <c r="J3461" s="2" t="s">
        <v>2233</v>
      </c>
      <c r="K3461" s="2" t="s">
        <v>2234</v>
      </c>
      <c r="L3461" s="2" t="s">
        <v>28</v>
      </c>
      <c r="M3461" s="2" t="s">
        <v>5</v>
      </c>
      <c r="N3461" s="4">
        <v>7007.39</v>
      </c>
    </row>
    <row r="3462" spans="1:14" x14ac:dyDescent="0.25">
      <c r="A3462" s="2" t="s">
        <v>400</v>
      </c>
      <c r="B3462" s="2" t="s">
        <v>401</v>
      </c>
      <c r="C3462" s="3">
        <v>30.61</v>
      </c>
      <c r="D3462" s="4">
        <v>366.70780000000002</v>
      </c>
      <c r="E3462" s="4">
        <v>247.941</v>
      </c>
      <c r="F3462" s="4">
        <f t="shared" si="241"/>
        <v>118.76680000000002</v>
      </c>
      <c r="G3462" s="5">
        <f t="shared" si="242"/>
        <v>0.32387312186978301</v>
      </c>
      <c r="H3462" s="2" t="s">
        <v>2232</v>
      </c>
      <c r="I3462" s="6" t="s">
        <v>69</v>
      </c>
      <c r="J3462" s="2" t="s">
        <v>2233</v>
      </c>
      <c r="K3462" s="2" t="s">
        <v>2234</v>
      </c>
      <c r="L3462" s="2" t="s">
        <v>28</v>
      </c>
      <c r="M3462" s="2" t="s">
        <v>5</v>
      </c>
      <c r="N3462" s="4">
        <v>7007.39</v>
      </c>
    </row>
    <row r="3463" spans="1:14" x14ac:dyDescent="0.25">
      <c r="A3463" s="2" t="s">
        <v>402</v>
      </c>
      <c r="B3463" s="2" t="s">
        <v>403</v>
      </c>
      <c r="C3463" s="3">
        <v>45.84</v>
      </c>
      <c r="D3463" s="4">
        <v>430.89600000000002</v>
      </c>
      <c r="E3463" s="4">
        <v>334.63200000000001</v>
      </c>
      <c r="F3463" s="4">
        <f t="shared" si="241"/>
        <v>96.26400000000001</v>
      </c>
      <c r="G3463" s="5">
        <f t="shared" si="242"/>
        <v>0.22340425531914895</v>
      </c>
      <c r="H3463" s="2" t="s">
        <v>2235</v>
      </c>
      <c r="I3463" s="6" t="s">
        <v>32</v>
      </c>
      <c r="J3463" s="2" t="s">
        <v>2236</v>
      </c>
      <c r="K3463" s="2" t="s">
        <v>2237</v>
      </c>
      <c r="L3463" s="2" t="s">
        <v>28</v>
      </c>
      <c r="M3463" s="2" t="s">
        <v>5</v>
      </c>
      <c r="N3463" s="4">
        <v>7247.69</v>
      </c>
    </row>
    <row r="3464" spans="1:14" x14ac:dyDescent="0.25">
      <c r="A3464" s="2" t="s">
        <v>448</v>
      </c>
      <c r="B3464" s="2" t="s">
        <v>449</v>
      </c>
      <c r="C3464" s="3">
        <v>17.72</v>
      </c>
      <c r="D3464" s="4">
        <v>165.68199999999999</v>
      </c>
      <c r="E3464" s="4">
        <v>129.35599999999999</v>
      </c>
      <c r="F3464" s="4">
        <f t="shared" si="241"/>
        <v>36.325999999999993</v>
      </c>
      <c r="G3464" s="5">
        <f t="shared" si="242"/>
        <v>0.21925133689839571</v>
      </c>
      <c r="H3464" s="2" t="s">
        <v>2235</v>
      </c>
      <c r="I3464" s="6" t="s">
        <v>32</v>
      </c>
      <c r="J3464" s="2" t="s">
        <v>2236</v>
      </c>
      <c r="K3464" s="2" t="s">
        <v>2237</v>
      </c>
      <c r="L3464" s="2" t="s">
        <v>28</v>
      </c>
      <c r="M3464" s="2" t="s">
        <v>5</v>
      </c>
      <c r="N3464" s="4">
        <v>7247.69</v>
      </c>
    </row>
    <row r="3465" spans="1:14" x14ac:dyDescent="0.25">
      <c r="A3465" s="2" t="s">
        <v>448</v>
      </c>
      <c r="B3465" s="2" t="s">
        <v>449</v>
      </c>
      <c r="C3465" s="3">
        <v>15.22</v>
      </c>
      <c r="D3465" s="4">
        <v>142.30699999999999</v>
      </c>
      <c r="E3465" s="4">
        <v>111.10599999999999</v>
      </c>
      <c r="F3465" s="4">
        <f t="shared" si="241"/>
        <v>31.200999999999993</v>
      </c>
      <c r="G3465" s="5">
        <f t="shared" si="242"/>
        <v>0.21925133689839568</v>
      </c>
      <c r="H3465" s="2" t="s">
        <v>2232</v>
      </c>
      <c r="I3465" s="6" t="s">
        <v>69</v>
      </c>
      <c r="J3465" s="2" t="s">
        <v>2233</v>
      </c>
      <c r="K3465" s="2" t="s">
        <v>2234</v>
      </c>
      <c r="L3465" s="2" t="s">
        <v>28</v>
      </c>
      <c r="M3465" s="2" t="s">
        <v>5</v>
      </c>
      <c r="N3465" s="4">
        <v>7007.39</v>
      </c>
    </row>
    <row r="3466" spans="1:14" x14ac:dyDescent="0.25">
      <c r="A3466" s="2" t="s">
        <v>2226</v>
      </c>
      <c r="B3466" s="2" t="s">
        <v>2227</v>
      </c>
      <c r="C3466" s="3">
        <v>22.684999999999999</v>
      </c>
      <c r="D3466" s="4">
        <v>182.38740000000001</v>
      </c>
      <c r="E3466" s="4">
        <v>161.0635</v>
      </c>
      <c r="F3466" s="4">
        <f t="shared" si="241"/>
        <v>21.323900000000009</v>
      </c>
      <c r="G3466" s="5">
        <f t="shared" si="242"/>
        <v>0.11691542288557218</v>
      </c>
      <c r="H3466" s="2" t="s">
        <v>2235</v>
      </c>
      <c r="I3466" s="6" t="s">
        <v>32</v>
      </c>
      <c r="J3466" s="2" t="s">
        <v>2236</v>
      </c>
      <c r="K3466" s="2" t="s">
        <v>2237</v>
      </c>
      <c r="L3466" s="2" t="s">
        <v>28</v>
      </c>
      <c r="M3466" s="2" t="s">
        <v>5</v>
      </c>
      <c r="N3466" s="4">
        <v>7247.69</v>
      </c>
    </row>
    <row r="3467" spans="1:14" x14ac:dyDescent="0.25">
      <c r="A3467" s="2" t="s">
        <v>2226</v>
      </c>
      <c r="B3467" s="2" t="s">
        <v>2227</v>
      </c>
      <c r="C3467" s="3">
        <v>14.895</v>
      </c>
      <c r="D3467" s="4">
        <v>119.75579999999999</v>
      </c>
      <c r="E3467" s="4">
        <v>105.75449999999999</v>
      </c>
      <c r="F3467" s="4">
        <f t="shared" si="241"/>
        <v>14.001300000000001</v>
      </c>
      <c r="G3467" s="5">
        <f t="shared" si="242"/>
        <v>0.11691542288557215</v>
      </c>
      <c r="H3467" s="2" t="s">
        <v>2232</v>
      </c>
      <c r="I3467" s="6" t="s">
        <v>69</v>
      </c>
      <c r="J3467" s="2" t="s">
        <v>2233</v>
      </c>
      <c r="K3467" s="2" t="s">
        <v>2234</v>
      </c>
      <c r="L3467" s="2" t="s">
        <v>28</v>
      </c>
      <c r="M3467" s="2" t="s">
        <v>5</v>
      </c>
      <c r="N3467" s="4">
        <v>7007.39</v>
      </c>
    </row>
    <row r="3468" spans="1:14" x14ac:dyDescent="0.25">
      <c r="A3468" s="2" t="s">
        <v>408</v>
      </c>
      <c r="B3468" s="2" t="s">
        <v>409</v>
      </c>
      <c r="C3468" s="3">
        <v>16.135000000000002</v>
      </c>
      <c r="D3468" s="4">
        <v>283.976</v>
      </c>
      <c r="E3468" s="4">
        <v>221.85624999999999</v>
      </c>
      <c r="F3468" s="4">
        <f t="shared" si="241"/>
        <v>62.11975000000001</v>
      </c>
      <c r="G3468" s="5">
        <f t="shared" si="242"/>
        <v>0.21875000000000003</v>
      </c>
      <c r="H3468" s="2" t="s">
        <v>2232</v>
      </c>
      <c r="I3468" s="6" t="s">
        <v>69</v>
      </c>
      <c r="J3468" s="2" t="s">
        <v>2233</v>
      </c>
      <c r="K3468" s="2" t="s">
        <v>2234</v>
      </c>
      <c r="L3468" s="2" t="s">
        <v>28</v>
      </c>
      <c r="M3468" s="2" t="s">
        <v>5</v>
      </c>
      <c r="N3468" s="4">
        <v>7007.39</v>
      </c>
    </row>
    <row r="3469" spans="1:14" x14ac:dyDescent="0.25">
      <c r="A3469" s="2" t="s">
        <v>408</v>
      </c>
      <c r="B3469" s="2" t="s">
        <v>409</v>
      </c>
      <c r="C3469" s="3">
        <v>59.66</v>
      </c>
      <c r="D3469" s="4">
        <v>1050.0160000000001</v>
      </c>
      <c r="E3469" s="4">
        <v>820.32500000000005</v>
      </c>
      <c r="F3469" s="4">
        <f t="shared" si="241"/>
        <v>229.69100000000003</v>
      </c>
      <c r="G3469" s="5">
        <f t="shared" si="242"/>
        <v>0.21875</v>
      </c>
      <c r="H3469" s="2" t="s">
        <v>2235</v>
      </c>
      <c r="I3469" s="6" t="s">
        <v>32</v>
      </c>
      <c r="J3469" s="2" t="s">
        <v>2236</v>
      </c>
      <c r="K3469" s="2" t="s">
        <v>2237</v>
      </c>
      <c r="L3469" s="2" t="s">
        <v>28</v>
      </c>
      <c r="M3469" s="2" t="s">
        <v>5</v>
      </c>
      <c r="N3469" s="4">
        <v>7247.69</v>
      </c>
    </row>
    <row r="3470" spans="1:14" x14ac:dyDescent="0.25">
      <c r="A3470" s="2" t="s">
        <v>410</v>
      </c>
      <c r="B3470" s="2" t="s">
        <v>411</v>
      </c>
      <c r="C3470" s="3">
        <v>8</v>
      </c>
      <c r="D3470" s="4">
        <v>168.48</v>
      </c>
      <c r="E3470" s="4">
        <v>131.84</v>
      </c>
      <c r="F3470" s="4">
        <f t="shared" si="241"/>
        <v>36.639999999999986</v>
      </c>
      <c r="G3470" s="5">
        <f t="shared" si="242"/>
        <v>0.21747388414055074</v>
      </c>
      <c r="H3470" s="2" t="s">
        <v>2235</v>
      </c>
      <c r="I3470" s="6" t="s">
        <v>32</v>
      </c>
      <c r="J3470" s="2" t="s">
        <v>2236</v>
      </c>
      <c r="K3470" s="2" t="s">
        <v>2237</v>
      </c>
      <c r="L3470" s="2" t="s">
        <v>28</v>
      </c>
      <c r="M3470" s="2" t="s">
        <v>5</v>
      </c>
      <c r="N3470" s="4">
        <v>7247.69</v>
      </c>
    </row>
    <row r="3471" spans="1:14" x14ac:dyDescent="0.25">
      <c r="A3471" s="2" t="s">
        <v>410</v>
      </c>
      <c r="B3471" s="2" t="s">
        <v>411</v>
      </c>
      <c r="C3471" s="3">
        <v>8</v>
      </c>
      <c r="D3471" s="4">
        <v>168.48</v>
      </c>
      <c r="E3471" s="4">
        <v>131.84</v>
      </c>
      <c r="F3471" s="4">
        <f t="shared" si="241"/>
        <v>36.639999999999986</v>
      </c>
      <c r="G3471" s="5">
        <f t="shared" si="242"/>
        <v>0.21747388414055074</v>
      </c>
      <c r="H3471" s="2" t="s">
        <v>2232</v>
      </c>
      <c r="I3471" s="6" t="s">
        <v>69</v>
      </c>
      <c r="J3471" s="2" t="s">
        <v>2233</v>
      </c>
      <c r="K3471" s="2" t="s">
        <v>2234</v>
      </c>
      <c r="L3471" s="2" t="s">
        <v>28</v>
      </c>
      <c r="M3471" s="2" t="s">
        <v>5</v>
      </c>
      <c r="N3471" s="4">
        <v>7007.39</v>
      </c>
    </row>
    <row r="3472" spans="1:14" x14ac:dyDescent="0.25">
      <c r="A3472" s="2" t="s">
        <v>412</v>
      </c>
      <c r="B3472" s="2" t="s">
        <v>413</v>
      </c>
      <c r="C3472" s="3">
        <v>4</v>
      </c>
      <c r="D3472" s="4">
        <v>84.68</v>
      </c>
      <c r="E3472" s="4">
        <v>64.56</v>
      </c>
      <c r="F3472" s="4">
        <f t="shared" si="241"/>
        <v>20.120000000000005</v>
      </c>
      <c r="G3472" s="5">
        <f t="shared" si="242"/>
        <v>0.2376003778932452</v>
      </c>
      <c r="H3472" s="2" t="s">
        <v>2232</v>
      </c>
      <c r="I3472" s="6" t="s">
        <v>69</v>
      </c>
      <c r="J3472" s="2" t="s">
        <v>2233</v>
      </c>
      <c r="K3472" s="2" t="s">
        <v>2234</v>
      </c>
      <c r="L3472" s="2" t="s">
        <v>28</v>
      </c>
      <c r="M3472" s="2" t="s">
        <v>5</v>
      </c>
      <c r="N3472" s="4">
        <v>7007.39</v>
      </c>
    </row>
    <row r="3473" spans="1:14" x14ac:dyDescent="0.25">
      <c r="A3473" s="2" t="s">
        <v>414</v>
      </c>
      <c r="B3473" s="2" t="s">
        <v>415</v>
      </c>
      <c r="C3473" s="3">
        <v>70.5</v>
      </c>
      <c r="D3473" s="4">
        <v>851.64</v>
      </c>
      <c r="E3473" s="4">
        <v>599.25</v>
      </c>
      <c r="F3473" s="4">
        <f t="shared" si="241"/>
        <v>252.39</v>
      </c>
      <c r="G3473" s="5">
        <f t="shared" si="242"/>
        <v>0.29635761589403975</v>
      </c>
      <c r="H3473" s="2" t="s">
        <v>2232</v>
      </c>
      <c r="I3473" s="6" t="s">
        <v>69</v>
      </c>
      <c r="J3473" s="2" t="s">
        <v>2233</v>
      </c>
      <c r="K3473" s="2" t="s">
        <v>2234</v>
      </c>
      <c r="L3473" s="2" t="s">
        <v>28</v>
      </c>
      <c r="M3473" s="2" t="s">
        <v>5</v>
      </c>
      <c r="N3473" s="4">
        <v>7007.39</v>
      </c>
    </row>
    <row r="3474" spans="1:14" x14ac:dyDescent="0.25">
      <c r="A3474" s="2" t="s">
        <v>414</v>
      </c>
      <c r="B3474" s="2" t="s">
        <v>415</v>
      </c>
      <c r="C3474" s="3">
        <v>25.2</v>
      </c>
      <c r="D3474" s="4">
        <v>304.416</v>
      </c>
      <c r="E3474" s="4">
        <v>214.2</v>
      </c>
      <c r="F3474" s="4">
        <f t="shared" si="241"/>
        <v>90.216000000000008</v>
      </c>
      <c r="G3474" s="5">
        <f t="shared" si="242"/>
        <v>0.29635761589403975</v>
      </c>
      <c r="H3474" s="2" t="s">
        <v>2235</v>
      </c>
      <c r="I3474" s="6" t="s">
        <v>32</v>
      </c>
      <c r="J3474" s="2" t="s">
        <v>2236</v>
      </c>
      <c r="K3474" s="2" t="s">
        <v>2237</v>
      </c>
      <c r="L3474" s="2" t="s">
        <v>28</v>
      </c>
      <c r="M3474" s="2" t="s">
        <v>5</v>
      </c>
      <c r="N3474" s="4">
        <v>7247.69</v>
      </c>
    </row>
    <row r="3475" spans="1:14" x14ac:dyDescent="0.25">
      <c r="A3475" s="2" t="s">
        <v>418</v>
      </c>
      <c r="B3475" s="2" t="s">
        <v>419</v>
      </c>
      <c r="C3475" s="3">
        <v>24.1</v>
      </c>
      <c r="D3475" s="4">
        <v>225.33500000000001</v>
      </c>
      <c r="E3475" s="4">
        <v>228.95</v>
      </c>
      <c r="F3475" s="4">
        <f t="shared" si="241"/>
        <v>-3.6149999999999807</v>
      </c>
      <c r="G3475" s="5">
        <f t="shared" si="242"/>
        <v>-1.6042780748663017E-2</v>
      </c>
      <c r="H3475" s="2" t="s">
        <v>2235</v>
      </c>
      <c r="I3475" s="6" t="s">
        <v>32</v>
      </c>
      <c r="J3475" s="2" t="s">
        <v>2236</v>
      </c>
      <c r="K3475" s="2" t="s">
        <v>2237</v>
      </c>
      <c r="L3475" s="2" t="s">
        <v>28</v>
      </c>
      <c r="M3475" s="2" t="s">
        <v>5</v>
      </c>
      <c r="N3475" s="4">
        <v>7247.69</v>
      </c>
    </row>
    <row r="3476" spans="1:14" x14ac:dyDescent="0.25">
      <c r="A3476" s="2" t="s">
        <v>418</v>
      </c>
      <c r="B3476" s="2" t="s">
        <v>419</v>
      </c>
      <c r="C3476" s="3">
        <v>14.585000000000001</v>
      </c>
      <c r="D3476" s="4">
        <v>136.36975000000001</v>
      </c>
      <c r="E3476" s="4">
        <v>138.5575</v>
      </c>
      <c r="F3476" s="4">
        <f t="shared" si="241"/>
        <v>-2.1877499999999941</v>
      </c>
      <c r="G3476" s="5">
        <f t="shared" si="242"/>
        <v>-1.6042780748663058E-2</v>
      </c>
      <c r="H3476" s="2" t="s">
        <v>2232</v>
      </c>
      <c r="I3476" s="6" t="s">
        <v>69</v>
      </c>
      <c r="J3476" s="2" t="s">
        <v>2233</v>
      </c>
      <c r="K3476" s="2" t="s">
        <v>2234</v>
      </c>
      <c r="L3476" s="2" t="s">
        <v>28</v>
      </c>
      <c r="M3476" s="2" t="s">
        <v>5</v>
      </c>
      <c r="N3476" s="4">
        <v>7007.39</v>
      </c>
    </row>
    <row r="3477" spans="1:14" x14ac:dyDescent="0.25">
      <c r="A3477" s="2" t="s">
        <v>2228</v>
      </c>
      <c r="B3477" s="2" t="s">
        <v>2229</v>
      </c>
      <c r="C3477" s="3">
        <v>43.3</v>
      </c>
      <c r="D3477" s="4">
        <v>1082.5</v>
      </c>
      <c r="E3477" s="4">
        <v>887.65</v>
      </c>
      <c r="F3477" s="4">
        <f t="shared" si="241"/>
        <v>194.85000000000002</v>
      </c>
      <c r="G3477" s="5">
        <f t="shared" si="242"/>
        <v>0.18000000000000002</v>
      </c>
      <c r="H3477" s="2" t="s">
        <v>2235</v>
      </c>
      <c r="I3477" s="6" t="s">
        <v>32</v>
      </c>
      <c r="J3477" s="2" t="s">
        <v>2236</v>
      </c>
      <c r="K3477" s="2" t="s">
        <v>2237</v>
      </c>
      <c r="L3477" s="2" t="s">
        <v>28</v>
      </c>
      <c r="M3477" s="2" t="s">
        <v>5</v>
      </c>
      <c r="N3477" s="4">
        <v>7247.69</v>
      </c>
    </row>
    <row r="3479" spans="1:14" x14ac:dyDescent="0.25">
      <c r="A3479" s="13" t="s">
        <v>59</v>
      </c>
      <c r="B3479" s="21"/>
      <c r="C3479" s="22">
        <f>SUM(C3436:C3478)</f>
        <v>1089.047</v>
      </c>
      <c r="D3479" s="23">
        <f>SUM(D3436:D3478)</f>
        <v>14255.086559999998</v>
      </c>
      <c r="E3479" s="23">
        <f>SUM(E3436:E3478)</f>
        <v>10572.573850000001</v>
      </c>
      <c r="F3479" s="23">
        <f>D3479-E3479</f>
        <v>3682.5127099999972</v>
      </c>
      <c r="G3479" s="24">
        <f>IF(((D3479)=0),0,(D3479-E3479)/ D3479)</f>
        <v>0.25832973335519316</v>
      </c>
      <c r="H3479" s="21"/>
      <c r="I3479" s="21"/>
      <c r="J3479" s="21"/>
      <c r="K3479" s="21"/>
      <c r="L3479" s="21"/>
      <c r="M3479" s="21"/>
      <c r="N3479" s="21"/>
    </row>
    <row r="3481" spans="1:14" s="17" customFormat="1" ht="18.75" x14ac:dyDescent="0.3"/>
    <row r="3482" spans="1:14" s="7" customFormat="1" x14ac:dyDescent="0.25">
      <c r="A3482" s="13" t="s">
        <v>2238</v>
      </c>
      <c r="B3482" s="18" t="s">
        <v>2239</v>
      </c>
      <c r="C3482" s="19"/>
      <c r="D3482" s="20" t="s">
        <v>5</v>
      </c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</row>
    <row r="3484" spans="1:14" x14ac:dyDescent="0.25">
      <c r="A3484" s="2" t="s">
        <v>2240</v>
      </c>
      <c r="B3484" s="2" t="s">
        <v>2241</v>
      </c>
      <c r="C3484" s="3">
        <v>35</v>
      </c>
      <c r="D3484" s="4">
        <v>2625</v>
      </c>
      <c r="E3484" s="4">
        <v>2088.4499999999998</v>
      </c>
      <c r="F3484" s="4">
        <f>D3484-E3484</f>
        <v>536.55000000000018</v>
      </c>
      <c r="G3484" s="5">
        <f>IF(((D3484)=0),0,(D3484-E3484)/ D3484)</f>
        <v>0.20440000000000008</v>
      </c>
      <c r="H3484" s="2" t="s">
        <v>2242</v>
      </c>
      <c r="I3484" s="6" t="s">
        <v>39</v>
      </c>
      <c r="J3484" s="2" t="s">
        <v>2243</v>
      </c>
      <c r="K3484" s="2" t="s">
        <v>5</v>
      </c>
      <c r="L3484" s="2" t="s">
        <v>28</v>
      </c>
      <c r="M3484" s="2" t="s">
        <v>5</v>
      </c>
      <c r="N3484" s="4">
        <v>2625</v>
      </c>
    </row>
    <row r="3485" spans="1:14" x14ac:dyDescent="0.25">
      <c r="A3485" s="2" t="s">
        <v>2240</v>
      </c>
      <c r="B3485" s="2" t="s">
        <v>2241</v>
      </c>
      <c r="C3485" s="3">
        <v>15</v>
      </c>
      <c r="D3485" s="4">
        <v>1125</v>
      </c>
      <c r="E3485" s="4">
        <v>895.05</v>
      </c>
      <c r="F3485" s="4">
        <f>D3485-E3485</f>
        <v>229.95000000000005</v>
      </c>
      <c r="G3485" s="5">
        <f>IF(((D3485)=0),0,(D3485-E3485)/ D3485)</f>
        <v>0.20440000000000005</v>
      </c>
      <c r="H3485" s="2" t="s">
        <v>2244</v>
      </c>
      <c r="I3485" s="6" t="s">
        <v>74</v>
      </c>
      <c r="J3485" s="2" t="s">
        <v>2245</v>
      </c>
      <c r="K3485" s="2" t="s">
        <v>5</v>
      </c>
      <c r="L3485" s="2" t="s">
        <v>28</v>
      </c>
      <c r="M3485" s="2" t="s">
        <v>5</v>
      </c>
      <c r="N3485" s="4">
        <v>1125</v>
      </c>
    </row>
    <row r="3487" spans="1:14" x14ac:dyDescent="0.25">
      <c r="A3487" s="13" t="s">
        <v>59</v>
      </c>
      <c r="B3487" s="21"/>
      <c r="C3487" s="22">
        <f>SUM(C3481:C3486)</f>
        <v>50</v>
      </c>
      <c r="D3487" s="23">
        <f>SUM(D3481:D3486)</f>
        <v>3750</v>
      </c>
      <c r="E3487" s="23">
        <f>SUM(E3481:E3486)</f>
        <v>2983.5</v>
      </c>
      <c r="F3487" s="23">
        <f>D3487-E3487</f>
        <v>766.5</v>
      </c>
      <c r="G3487" s="24">
        <f>IF(((D3487)=0),0,(D3487-E3487)/ D3487)</f>
        <v>0.2044</v>
      </c>
      <c r="H3487" s="21"/>
      <c r="I3487" s="21"/>
      <c r="J3487" s="21"/>
      <c r="K3487" s="21"/>
      <c r="L3487" s="21"/>
      <c r="M3487" s="21"/>
      <c r="N3487" s="21"/>
    </row>
    <row r="3489" spans="1:14" s="17" customFormat="1" ht="18.75" x14ac:dyDescent="0.3"/>
    <row r="3490" spans="1:14" s="7" customFormat="1" x14ac:dyDescent="0.25">
      <c r="A3490" s="13" t="s">
        <v>2246</v>
      </c>
      <c r="B3490" s="18" t="s">
        <v>2247</v>
      </c>
      <c r="C3490" s="19"/>
      <c r="D3490" s="20" t="s">
        <v>5</v>
      </c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</row>
    <row r="3492" spans="1:14" x14ac:dyDescent="0.25">
      <c r="A3492" s="2" t="s">
        <v>2248</v>
      </c>
      <c r="B3492" s="2" t="s">
        <v>2249</v>
      </c>
      <c r="C3492" s="3">
        <v>1350</v>
      </c>
      <c r="D3492" s="4">
        <v>6750</v>
      </c>
      <c r="E3492" s="4">
        <v>6750</v>
      </c>
      <c r="F3492" s="4">
        <f t="shared" ref="F3492:F3500" si="243">D3492-E3492</f>
        <v>0</v>
      </c>
      <c r="G3492" s="5">
        <f t="shared" ref="G3492:G3500" si="244">IF(((D3492)=0),0,(D3492-E3492)/ D3492)</f>
        <v>0</v>
      </c>
      <c r="H3492" s="2" t="s">
        <v>2250</v>
      </c>
      <c r="I3492" s="6" t="s">
        <v>25</v>
      </c>
      <c r="J3492" s="2" t="s">
        <v>2251</v>
      </c>
      <c r="K3492" s="2" t="s">
        <v>2252</v>
      </c>
      <c r="L3492" s="2" t="s">
        <v>28</v>
      </c>
      <c r="M3492" s="2" t="s">
        <v>5</v>
      </c>
      <c r="N3492" s="4">
        <v>5400</v>
      </c>
    </row>
    <row r="3493" spans="1:14" x14ac:dyDescent="0.25">
      <c r="A3493" s="2" t="s">
        <v>2253</v>
      </c>
      <c r="B3493" s="2" t="s">
        <v>2254</v>
      </c>
      <c r="C3493" s="3">
        <v>1350</v>
      </c>
      <c r="D3493" s="4">
        <v>-1350</v>
      </c>
      <c r="E3493" s="4">
        <v>-1350</v>
      </c>
      <c r="F3493" s="4">
        <f t="shared" si="243"/>
        <v>0</v>
      </c>
      <c r="G3493" s="5">
        <f t="shared" si="244"/>
        <v>0</v>
      </c>
      <c r="H3493" s="2" t="s">
        <v>2250</v>
      </c>
      <c r="I3493" s="6" t="s">
        <v>25</v>
      </c>
      <c r="J3493" s="2" t="s">
        <v>2251</v>
      </c>
      <c r="K3493" s="2" t="s">
        <v>2252</v>
      </c>
      <c r="L3493" s="2" t="s">
        <v>28</v>
      </c>
      <c r="M3493" s="2" t="s">
        <v>5</v>
      </c>
      <c r="N3493" s="4">
        <v>5400</v>
      </c>
    </row>
    <row r="3494" spans="1:14" x14ac:dyDescent="0.25">
      <c r="A3494" s="2" t="s">
        <v>2253</v>
      </c>
      <c r="B3494" s="2" t="s">
        <v>2254</v>
      </c>
      <c r="C3494" s="3">
        <v>2728</v>
      </c>
      <c r="D3494" s="4">
        <v>12751.66</v>
      </c>
      <c r="E3494" s="4">
        <v>26243.360000000001</v>
      </c>
      <c r="F3494" s="4">
        <f t="shared" si="243"/>
        <v>-13491.7</v>
      </c>
      <c r="G3494" s="5">
        <f t="shared" si="244"/>
        <v>-1.0580347970381896</v>
      </c>
      <c r="H3494" s="2" t="s">
        <v>2255</v>
      </c>
      <c r="I3494" s="6" t="s">
        <v>25</v>
      </c>
      <c r="J3494" s="2" t="s">
        <v>2251</v>
      </c>
      <c r="K3494" s="2" t="s">
        <v>2256</v>
      </c>
      <c r="L3494" s="2" t="s">
        <v>28</v>
      </c>
      <c r="M3494" s="2" t="s">
        <v>5</v>
      </c>
      <c r="N3494" s="4">
        <v>12751.66</v>
      </c>
    </row>
    <row r="3495" spans="1:14" x14ac:dyDescent="0.25">
      <c r="A3495" s="2" t="s">
        <v>2253</v>
      </c>
      <c r="B3495" s="2" t="s">
        <v>2254</v>
      </c>
      <c r="C3495" s="3">
        <v>1280</v>
      </c>
      <c r="D3495" s="4">
        <v>6596.6</v>
      </c>
      <c r="E3495" s="4">
        <v>11648</v>
      </c>
      <c r="F3495" s="4">
        <f t="shared" si="243"/>
        <v>-5051.3999999999996</v>
      </c>
      <c r="G3495" s="5">
        <f t="shared" si="244"/>
        <v>-0.76575811781826997</v>
      </c>
      <c r="H3495" s="2" t="s">
        <v>2257</v>
      </c>
      <c r="I3495" s="6" t="s">
        <v>25</v>
      </c>
      <c r="J3495" s="2" t="s">
        <v>2258</v>
      </c>
      <c r="K3495" s="2" t="s">
        <v>2259</v>
      </c>
      <c r="L3495" s="2" t="s">
        <v>28</v>
      </c>
      <c r="M3495" s="2" t="s">
        <v>5</v>
      </c>
      <c r="N3495" s="4">
        <v>6596.6</v>
      </c>
    </row>
    <row r="3496" spans="1:14" x14ac:dyDescent="0.25">
      <c r="A3496" s="2" t="s">
        <v>2260</v>
      </c>
      <c r="B3496" s="2" t="s">
        <v>2261</v>
      </c>
      <c r="C3496" s="3">
        <v>1</v>
      </c>
      <c r="D3496" s="4">
        <v>4292</v>
      </c>
      <c r="E3496" s="4">
        <v>4292</v>
      </c>
      <c r="F3496" s="4">
        <f t="shared" si="243"/>
        <v>0</v>
      </c>
      <c r="G3496" s="5">
        <f t="shared" si="244"/>
        <v>0</v>
      </c>
      <c r="H3496" s="2" t="s">
        <v>2262</v>
      </c>
      <c r="I3496" s="6" t="s">
        <v>74</v>
      </c>
      <c r="J3496" s="2" t="s">
        <v>2263</v>
      </c>
      <c r="K3496" s="2" t="s">
        <v>2264</v>
      </c>
      <c r="L3496" s="2" t="s">
        <v>28</v>
      </c>
      <c r="M3496" s="2" t="s">
        <v>5</v>
      </c>
      <c r="N3496" s="4">
        <v>4292</v>
      </c>
    </row>
    <row r="3497" spans="1:14" x14ac:dyDescent="0.25">
      <c r="A3497" s="2" t="s">
        <v>2265</v>
      </c>
      <c r="B3497" s="2" t="s">
        <v>2266</v>
      </c>
      <c r="C3497" s="3">
        <v>1</v>
      </c>
      <c r="D3497" s="4">
        <v>280</v>
      </c>
      <c r="E3497" s="4">
        <v>280</v>
      </c>
      <c r="F3497" s="4">
        <f t="shared" si="243"/>
        <v>0</v>
      </c>
      <c r="G3497" s="5">
        <f t="shared" si="244"/>
        <v>0</v>
      </c>
      <c r="H3497" s="2" t="s">
        <v>2267</v>
      </c>
      <c r="I3497" s="6" t="s">
        <v>32</v>
      </c>
      <c r="J3497" s="2" t="s">
        <v>2268</v>
      </c>
      <c r="K3497" s="2" t="s">
        <v>2269</v>
      </c>
      <c r="L3497" s="2" t="s">
        <v>28</v>
      </c>
      <c r="M3497" s="2" t="s">
        <v>5</v>
      </c>
      <c r="N3497" s="4">
        <v>308</v>
      </c>
    </row>
    <row r="3498" spans="1:14" x14ac:dyDescent="0.25">
      <c r="A3498" s="2" t="s">
        <v>2265</v>
      </c>
      <c r="B3498" s="2" t="s">
        <v>2266</v>
      </c>
      <c r="C3498" s="3">
        <v>1</v>
      </c>
      <c r="D3498" s="4">
        <v>362.5</v>
      </c>
      <c r="E3498" s="4">
        <v>362.5</v>
      </c>
      <c r="F3498" s="4">
        <f t="shared" si="243"/>
        <v>0</v>
      </c>
      <c r="G3498" s="5">
        <f t="shared" si="244"/>
        <v>0</v>
      </c>
      <c r="H3498" s="2" t="s">
        <v>2270</v>
      </c>
      <c r="I3498" s="6" t="s">
        <v>69</v>
      </c>
      <c r="J3498" s="2" t="s">
        <v>2271</v>
      </c>
      <c r="K3498" s="2" t="s">
        <v>2272</v>
      </c>
      <c r="L3498" s="2" t="s">
        <v>28</v>
      </c>
      <c r="M3498" s="2" t="s">
        <v>5</v>
      </c>
      <c r="N3498" s="4">
        <v>398.75</v>
      </c>
    </row>
    <row r="3499" spans="1:14" x14ac:dyDescent="0.25">
      <c r="A3499" s="2" t="s">
        <v>2265</v>
      </c>
      <c r="B3499" s="2" t="s">
        <v>2266</v>
      </c>
      <c r="C3499" s="3">
        <v>1</v>
      </c>
      <c r="D3499" s="4">
        <v>660</v>
      </c>
      <c r="E3499" s="4">
        <v>660</v>
      </c>
      <c r="F3499" s="4">
        <f t="shared" si="243"/>
        <v>0</v>
      </c>
      <c r="G3499" s="5">
        <f t="shared" si="244"/>
        <v>0</v>
      </c>
      <c r="H3499" s="2" t="s">
        <v>2273</v>
      </c>
      <c r="I3499" s="6" t="s">
        <v>25</v>
      </c>
      <c r="J3499" s="2" t="s">
        <v>2268</v>
      </c>
      <c r="K3499" s="2" t="s">
        <v>2274</v>
      </c>
      <c r="L3499" s="2" t="s">
        <v>28</v>
      </c>
      <c r="M3499" s="2" t="s">
        <v>5</v>
      </c>
      <c r="N3499" s="4">
        <v>726</v>
      </c>
    </row>
    <row r="3500" spans="1:14" x14ac:dyDescent="0.25">
      <c r="A3500" s="2" t="s">
        <v>2265</v>
      </c>
      <c r="B3500" s="2" t="s">
        <v>2266</v>
      </c>
      <c r="C3500" s="3">
        <v>1</v>
      </c>
      <c r="D3500" s="4">
        <v>1088</v>
      </c>
      <c r="E3500" s="4">
        <v>1088</v>
      </c>
      <c r="F3500" s="4">
        <f t="shared" si="243"/>
        <v>0</v>
      </c>
      <c r="G3500" s="5">
        <f t="shared" si="244"/>
        <v>0</v>
      </c>
      <c r="H3500" s="2" t="s">
        <v>2275</v>
      </c>
      <c r="I3500" s="6" t="s">
        <v>69</v>
      </c>
      <c r="J3500" s="2" t="s">
        <v>2276</v>
      </c>
      <c r="K3500" s="2" t="s">
        <v>2277</v>
      </c>
      <c r="L3500" s="2" t="s">
        <v>28</v>
      </c>
      <c r="M3500" s="2" t="s">
        <v>5</v>
      </c>
      <c r="N3500" s="4">
        <v>1196.8</v>
      </c>
    </row>
    <row r="3502" spans="1:14" x14ac:dyDescent="0.25">
      <c r="A3502" s="13" t="s">
        <v>59</v>
      </c>
      <c r="B3502" s="21"/>
      <c r="C3502" s="22">
        <f>SUM(C3489:C3501)</f>
        <v>6713</v>
      </c>
      <c r="D3502" s="23">
        <f>SUM(D3489:D3501)</f>
        <v>31430.760000000002</v>
      </c>
      <c r="E3502" s="23">
        <f>SUM(E3489:E3501)</f>
        <v>49973.86</v>
      </c>
      <c r="F3502" s="23">
        <f>D3502-E3502</f>
        <v>-18543.099999999999</v>
      </c>
      <c r="G3502" s="24">
        <f>IF(((D3502)=0),0,(D3502-E3502)/ D3502)</f>
        <v>-0.58996664414096245</v>
      </c>
      <c r="H3502" s="21"/>
      <c r="I3502" s="21"/>
      <c r="J3502" s="21"/>
      <c r="K3502" s="21"/>
      <c r="L3502" s="21"/>
      <c r="M3502" s="21"/>
      <c r="N3502" s="21"/>
    </row>
    <row r="3504" spans="1:14" s="17" customFormat="1" ht="18.75" x14ac:dyDescent="0.3"/>
    <row r="3505" spans="1:14" s="7" customFormat="1" x14ac:dyDescent="0.25">
      <c r="A3505" s="13" t="s">
        <v>2278</v>
      </c>
      <c r="B3505" s="18" t="s">
        <v>2279</v>
      </c>
      <c r="C3505" s="19"/>
      <c r="D3505" s="20" t="s">
        <v>5</v>
      </c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</row>
    <row r="3507" spans="1:14" x14ac:dyDescent="0.25">
      <c r="A3507" s="2" t="s">
        <v>1478</v>
      </c>
      <c r="B3507" s="2" t="s">
        <v>1479</v>
      </c>
      <c r="C3507" s="3">
        <v>2.5</v>
      </c>
      <c r="D3507" s="4">
        <v>34.4</v>
      </c>
      <c r="E3507" s="4">
        <v>27.45</v>
      </c>
      <c r="F3507" s="4">
        <f t="shared" ref="F3507:F3516" si="245">D3507-E3507</f>
        <v>6.9499999999999993</v>
      </c>
      <c r="G3507" s="5">
        <f t="shared" ref="G3507:G3516" si="246">IF(((D3507)=0),0,(D3507-E3507)/ D3507)</f>
        <v>0.20203488372093023</v>
      </c>
      <c r="H3507" s="2" t="s">
        <v>2280</v>
      </c>
      <c r="I3507" s="6" t="s">
        <v>25</v>
      </c>
      <c r="J3507" s="2" t="s">
        <v>2281</v>
      </c>
      <c r="K3507" s="2" t="s">
        <v>5</v>
      </c>
      <c r="L3507" s="2" t="s">
        <v>28</v>
      </c>
      <c r="M3507" s="2" t="s">
        <v>5</v>
      </c>
      <c r="N3507" s="4">
        <v>1380.37</v>
      </c>
    </row>
    <row r="3508" spans="1:14" x14ac:dyDescent="0.25">
      <c r="A3508" s="2" t="s">
        <v>1661</v>
      </c>
      <c r="B3508" s="2" t="s">
        <v>1662</v>
      </c>
      <c r="C3508" s="3">
        <v>4.12</v>
      </c>
      <c r="D3508" s="4">
        <v>50.511200000000002</v>
      </c>
      <c r="E3508" s="4">
        <v>50.264000000000003</v>
      </c>
      <c r="F3508" s="4">
        <f t="shared" si="245"/>
        <v>0.24719999999999942</v>
      </c>
      <c r="G3508" s="5">
        <f t="shared" si="246"/>
        <v>4.8939641109298415E-3</v>
      </c>
      <c r="H3508" s="2" t="s">
        <v>2280</v>
      </c>
      <c r="I3508" s="6" t="s">
        <v>25</v>
      </c>
      <c r="J3508" s="2" t="s">
        <v>2281</v>
      </c>
      <c r="K3508" s="2" t="s">
        <v>5</v>
      </c>
      <c r="L3508" s="2" t="s">
        <v>28</v>
      </c>
      <c r="M3508" s="2" t="s">
        <v>5</v>
      </c>
      <c r="N3508" s="4">
        <v>1380.37</v>
      </c>
    </row>
    <row r="3509" spans="1:14" x14ac:dyDescent="0.25">
      <c r="A3509" s="2" t="s">
        <v>2282</v>
      </c>
      <c r="B3509" s="2" t="s">
        <v>2283</v>
      </c>
      <c r="C3509" s="3">
        <v>8.93</v>
      </c>
      <c r="D3509" s="4">
        <v>123.3233</v>
      </c>
      <c r="E3509" s="4">
        <v>100.90900000000001</v>
      </c>
      <c r="F3509" s="4">
        <f t="shared" si="245"/>
        <v>22.414299999999997</v>
      </c>
      <c r="G3509" s="5">
        <f t="shared" si="246"/>
        <v>0.18175235336712525</v>
      </c>
      <c r="H3509" s="2" t="s">
        <v>2280</v>
      </c>
      <c r="I3509" s="6" t="s">
        <v>25</v>
      </c>
      <c r="J3509" s="2" t="s">
        <v>2281</v>
      </c>
      <c r="K3509" s="2" t="s">
        <v>5</v>
      </c>
      <c r="L3509" s="2" t="s">
        <v>28</v>
      </c>
      <c r="M3509" s="2" t="s">
        <v>5</v>
      </c>
      <c r="N3509" s="4">
        <v>1380.37</v>
      </c>
    </row>
    <row r="3510" spans="1:14" x14ac:dyDescent="0.25">
      <c r="A3510" s="2" t="s">
        <v>1735</v>
      </c>
      <c r="B3510" s="2" t="s">
        <v>1736</v>
      </c>
      <c r="C3510" s="3">
        <v>5.9</v>
      </c>
      <c r="D3510" s="4">
        <v>91.745000000000005</v>
      </c>
      <c r="E3510" s="4">
        <v>40.71</v>
      </c>
      <c r="F3510" s="4">
        <f t="shared" si="245"/>
        <v>51.035000000000004</v>
      </c>
      <c r="G3510" s="5">
        <f t="shared" si="246"/>
        <v>0.5562700964630225</v>
      </c>
      <c r="H3510" s="2" t="s">
        <v>2280</v>
      </c>
      <c r="I3510" s="6" t="s">
        <v>25</v>
      </c>
      <c r="J3510" s="2" t="s">
        <v>2281</v>
      </c>
      <c r="K3510" s="2" t="s">
        <v>5</v>
      </c>
      <c r="L3510" s="2" t="s">
        <v>28</v>
      </c>
      <c r="M3510" s="2" t="s">
        <v>5</v>
      </c>
      <c r="N3510" s="4">
        <v>1380.37</v>
      </c>
    </row>
    <row r="3511" spans="1:14" x14ac:dyDescent="0.25">
      <c r="A3511" s="2" t="s">
        <v>538</v>
      </c>
      <c r="B3511" s="2" t="s">
        <v>539</v>
      </c>
      <c r="C3511" s="3">
        <v>4.78</v>
      </c>
      <c r="D3511" s="4">
        <v>22.943999999999999</v>
      </c>
      <c r="E3511" s="4">
        <v>11.95</v>
      </c>
      <c r="F3511" s="4">
        <f t="shared" si="245"/>
        <v>10.994</v>
      </c>
      <c r="G3511" s="5">
        <f t="shared" si="246"/>
        <v>0.47916666666666669</v>
      </c>
      <c r="H3511" s="2" t="s">
        <v>2280</v>
      </c>
      <c r="I3511" s="6" t="s">
        <v>25</v>
      </c>
      <c r="J3511" s="2" t="s">
        <v>2281</v>
      </c>
      <c r="K3511" s="2" t="s">
        <v>5</v>
      </c>
      <c r="L3511" s="2" t="s">
        <v>28</v>
      </c>
      <c r="M3511" s="2" t="s">
        <v>5</v>
      </c>
      <c r="N3511" s="4">
        <v>1380.37</v>
      </c>
    </row>
    <row r="3512" spans="1:14" x14ac:dyDescent="0.25">
      <c r="A3512" s="2" t="s">
        <v>1715</v>
      </c>
      <c r="B3512" s="2" t="s">
        <v>1716</v>
      </c>
      <c r="C3512" s="3">
        <v>4.12</v>
      </c>
      <c r="D3512" s="4">
        <v>79.516000000000005</v>
      </c>
      <c r="E3512" s="4">
        <v>62.83</v>
      </c>
      <c r="F3512" s="4">
        <f t="shared" si="245"/>
        <v>16.686000000000007</v>
      </c>
      <c r="G3512" s="5">
        <f t="shared" si="246"/>
        <v>0.20984455958549231</v>
      </c>
      <c r="H3512" s="2" t="s">
        <v>2280</v>
      </c>
      <c r="I3512" s="6" t="s">
        <v>25</v>
      </c>
      <c r="J3512" s="2" t="s">
        <v>2281</v>
      </c>
      <c r="K3512" s="2" t="s">
        <v>5</v>
      </c>
      <c r="L3512" s="2" t="s">
        <v>28</v>
      </c>
      <c r="M3512" s="2" t="s">
        <v>5</v>
      </c>
      <c r="N3512" s="4">
        <v>1380.37</v>
      </c>
    </row>
    <row r="3513" spans="1:14" x14ac:dyDescent="0.25">
      <c r="A3513" s="2" t="s">
        <v>544</v>
      </c>
      <c r="B3513" s="2" t="s">
        <v>545</v>
      </c>
      <c r="C3513" s="3">
        <v>12.31</v>
      </c>
      <c r="D3513" s="4">
        <v>537.57770000000005</v>
      </c>
      <c r="E3513" s="4">
        <v>381.61</v>
      </c>
      <c r="F3513" s="4">
        <f t="shared" si="245"/>
        <v>155.96770000000004</v>
      </c>
      <c r="G3513" s="5">
        <f t="shared" si="246"/>
        <v>0.29013052438745141</v>
      </c>
      <c r="H3513" s="2" t="s">
        <v>2280</v>
      </c>
      <c r="I3513" s="6" t="s">
        <v>25</v>
      </c>
      <c r="J3513" s="2" t="s">
        <v>2281</v>
      </c>
      <c r="K3513" s="2" t="s">
        <v>5</v>
      </c>
      <c r="L3513" s="2" t="s">
        <v>28</v>
      </c>
      <c r="M3513" s="2" t="s">
        <v>5</v>
      </c>
      <c r="N3513" s="4">
        <v>1380.37</v>
      </c>
    </row>
    <row r="3514" spans="1:14" x14ac:dyDescent="0.25">
      <c r="A3514" s="2" t="s">
        <v>546</v>
      </c>
      <c r="B3514" s="2" t="s">
        <v>547</v>
      </c>
      <c r="C3514" s="3">
        <v>10.6</v>
      </c>
      <c r="D3514" s="4">
        <v>265.63600000000002</v>
      </c>
      <c r="E3514" s="4">
        <v>153.69999999999999</v>
      </c>
      <c r="F3514" s="4">
        <f t="shared" si="245"/>
        <v>111.93600000000004</v>
      </c>
      <c r="G3514" s="5">
        <f t="shared" si="246"/>
        <v>0.42138866719872314</v>
      </c>
      <c r="H3514" s="2" t="s">
        <v>2280</v>
      </c>
      <c r="I3514" s="6" t="s">
        <v>25</v>
      </c>
      <c r="J3514" s="2" t="s">
        <v>2281</v>
      </c>
      <c r="K3514" s="2" t="s">
        <v>5</v>
      </c>
      <c r="L3514" s="2" t="s">
        <v>28</v>
      </c>
      <c r="M3514" s="2" t="s">
        <v>5</v>
      </c>
      <c r="N3514" s="4">
        <v>1380.37</v>
      </c>
    </row>
    <row r="3515" spans="1:14" x14ac:dyDescent="0.25">
      <c r="A3515" s="2" t="s">
        <v>2284</v>
      </c>
      <c r="B3515" s="2" t="s">
        <v>2285</v>
      </c>
      <c r="C3515" s="3">
        <v>2.4740000000000002</v>
      </c>
      <c r="D3515" s="4">
        <v>39.435560000000002</v>
      </c>
      <c r="E3515" s="4">
        <v>30.925000000000001</v>
      </c>
      <c r="F3515" s="4">
        <f t="shared" si="245"/>
        <v>8.5105600000000017</v>
      </c>
      <c r="G3515" s="5">
        <f t="shared" si="246"/>
        <v>0.21580928481806777</v>
      </c>
      <c r="H3515" s="2" t="s">
        <v>2280</v>
      </c>
      <c r="I3515" s="6" t="s">
        <v>25</v>
      </c>
      <c r="J3515" s="2" t="s">
        <v>2281</v>
      </c>
      <c r="K3515" s="2" t="s">
        <v>5</v>
      </c>
      <c r="L3515" s="2" t="s">
        <v>28</v>
      </c>
      <c r="M3515" s="2" t="s">
        <v>5</v>
      </c>
      <c r="N3515" s="4">
        <v>1380.37</v>
      </c>
    </row>
    <row r="3516" spans="1:14" x14ac:dyDescent="0.25">
      <c r="A3516" s="2" t="s">
        <v>550</v>
      </c>
      <c r="B3516" s="2" t="s">
        <v>551</v>
      </c>
      <c r="C3516" s="3">
        <v>4.3</v>
      </c>
      <c r="D3516" s="4">
        <v>135.27799999999999</v>
      </c>
      <c r="E3516" s="4">
        <v>101.05</v>
      </c>
      <c r="F3516" s="4">
        <f t="shared" si="245"/>
        <v>34.227999999999994</v>
      </c>
      <c r="G3516" s="5">
        <f t="shared" si="246"/>
        <v>0.25301970756516207</v>
      </c>
      <c r="H3516" s="2" t="s">
        <v>2280</v>
      </c>
      <c r="I3516" s="6" t="s">
        <v>25</v>
      </c>
      <c r="J3516" s="2" t="s">
        <v>2281</v>
      </c>
      <c r="K3516" s="2" t="s">
        <v>5</v>
      </c>
      <c r="L3516" s="2" t="s">
        <v>28</v>
      </c>
      <c r="M3516" s="2" t="s">
        <v>5</v>
      </c>
      <c r="N3516" s="4">
        <v>1380.37</v>
      </c>
    </row>
    <row r="3518" spans="1:14" x14ac:dyDescent="0.25">
      <c r="A3518" s="13" t="s">
        <v>59</v>
      </c>
      <c r="B3518" s="21"/>
      <c r="C3518" s="22">
        <f>SUM(C3504:C3517)</f>
        <v>60.034000000000006</v>
      </c>
      <c r="D3518" s="23">
        <f>SUM(D3504:D3517)</f>
        <v>1380.3667600000001</v>
      </c>
      <c r="E3518" s="23">
        <f>SUM(E3504:E3517)</f>
        <v>961.39799999999991</v>
      </c>
      <c r="F3518" s="23">
        <f>D3518-E3518</f>
        <v>418.9687600000002</v>
      </c>
      <c r="G3518" s="24">
        <f>IF(((D3518)=0),0,(D3518-E3518)/ D3518)</f>
        <v>0.30351988481669911</v>
      </c>
      <c r="H3518" s="21"/>
      <c r="I3518" s="21"/>
      <c r="J3518" s="21"/>
      <c r="K3518" s="21"/>
      <c r="L3518" s="21"/>
      <c r="M3518" s="21"/>
      <c r="N3518" s="21"/>
    </row>
    <row r="3520" spans="1:14" s="17" customFormat="1" ht="18.75" x14ac:dyDescent="0.3"/>
    <row r="3521" spans="1:14" s="7" customFormat="1" x14ac:dyDescent="0.25">
      <c r="A3521" s="13" t="s">
        <v>2286</v>
      </c>
      <c r="B3521" s="18" t="s">
        <v>2287</v>
      </c>
      <c r="C3521" s="19"/>
      <c r="D3521" s="20" t="s">
        <v>5</v>
      </c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</row>
    <row r="3523" spans="1:14" x14ac:dyDescent="0.25">
      <c r="A3523" s="2" t="s">
        <v>1721</v>
      </c>
      <c r="B3523" s="2" t="s">
        <v>1722</v>
      </c>
      <c r="C3523" s="3">
        <v>4.1440000000000001</v>
      </c>
      <c r="D3523" s="4">
        <v>66.055359999999993</v>
      </c>
      <c r="E3523" s="4">
        <v>51.8</v>
      </c>
      <c r="F3523" s="4">
        <f t="shared" ref="F3523:F3530" si="247">D3523-E3523</f>
        <v>14.255359999999996</v>
      </c>
      <c r="G3523" s="5">
        <f t="shared" ref="G3523:G3530" si="248">IF(((D3523)=0),0,(D3523-E3523)/ D3523)</f>
        <v>0.21580928481806771</v>
      </c>
      <c r="H3523" s="2" t="s">
        <v>2288</v>
      </c>
      <c r="I3523" s="6" t="s">
        <v>25</v>
      </c>
      <c r="J3523" s="2" t="s">
        <v>2289</v>
      </c>
      <c r="K3523" s="2" t="s">
        <v>5</v>
      </c>
      <c r="L3523" s="2" t="s">
        <v>28</v>
      </c>
      <c r="M3523" s="2" t="s">
        <v>5</v>
      </c>
      <c r="N3523" s="4">
        <v>2412.6</v>
      </c>
    </row>
    <row r="3524" spans="1:14" x14ac:dyDescent="0.25">
      <c r="A3524" s="2" t="s">
        <v>1701</v>
      </c>
      <c r="B3524" s="2" t="s">
        <v>1702</v>
      </c>
      <c r="C3524" s="3">
        <v>13.55</v>
      </c>
      <c r="D3524" s="4">
        <v>217.74850000000001</v>
      </c>
      <c r="E3524" s="4">
        <v>93.495000000000005</v>
      </c>
      <c r="F3524" s="4">
        <f t="shared" si="247"/>
        <v>124.2535</v>
      </c>
      <c r="G3524" s="5">
        <f t="shared" si="248"/>
        <v>0.57062850031113876</v>
      </c>
      <c r="H3524" s="2" t="s">
        <v>2288</v>
      </c>
      <c r="I3524" s="6" t="s">
        <v>25</v>
      </c>
      <c r="J3524" s="2" t="s">
        <v>2289</v>
      </c>
      <c r="K3524" s="2" t="s">
        <v>5</v>
      </c>
      <c r="L3524" s="2" t="s">
        <v>28</v>
      </c>
      <c r="M3524" s="2" t="s">
        <v>5</v>
      </c>
      <c r="N3524" s="4">
        <v>2412.6</v>
      </c>
    </row>
    <row r="3525" spans="1:14" x14ac:dyDescent="0.25">
      <c r="A3525" s="2" t="s">
        <v>544</v>
      </c>
      <c r="B3525" s="2" t="s">
        <v>545</v>
      </c>
      <c r="C3525" s="3">
        <v>9.8550000000000004</v>
      </c>
      <c r="D3525" s="4">
        <v>430.36784999999998</v>
      </c>
      <c r="E3525" s="4">
        <v>305.505</v>
      </c>
      <c r="F3525" s="4">
        <f t="shared" si="247"/>
        <v>124.86284999999998</v>
      </c>
      <c r="G3525" s="5">
        <f t="shared" si="248"/>
        <v>0.29013052438745129</v>
      </c>
      <c r="H3525" s="2" t="s">
        <v>2288</v>
      </c>
      <c r="I3525" s="6" t="s">
        <v>25</v>
      </c>
      <c r="J3525" s="2" t="s">
        <v>2289</v>
      </c>
      <c r="K3525" s="2" t="s">
        <v>5</v>
      </c>
      <c r="L3525" s="2" t="s">
        <v>28</v>
      </c>
      <c r="M3525" s="2" t="s">
        <v>5</v>
      </c>
      <c r="N3525" s="4">
        <v>2412.6</v>
      </c>
    </row>
    <row r="3526" spans="1:14" x14ac:dyDescent="0.25">
      <c r="A3526" s="2" t="s">
        <v>546</v>
      </c>
      <c r="B3526" s="2" t="s">
        <v>547</v>
      </c>
      <c r="C3526" s="3">
        <v>26.547999999999998</v>
      </c>
      <c r="D3526" s="4">
        <v>665.29287999999997</v>
      </c>
      <c r="E3526" s="4">
        <v>384.94600000000003</v>
      </c>
      <c r="F3526" s="4">
        <f t="shared" si="247"/>
        <v>280.34687999999994</v>
      </c>
      <c r="G3526" s="5">
        <f t="shared" si="248"/>
        <v>0.42138866719872298</v>
      </c>
      <c r="H3526" s="2" t="s">
        <v>2288</v>
      </c>
      <c r="I3526" s="6" t="s">
        <v>25</v>
      </c>
      <c r="J3526" s="2" t="s">
        <v>2289</v>
      </c>
      <c r="K3526" s="2" t="s">
        <v>5</v>
      </c>
      <c r="L3526" s="2" t="s">
        <v>28</v>
      </c>
      <c r="M3526" s="2" t="s">
        <v>5</v>
      </c>
      <c r="N3526" s="4">
        <v>2412.6</v>
      </c>
    </row>
    <row r="3527" spans="1:14" x14ac:dyDescent="0.25">
      <c r="A3527" s="2" t="s">
        <v>2284</v>
      </c>
      <c r="B3527" s="2" t="s">
        <v>2285</v>
      </c>
      <c r="C3527" s="3">
        <v>15.265000000000001</v>
      </c>
      <c r="D3527" s="4">
        <v>243.32409999999999</v>
      </c>
      <c r="E3527" s="4">
        <v>190.8125</v>
      </c>
      <c r="F3527" s="4">
        <f t="shared" si="247"/>
        <v>52.511599999999987</v>
      </c>
      <c r="G3527" s="5">
        <f t="shared" si="248"/>
        <v>0.21580928481806771</v>
      </c>
      <c r="H3527" s="2" t="s">
        <v>2288</v>
      </c>
      <c r="I3527" s="6" t="s">
        <v>25</v>
      </c>
      <c r="J3527" s="2" t="s">
        <v>2289</v>
      </c>
      <c r="K3527" s="2" t="s">
        <v>5</v>
      </c>
      <c r="L3527" s="2" t="s">
        <v>28</v>
      </c>
      <c r="M3527" s="2" t="s">
        <v>5</v>
      </c>
      <c r="N3527" s="4">
        <v>2412.6</v>
      </c>
    </row>
    <row r="3528" spans="1:14" x14ac:dyDescent="0.25">
      <c r="A3528" s="2" t="s">
        <v>2290</v>
      </c>
      <c r="B3528" s="2" t="s">
        <v>2291</v>
      </c>
      <c r="C3528" s="3">
        <v>4.9039999999999999</v>
      </c>
      <c r="D3528" s="4">
        <v>177.5248</v>
      </c>
      <c r="E3528" s="4">
        <v>102.98399999999999</v>
      </c>
      <c r="F3528" s="4">
        <f t="shared" si="247"/>
        <v>74.540800000000004</v>
      </c>
      <c r="G3528" s="5">
        <f t="shared" si="248"/>
        <v>0.41988950276243098</v>
      </c>
      <c r="H3528" s="2" t="s">
        <v>2288</v>
      </c>
      <c r="I3528" s="6" t="s">
        <v>25</v>
      </c>
      <c r="J3528" s="2" t="s">
        <v>2289</v>
      </c>
      <c r="K3528" s="2" t="s">
        <v>5</v>
      </c>
      <c r="L3528" s="2" t="s">
        <v>28</v>
      </c>
      <c r="M3528" s="2" t="s">
        <v>5</v>
      </c>
      <c r="N3528" s="4">
        <v>2412.6</v>
      </c>
    </row>
    <row r="3529" spans="1:14" x14ac:dyDescent="0.25">
      <c r="A3529" s="2" t="s">
        <v>550</v>
      </c>
      <c r="B3529" s="2" t="s">
        <v>551</v>
      </c>
      <c r="C3529" s="3">
        <v>7.5049999999999999</v>
      </c>
      <c r="D3529" s="4">
        <v>236.10730000000001</v>
      </c>
      <c r="E3529" s="4">
        <v>176.36750000000001</v>
      </c>
      <c r="F3529" s="4">
        <f t="shared" si="247"/>
        <v>59.739800000000002</v>
      </c>
      <c r="G3529" s="5">
        <f t="shared" si="248"/>
        <v>0.25301970756516212</v>
      </c>
      <c r="H3529" s="2" t="s">
        <v>2288</v>
      </c>
      <c r="I3529" s="6" t="s">
        <v>25</v>
      </c>
      <c r="J3529" s="2" t="s">
        <v>2289</v>
      </c>
      <c r="K3529" s="2" t="s">
        <v>5</v>
      </c>
      <c r="L3529" s="2" t="s">
        <v>28</v>
      </c>
      <c r="M3529" s="2" t="s">
        <v>5</v>
      </c>
      <c r="N3529" s="4">
        <v>2412.6</v>
      </c>
    </row>
    <row r="3530" spans="1:14" x14ac:dyDescent="0.25">
      <c r="A3530" s="2" t="s">
        <v>2292</v>
      </c>
      <c r="B3530" s="2" t="s">
        <v>2293</v>
      </c>
      <c r="C3530" s="3">
        <v>12.19</v>
      </c>
      <c r="D3530" s="4">
        <v>376.18340000000001</v>
      </c>
      <c r="E3530" s="4">
        <v>249.89500000000001</v>
      </c>
      <c r="F3530" s="4">
        <f t="shared" si="247"/>
        <v>126.2884</v>
      </c>
      <c r="G3530" s="5">
        <f t="shared" si="248"/>
        <v>0.33570965651328577</v>
      </c>
      <c r="H3530" s="2" t="s">
        <v>2288</v>
      </c>
      <c r="I3530" s="6" t="s">
        <v>25</v>
      </c>
      <c r="J3530" s="2" t="s">
        <v>2289</v>
      </c>
      <c r="K3530" s="2" t="s">
        <v>5</v>
      </c>
      <c r="L3530" s="2" t="s">
        <v>28</v>
      </c>
      <c r="M3530" s="2" t="s">
        <v>5</v>
      </c>
      <c r="N3530" s="4">
        <v>2412.6</v>
      </c>
    </row>
    <row r="3532" spans="1:14" x14ac:dyDescent="0.25">
      <c r="A3532" s="13" t="s">
        <v>59</v>
      </c>
      <c r="B3532" s="21"/>
      <c r="C3532" s="22">
        <f>SUM(C3520:C3531)</f>
        <v>93.960999999999984</v>
      </c>
      <c r="D3532" s="23">
        <f>SUM(D3520:D3531)</f>
        <v>2412.60419</v>
      </c>
      <c r="E3532" s="23">
        <f>SUM(E3520:E3531)</f>
        <v>1555.8050000000001</v>
      </c>
      <c r="F3532" s="23">
        <f>D3532-E3532</f>
        <v>856.79918999999995</v>
      </c>
      <c r="G3532" s="24">
        <f>IF(((D3532)=0),0,(D3532-E3532)/ D3532)</f>
        <v>0.35513458591813185</v>
      </c>
      <c r="H3532" s="21"/>
      <c r="I3532" s="21"/>
      <c r="J3532" s="21"/>
      <c r="K3532" s="21"/>
      <c r="L3532" s="21"/>
      <c r="M3532" s="21"/>
      <c r="N3532" s="21"/>
    </row>
    <row r="3534" spans="1:14" s="17" customFormat="1" ht="18.75" x14ac:dyDescent="0.3"/>
    <row r="3535" spans="1:14" s="7" customFormat="1" x14ac:dyDescent="0.25">
      <c r="A3535" s="13" t="s">
        <v>2294</v>
      </c>
      <c r="B3535" s="18" t="s">
        <v>2295</v>
      </c>
      <c r="C3535" s="19"/>
      <c r="D3535" s="20" t="s">
        <v>5</v>
      </c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</row>
    <row r="3537" spans="1:14" x14ac:dyDescent="0.25">
      <c r="A3537" s="2" t="s">
        <v>719</v>
      </c>
      <c r="B3537" s="2" t="s">
        <v>720</v>
      </c>
      <c r="C3537" s="3">
        <v>4</v>
      </c>
      <c r="D3537" s="4">
        <v>42.24</v>
      </c>
      <c r="E3537" s="4">
        <v>28.8</v>
      </c>
      <c r="F3537" s="4">
        <f t="shared" ref="F3537:F3546" si="249">D3537-E3537</f>
        <v>13.440000000000001</v>
      </c>
      <c r="G3537" s="5">
        <f t="shared" ref="G3537:G3546" si="250">IF(((D3537)=0),0,(D3537-E3537)/ D3537)</f>
        <v>0.31818181818181818</v>
      </c>
      <c r="H3537" s="2" t="s">
        <v>2296</v>
      </c>
      <c r="I3537" s="6" t="s">
        <v>25</v>
      </c>
      <c r="J3537" s="2" t="s">
        <v>2297</v>
      </c>
      <c r="K3537" s="2" t="s">
        <v>5</v>
      </c>
      <c r="L3537" s="2" t="s">
        <v>28</v>
      </c>
      <c r="M3537" s="2" t="s">
        <v>5</v>
      </c>
      <c r="N3537" s="4">
        <v>1705.32</v>
      </c>
    </row>
    <row r="3538" spans="1:14" x14ac:dyDescent="0.25">
      <c r="A3538" s="2" t="s">
        <v>29</v>
      </c>
      <c r="B3538" s="2" t="s">
        <v>30</v>
      </c>
      <c r="C3538" s="3">
        <v>6.25</v>
      </c>
      <c r="D3538" s="4">
        <v>105.625</v>
      </c>
      <c r="E3538" s="4">
        <v>62.5</v>
      </c>
      <c r="F3538" s="4">
        <f t="shared" si="249"/>
        <v>43.125</v>
      </c>
      <c r="G3538" s="5">
        <f t="shared" si="250"/>
        <v>0.40828402366863903</v>
      </c>
      <c r="H3538" s="2" t="s">
        <v>2296</v>
      </c>
      <c r="I3538" s="6" t="s">
        <v>25</v>
      </c>
      <c r="J3538" s="2" t="s">
        <v>2297</v>
      </c>
      <c r="K3538" s="2" t="s">
        <v>5</v>
      </c>
      <c r="L3538" s="2" t="s">
        <v>28</v>
      </c>
      <c r="M3538" s="2" t="s">
        <v>5</v>
      </c>
      <c r="N3538" s="4">
        <v>1705.32</v>
      </c>
    </row>
    <row r="3539" spans="1:14" x14ac:dyDescent="0.25">
      <c r="A3539" s="2" t="s">
        <v>312</v>
      </c>
      <c r="B3539" s="2" t="s">
        <v>313</v>
      </c>
      <c r="C3539" s="3">
        <v>7.665</v>
      </c>
      <c r="D3539" s="4">
        <v>75.883499999999998</v>
      </c>
      <c r="E3539" s="4">
        <v>52.888500000000001</v>
      </c>
      <c r="F3539" s="4">
        <f t="shared" si="249"/>
        <v>22.994999999999997</v>
      </c>
      <c r="G3539" s="5">
        <f t="shared" si="250"/>
        <v>0.30303030303030298</v>
      </c>
      <c r="H3539" s="2" t="s">
        <v>2296</v>
      </c>
      <c r="I3539" s="6" t="s">
        <v>25</v>
      </c>
      <c r="J3539" s="2" t="s">
        <v>2297</v>
      </c>
      <c r="K3539" s="2" t="s">
        <v>5</v>
      </c>
      <c r="L3539" s="2" t="s">
        <v>28</v>
      </c>
      <c r="M3539" s="2" t="s">
        <v>5</v>
      </c>
      <c r="N3539" s="4">
        <v>1705.32</v>
      </c>
    </row>
    <row r="3540" spans="1:14" x14ac:dyDescent="0.25">
      <c r="A3540" s="2" t="s">
        <v>49</v>
      </c>
      <c r="B3540" s="2" t="s">
        <v>50</v>
      </c>
      <c r="C3540" s="3">
        <v>1</v>
      </c>
      <c r="D3540" s="4">
        <v>13.91</v>
      </c>
      <c r="E3540" s="4">
        <v>11.03</v>
      </c>
      <c r="F3540" s="4">
        <f t="shared" si="249"/>
        <v>2.8800000000000008</v>
      </c>
      <c r="G3540" s="5">
        <f t="shared" si="250"/>
        <v>0.20704529115744075</v>
      </c>
      <c r="H3540" s="2" t="s">
        <v>2296</v>
      </c>
      <c r="I3540" s="6" t="s">
        <v>25</v>
      </c>
      <c r="J3540" s="2" t="s">
        <v>2297</v>
      </c>
      <c r="K3540" s="2" t="s">
        <v>5</v>
      </c>
      <c r="L3540" s="2" t="s">
        <v>28</v>
      </c>
      <c r="M3540" s="2" t="s">
        <v>5</v>
      </c>
      <c r="N3540" s="4">
        <v>1705.32</v>
      </c>
    </row>
    <row r="3541" spans="1:14" x14ac:dyDescent="0.25">
      <c r="A3541" s="2" t="s">
        <v>248</v>
      </c>
      <c r="B3541" s="2" t="s">
        <v>249</v>
      </c>
      <c r="C3541" s="3">
        <v>10.8</v>
      </c>
      <c r="D3541" s="4">
        <v>145.80000000000001</v>
      </c>
      <c r="E3541" s="4">
        <v>102.6</v>
      </c>
      <c r="F3541" s="4">
        <f t="shared" si="249"/>
        <v>43.200000000000017</v>
      </c>
      <c r="G3541" s="5">
        <f t="shared" si="250"/>
        <v>0.29629629629629639</v>
      </c>
      <c r="H3541" s="2" t="s">
        <v>2296</v>
      </c>
      <c r="I3541" s="6" t="s">
        <v>25</v>
      </c>
      <c r="J3541" s="2" t="s">
        <v>2297</v>
      </c>
      <c r="K3541" s="2" t="s">
        <v>5</v>
      </c>
      <c r="L3541" s="2" t="s">
        <v>28</v>
      </c>
      <c r="M3541" s="2" t="s">
        <v>5</v>
      </c>
      <c r="N3541" s="4">
        <v>1705.32</v>
      </c>
    </row>
    <row r="3542" spans="1:14" x14ac:dyDescent="0.25">
      <c r="A3542" s="2" t="s">
        <v>1202</v>
      </c>
      <c r="B3542" s="2" t="s">
        <v>1203</v>
      </c>
      <c r="C3542" s="3">
        <v>5.48</v>
      </c>
      <c r="D3542" s="4">
        <v>49.703600000000002</v>
      </c>
      <c r="E3542" s="4">
        <v>30.14</v>
      </c>
      <c r="F3542" s="4">
        <f t="shared" si="249"/>
        <v>19.563600000000001</v>
      </c>
      <c r="G3542" s="5">
        <f t="shared" si="250"/>
        <v>0.39360529217199558</v>
      </c>
      <c r="H3542" s="2" t="s">
        <v>2296</v>
      </c>
      <c r="I3542" s="6" t="s">
        <v>25</v>
      </c>
      <c r="J3542" s="2" t="s">
        <v>2297</v>
      </c>
      <c r="K3542" s="2" t="s">
        <v>5</v>
      </c>
      <c r="L3542" s="2" t="s">
        <v>28</v>
      </c>
      <c r="M3542" s="2" t="s">
        <v>5</v>
      </c>
      <c r="N3542" s="4">
        <v>1705.32</v>
      </c>
    </row>
    <row r="3543" spans="1:14" x14ac:dyDescent="0.25">
      <c r="A3543" s="2" t="s">
        <v>171</v>
      </c>
      <c r="B3543" s="2" t="s">
        <v>172</v>
      </c>
      <c r="C3543" s="3">
        <v>16.446999999999999</v>
      </c>
      <c r="D3543" s="4">
        <v>689.95164999999997</v>
      </c>
      <c r="E3543" s="4">
        <v>509.85700000000003</v>
      </c>
      <c r="F3543" s="4">
        <f t="shared" si="249"/>
        <v>180.09464999999994</v>
      </c>
      <c r="G3543" s="5">
        <f t="shared" si="250"/>
        <v>0.26102502979737774</v>
      </c>
      <c r="H3543" s="2" t="s">
        <v>2296</v>
      </c>
      <c r="I3543" s="6" t="s">
        <v>25</v>
      </c>
      <c r="J3543" s="2" t="s">
        <v>2297</v>
      </c>
      <c r="K3543" s="2" t="s">
        <v>5</v>
      </c>
      <c r="L3543" s="2" t="s">
        <v>28</v>
      </c>
      <c r="M3543" s="2" t="s">
        <v>5</v>
      </c>
      <c r="N3543" s="4">
        <v>1705.32</v>
      </c>
    </row>
    <row r="3544" spans="1:14" x14ac:dyDescent="0.25">
      <c r="A3544" s="2" t="s">
        <v>626</v>
      </c>
      <c r="B3544" s="2" t="s">
        <v>627</v>
      </c>
      <c r="C3544" s="3">
        <v>16.234000000000002</v>
      </c>
      <c r="D3544" s="4">
        <v>379.71325999999999</v>
      </c>
      <c r="E3544" s="4">
        <v>227.27600000000001</v>
      </c>
      <c r="F3544" s="4">
        <f t="shared" si="249"/>
        <v>152.43725999999998</v>
      </c>
      <c r="G3544" s="5">
        <f t="shared" si="250"/>
        <v>0.4014536126549807</v>
      </c>
      <c r="H3544" s="2" t="s">
        <v>2296</v>
      </c>
      <c r="I3544" s="6" t="s">
        <v>25</v>
      </c>
      <c r="J3544" s="2" t="s">
        <v>2297</v>
      </c>
      <c r="K3544" s="2" t="s">
        <v>5</v>
      </c>
      <c r="L3544" s="2" t="s">
        <v>28</v>
      </c>
      <c r="M3544" s="2" t="s">
        <v>5</v>
      </c>
      <c r="N3544" s="4">
        <v>1705.32</v>
      </c>
    </row>
    <row r="3545" spans="1:14" x14ac:dyDescent="0.25">
      <c r="A3545" s="2" t="s">
        <v>634</v>
      </c>
      <c r="B3545" s="2" t="s">
        <v>635</v>
      </c>
      <c r="C3545" s="3">
        <v>4.84</v>
      </c>
      <c r="D3545" s="4">
        <v>67.518000000000001</v>
      </c>
      <c r="E3545" s="4">
        <v>60.5</v>
      </c>
      <c r="F3545" s="4">
        <f t="shared" si="249"/>
        <v>7.0180000000000007</v>
      </c>
      <c r="G3545" s="5">
        <f t="shared" si="250"/>
        <v>0.10394265232974911</v>
      </c>
      <c r="H3545" s="2" t="s">
        <v>2296</v>
      </c>
      <c r="I3545" s="6" t="s">
        <v>25</v>
      </c>
      <c r="J3545" s="2" t="s">
        <v>2297</v>
      </c>
      <c r="K3545" s="2" t="s">
        <v>5</v>
      </c>
      <c r="L3545" s="2" t="s">
        <v>28</v>
      </c>
      <c r="M3545" s="2" t="s">
        <v>5</v>
      </c>
      <c r="N3545" s="4">
        <v>1705.32</v>
      </c>
    </row>
    <row r="3546" spans="1:14" x14ac:dyDescent="0.25">
      <c r="A3546" s="2" t="s">
        <v>124</v>
      </c>
      <c r="B3546" s="2" t="s">
        <v>125</v>
      </c>
      <c r="C3546" s="3">
        <v>4.4400000000000004</v>
      </c>
      <c r="D3546" s="4">
        <v>134.976</v>
      </c>
      <c r="E3546" s="4">
        <v>96.57</v>
      </c>
      <c r="F3546" s="4">
        <f t="shared" si="249"/>
        <v>38.406000000000006</v>
      </c>
      <c r="G3546" s="5">
        <f t="shared" si="250"/>
        <v>0.28453947368421056</v>
      </c>
      <c r="H3546" s="2" t="s">
        <v>2296</v>
      </c>
      <c r="I3546" s="6" t="s">
        <v>25</v>
      </c>
      <c r="J3546" s="2" t="s">
        <v>2297</v>
      </c>
      <c r="K3546" s="2" t="s">
        <v>5</v>
      </c>
      <c r="L3546" s="2" t="s">
        <v>28</v>
      </c>
      <c r="M3546" s="2" t="s">
        <v>5</v>
      </c>
      <c r="N3546" s="4">
        <v>1705.32</v>
      </c>
    </row>
    <row r="3548" spans="1:14" x14ac:dyDescent="0.25">
      <c r="A3548" s="13" t="s">
        <v>59</v>
      </c>
      <c r="B3548" s="21"/>
      <c r="C3548" s="22">
        <f>SUM(C3534:C3547)</f>
        <v>77.156000000000006</v>
      </c>
      <c r="D3548" s="23">
        <f>SUM(D3534:D3547)</f>
        <v>1705.3210100000001</v>
      </c>
      <c r="E3548" s="23">
        <f>SUM(E3534:E3547)</f>
        <v>1182.1614999999999</v>
      </c>
      <c r="F3548" s="23">
        <f>D3548-E3548</f>
        <v>523.15951000000018</v>
      </c>
      <c r="G3548" s="24">
        <f>IF(((D3548)=0),0,(D3548-E3548)/ D3548)</f>
        <v>0.30678066295565087</v>
      </c>
      <c r="H3548" s="21"/>
      <c r="I3548" s="21"/>
      <c r="J3548" s="21"/>
      <c r="K3548" s="21"/>
      <c r="L3548" s="21"/>
      <c r="M3548" s="21"/>
      <c r="N3548" s="21"/>
    </row>
    <row r="3550" spans="1:14" s="17" customFormat="1" ht="18.75" x14ac:dyDescent="0.3"/>
    <row r="3551" spans="1:14" s="7" customFormat="1" x14ac:dyDescent="0.25">
      <c r="A3551" s="13" t="s">
        <v>2298</v>
      </c>
      <c r="B3551" s="18" t="s">
        <v>2299</v>
      </c>
      <c r="C3551" s="19"/>
      <c r="D3551" s="20" t="s">
        <v>5</v>
      </c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</row>
    <row r="3553" spans="1:14" x14ac:dyDescent="0.25">
      <c r="A3553" s="2" t="s">
        <v>1768</v>
      </c>
      <c r="B3553" s="2" t="s">
        <v>1769</v>
      </c>
      <c r="C3553" s="3">
        <v>728.97500000000002</v>
      </c>
      <c r="D3553" s="4">
        <v>4468.6167500000001</v>
      </c>
      <c r="E3553" s="4">
        <v>2915.9</v>
      </c>
      <c r="F3553" s="4">
        <f t="shared" ref="F3553:F3616" si="251">D3553-E3553</f>
        <v>1552.71675</v>
      </c>
      <c r="G3553" s="5">
        <f t="shared" ref="G3553:G3616" si="252">IF(((D3553)=0),0,(D3553-E3553)/ D3553)</f>
        <v>0.34747145187601958</v>
      </c>
      <c r="H3553" s="2" t="s">
        <v>5</v>
      </c>
      <c r="I3553" s="6" t="s">
        <v>2300</v>
      </c>
      <c r="J3553" s="2" t="s">
        <v>5</v>
      </c>
      <c r="K3553" s="2" t="s">
        <v>5</v>
      </c>
      <c r="L3553" s="2" t="s">
        <v>5</v>
      </c>
      <c r="M3553" s="2" t="s">
        <v>5</v>
      </c>
      <c r="N3553" s="4">
        <v>0</v>
      </c>
    </row>
    <row r="3554" spans="1:14" x14ac:dyDescent="0.25">
      <c r="A3554" s="2" t="s">
        <v>1773</v>
      </c>
      <c r="B3554" s="2" t="s">
        <v>1774</v>
      </c>
      <c r="C3554" s="3">
        <v>370.11500000000001</v>
      </c>
      <c r="D3554" s="4">
        <v>599.58630000000005</v>
      </c>
      <c r="E3554" s="4">
        <v>55.517249999999997</v>
      </c>
      <c r="F3554" s="4">
        <f t="shared" si="251"/>
        <v>544.06905000000006</v>
      </c>
      <c r="G3554" s="5">
        <f t="shared" si="252"/>
        <v>0.90740740740740744</v>
      </c>
      <c r="H3554" s="2" t="s">
        <v>5</v>
      </c>
      <c r="I3554" s="6" t="s">
        <v>2300</v>
      </c>
      <c r="J3554" s="2" t="s">
        <v>5</v>
      </c>
      <c r="K3554" s="2" t="s">
        <v>5</v>
      </c>
      <c r="L3554" s="2" t="s">
        <v>5</v>
      </c>
      <c r="M3554" s="2" t="s">
        <v>5</v>
      </c>
      <c r="N3554" s="4">
        <v>0</v>
      </c>
    </row>
    <row r="3555" spans="1:14" x14ac:dyDescent="0.25">
      <c r="A3555" s="2" t="s">
        <v>1412</v>
      </c>
      <c r="B3555" s="2" t="s">
        <v>1413</v>
      </c>
      <c r="C3555" s="3">
        <v>4</v>
      </c>
      <c r="D3555" s="4">
        <v>39.56</v>
      </c>
      <c r="E3555" s="4">
        <v>28.8</v>
      </c>
      <c r="F3555" s="4">
        <f t="shared" si="251"/>
        <v>10.760000000000002</v>
      </c>
      <c r="G3555" s="5">
        <f t="shared" si="252"/>
        <v>0.2719919110212336</v>
      </c>
      <c r="H3555" s="2" t="s">
        <v>5</v>
      </c>
      <c r="I3555" s="6" t="s">
        <v>2300</v>
      </c>
      <c r="J3555" s="2" t="s">
        <v>5</v>
      </c>
      <c r="K3555" s="2" t="s">
        <v>5</v>
      </c>
      <c r="L3555" s="2" t="s">
        <v>5</v>
      </c>
      <c r="M3555" s="2" t="s">
        <v>5</v>
      </c>
      <c r="N3555" s="4">
        <v>0</v>
      </c>
    </row>
    <row r="3556" spans="1:14" x14ac:dyDescent="0.25">
      <c r="A3556" s="2" t="s">
        <v>1412</v>
      </c>
      <c r="B3556" s="2" t="s">
        <v>1413</v>
      </c>
      <c r="C3556" s="3">
        <v>4</v>
      </c>
      <c r="D3556" s="4">
        <v>39.56</v>
      </c>
      <c r="E3556" s="4">
        <v>28.8</v>
      </c>
      <c r="F3556" s="4">
        <f t="shared" si="251"/>
        <v>10.760000000000002</v>
      </c>
      <c r="G3556" s="5">
        <f t="shared" si="252"/>
        <v>0.2719919110212336</v>
      </c>
      <c r="H3556" s="2" t="s">
        <v>5</v>
      </c>
      <c r="I3556" s="6" t="s">
        <v>2300</v>
      </c>
      <c r="J3556" s="2" t="s">
        <v>5</v>
      </c>
      <c r="K3556" s="2" t="s">
        <v>5</v>
      </c>
      <c r="L3556" s="2" t="s">
        <v>5</v>
      </c>
      <c r="M3556" s="2" t="s">
        <v>5</v>
      </c>
      <c r="N3556" s="4">
        <v>0</v>
      </c>
    </row>
    <row r="3557" spans="1:14" x14ac:dyDescent="0.25">
      <c r="A3557" s="2" t="s">
        <v>1412</v>
      </c>
      <c r="B3557" s="2" t="s">
        <v>1413</v>
      </c>
      <c r="C3557" s="3">
        <v>2</v>
      </c>
      <c r="D3557" s="4">
        <v>19.78</v>
      </c>
      <c r="E3557" s="4">
        <v>14.4</v>
      </c>
      <c r="F3557" s="4">
        <f t="shared" si="251"/>
        <v>5.3800000000000008</v>
      </c>
      <c r="G3557" s="5">
        <f t="shared" si="252"/>
        <v>0.2719919110212336</v>
      </c>
      <c r="H3557" s="2" t="s">
        <v>5</v>
      </c>
      <c r="I3557" s="6" t="s">
        <v>2300</v>
      </c>
      <c r="J3557" s="2" t="s">
        <v>5</v>
      </c>
      <c r="K3557" s="2" t="s">
        <v>5</v>
      </c>
      <c r="L3557" s="2" t="s">
        <v>5</v>
      </c>
      <c r="M3557" s="2" t="s">
        <v>5</v>
      </c>
      <c r="N3557" s="4">
        <v>0</v>
      </c>
    </row>
    <row r="3558" spans="1:14" x14ac:dyDescent="0.25">
      <c r="A3558" s="2" t="s">
        <v>1417</v>
      </c>
      <c r="B3558" s="2" t="s">
        <v>1418</v>
      </c>
      <c r="C3558" s="3">
        <v>7.5</v>
      </c>
      <c r="D3558" s="4">
        <v>85.5</v>
      </c>
      <c r="E3558" s="4">
        <v>82.35</v>
      </c>
      <c r="F3558" s="4">
        <f t="shared" si="251"/>
        <v>3.1500000000000057</v>
      </c>
      <c r="G3558" s="5">
        <f t="shared" si="252"/>
        <v>3.6842105263157961E-2</v>
      </c>
      <c r="H3558" s="2" t="s">
        <v>5</v>
      </c>
      <c r="I3558" s="6" t="s">
        <v>2300</v>
      </c>
      <c r="J3558" s="2" t="s">
        <v>5</v>
      </c>
      <c r="K3558" s="2" t="s">
        <v>5</v>
      </c>
      <c r="L3558" s="2" t="s">
        <v>5</v>
      </c>
      <c r="M3558" s="2" t="s">
        <v>5</v>
      </c>
      <c r="N3558" s="4">
        <v>0</v>
      </c>
    </row>
    <row r="3559" spans="1:14" x14ac:dyDescent="0.25">
      <c r="A3559" s="2" t="s">
        <v>1417</v>
      </c>
      <c r="B3559" s="2" t="s">
        <v>1418</v>
      </c>
      <c r="C3559" s="3">
        <v>10</v>
      </c>
      <c r="D3559" s="4">
        <v>114</v>
      </c>
      <c r="E3559" s="4">
        <v>109.8</v>
      </c>
      <c r="F3559" s="4">
        <f t="shared" si="251"/>
        <v>4.2000000000000028</v>
      </c>
      <c r="G3559" s="5">
        <f t="shared" si="252"/>
        <v>3.6842105263157919E-2</v>
      </c>
      <c r="H3559" s="2" t="s">
        <v>5</v>
      </c>
      <c r="I3559" s="6" t="s">
        <v>2300</v>
      </c>
      <c r="J3559" s="2" t="s">
        <v>5</v>
      </c>
      <c r="K3559" s="2" t="s">
        <v>5</v>
      </c>
      <c r="L3559" s="2" t="s">
        <v>5</v>
      </c>
      <c r="M3559" s="2" t="s">
        <v>5</v>
      </c>
      <c r="N3559" s="4">
        <v>0</v>
      </c>
    </row>
    <row r="3560" spans="1:14" x14ac:dyDescent="0.25">
      <c r="A3560" s="2" t="s">
        <v>1417</v>
      </c>
      <c r="B3560" s="2" t="s">
        <v>1418</v>
      </c>
      <c r="C3560" s="3">
        <v>5</v>
      </c>
      <c r="D3560" s="4">
        <v>57</v>
      </c>
      <c r="E3560" s="4">
        <v>54.9</v>
      </c>
      <c r="F3560" s="4">
        <f t="shared" si="251"/>
        <v>2.1000000000000014</v>
      </c>
      <c r="G3560" s="5">
        <f t="shared" si="252"/>
        <v>3.6842105263157919E-2</v>
      </c>
      <c r="H3560" s="2" t="s">
        <v>5</v>
      </c>
      <c r="I3560" s="6" t="s">
        <v>2300</v>
      </c>
      <c r="J3560" s="2" t="s">
        <v>5</v>
      </c>
      <c r="K3560" s="2" t="s">
        <v>5</v>
      </c>
      <c r="L3560" s="2" t="s">
        <v>5</v>
      </c>
      <c r="M3560" s="2" t="s">
        <v>5</v>
      </c>
      <c r="N3560" s="4">
        <v>0</v>
      </c>
    </row>
    <row r="3561" spans="1:14" x14ac:dyDescent="0.25">
      <c r="A3561" s="2" t="s">
        <v>1417</v>
      </c>
      <c r="B3561" s="2" t="s">
        <v>1418</v>
      </c>
      <c r="C3561" s="3">
        <v>5</v>
      </c>
      <c r="D3561" s="4">
        <v>57</v>
      </c>
      <c r="E3561" s="4">
        <v>54.9</v>
      </c>
      <c r="F3561" s="4">
        <f t="shared" si="251"/>
        <v>2.1000000000000014</v>
      </c>
      <c r="G3561" s="5">
        <f t="shared" si="252"/>
        <v>3.6842105263157919E-2</v>
      </c>
      <c r="H3561" s="2" t="s">
        <v>5</v>
      </c>
      <c r="I3561" s="6" t="s">
        <v>2300</v>
      </c>
      <c r="J3561" s="2" t="s">
        <v>5</v>
      </c>
      <c r="K3561" s="2" t="s">
        <v>5</v>
      </c>
      <c r="L3561" s="2" t="s">
        <v>5</v>
      </c>
      <c r="M3561" s="2" t="s">
        <v>5</v>
      </c>
      <c r="N3561" s="4">
        <v>0</v>
      </c>
    </row>
    <row r="3562" spans="1:14" x14ac:dyDescent="0.25">
      <c r="A3562" s="2" t="s">
        <v>1417</v>
      </c>
      <c r="B3562" s="2" t="s">
        <v>1418</v>
      </c>
      <c r="C3562" s="3">
        <v>5</v>
      </c>
      <c r="D3562" s="4">
        <v>57</v>
      </c>
      <c r="E3562" s="4">
        <v>54.9</v>
      </c>
      <c r="F3562" s="4">
        <f t="shared" si="251"/>
        <v>2.1000000000000014</v>
      </c>
      <c r="G3562" s="5">
        <f t="shared" si="252"/>
        <v>3.6842105263157919E-2</v>
      </c>
      <c r="H3562" s="2" t="s">
        <v>5</v>
      </c>
      <c r="I3562" s="6" t="s">
        <v>2300</v>
      </c>
      <c r="J3562" s="2" t="s">
        <v>5</v>
      </c>
      <c r="K3562" s="2" t="s">
        <v>5</v>
      </c>
      <c r="L3562" s="2" t="s">
        <v>5</v>
      </c>
      <c r="M3562" s="2" t="s">
        <v>5</v>
      </c>
      <c r="N3562" s="4">
        <v>0</v>
      </c>
    </row>
    <row r="3563" spans="1:14" x14ac:dyDescent="0.25">
      <c r="A3563" s="2" t="s">
        <v>1373</v>
      </c>
      <c r="B3563" s="2" t="s">
        <v>1374</v>
      </c>
      <c r="C3563" s="3">
        <v>10.205</v>
      </c>
      <c r="D3563" s="4">
        <v>142.35974999999999</v>
      </c>
      <c r="E3563" s="4">
        <v>124.501</v>
      </c>
      <c r="F3563" s="4">
        <f t="shared" si="251"/>
        <v>17.858749999999986</v>
      </c>
      <c r="G3563" s="5">
        <f t="shared" si="252"/>
        <v>0.12544802867383503</v>
      </c>
      <c r="H3563" s="2" t="s">
        <v>5</v>
      </c>
      <c r="I3563" s="6" t="s">
        <v>2300</v>
      </c>
      <c r="J3563" s="2" t="s">
        <v>5</v>
      </c>
      <c r="K3563" s="2" t="s">
        <v>5</v>
      </c>
      <c r="L3563" s="2" t="s">
        <v>5</v>
      </c>
      <c r="M3563" s="2" t="s">
        <v>5</v>
      </c>
      <c r="N3563" s="4">
        <v>0</v>
      </c>
    </row>
    <row r="3564" spans="1:14" x14ac:dyDescent="0.25">
      <c r="A3564" s="2" t="s">
        <v>1373</v>
      </c>
      <c r="B3564" s="2" t="s">
        <v>1374</v>
      </c>
      <c r="C3564" s="3">
        <v>6.01</v>
      </c>
      <c r="D3564" s="4">
        <v>83.839500000000001</v>
      </c>
      <c r="E3564" s="4">
        <v>73.322000000000003</v>
      </c>
      <c r="F3564" s="4">
        <f t="shared" si="251"/>
        <v>10.517499999999998</v>
      </c>
      <c r="G3564" s="5">
        <f t="shared" si="252"/>
        <v>0.12544802867383512</v>
      </c>
      <c r="H3564" s="2" t="s">
        <v>5</v>
      </c>
      <c r="I3564" s="6" t="s">
        <v>2300</v>
      </c>
      <c r="J3564" s="2" t="s">
        <v>5</v>
      </c>
      <c r="K3564" s="2" t="s">
        <v>5</v>
      </c>
      <c r="L3564" s="2" t="s">
        <v>5</v>
      </c>
      <c r="M3564" s="2" t="s">
        <v>5</v>
      </c>
      <c r="N3564" s="4">
        <v>0</v>
      </c>
    </row>
    <row r="3565" spans="1:14" x14ac:dyDescent="0.25">
      <c r="A3565" s="2" t="s">
        <v>1373</v>
      </c>
      <c r="B3565" s="2" t="s">
        <v>1374</v>
      </c>
      <c r="C3565" s="3">
        <v>6.1</v>
      </c>
      <c r="D3565" s="4">
        <v>85.094999999999999</v>
      </c>
      <c r="E3565" s="4">
        <v>74.42</v>
      </c>
      <c r="F3565" s="4">
        <f t="shared" si="251"/>
        <v>10.674999999999997</v>
      </c>
      <c r="G3565" s="5">
        <f t="shared" si="252"/>
        <v>0.12544802867383509</v>
      </c>
      <c r="H3565" s="2" t="s">
        <v>5</v>
      </c>
      <c r="I3565" s="6" t="s">
        <v>2300</v>
      </c>
      <c r="J3565" s="2" t="s">
        <v>5</v>
      </c>
      <c r="K3565" s="2" t="s">
        <v>5</v>
      </c>
      <c r="L3565" s="2" t="s">
        <v>5</v>
      </c>
      <c r="M3565" s="2" t="s">
        <v>5</v>
      </c>
      <c r="N3565" s="4">
        <v>0</v>
      </c>
    </row>
    <row r="3566" spans="1:14" x14ac:dyDescent="0.25">
      <c r="A3566" s="2" t="s">
        <v>1373</v>
      </c>
      <c r="B3566" s="2" t="s">
        <v>1374</v>
      </c>
      <c r="C3566" s="3">
        <v>10</v>
      </c>
      <c r="D3566" s="4">
        <v>139.5</v>
      </c>
      <c r="E3566" s="4">
        <v>100</v>
      </c>
      <c r="F3566" s="4">
        <f t="shared" si="251"/>
        <v>39.5</v>
      </c>
      <c r="G3566" s="5">
        <f t="shared" si="252"/>
        <v>0.28315412186379929</v>
      </c>
      <c r="H3566" s="2" t="s">
        <v>5</v>
      </c>
      <c r="I3566" s="6" t="s">
        <v>2300</v>
      </c>
      <c r="J3566" s="2" t="s">
        <v>5</v>
      </c>
      <c r="K3566" s="2" t="s">
        <v>5</v>
      </c>
      <c r="L3566" s="2" t="s">
        <v>5</v>
      </c>
      <c r="M3566" s="2" t="s">
        <v>5</v>
      </c>
      <c r="N3566" s="4">
        <v>0</v>
      </c>
    </row>
    <row r="3567" spans="1:14" x14ac:dyDescent="0.25">
      <c r="A3567" s="2" t="s">
        <v>1373</v>
      </c>
      <c r="B3567" s="2" t="s">
        <v>1374</v>
      </c>
      <c r="C3567" s="3">
        <v>6.2050000000000001</v>
      </c>
      <c r="D3567" s="4">
        <v>86.559749999999994</v>
      </c>
      <c r="E3567" s="4">
        <v>62.05</v>
      </c>
      <c r="F3567" s="4">
        <f t="shared" si="251"/>
        <v>24.509749999999997</v>
      </c>
      <c r="G3567" s="5">
        <f t="shared" si="252"/>
        <v>0.28315412186379929</v>
      </c>
      <c r="H3567" s="2" t="s">
        <v>5</v>
      </c>
      <c r="I3567" s="6" t="s">
        <v>2300</v>
      </c>
      <c r="J3567" s="2" t="s">
        <v>5</v>
      </c>
      <c r="K3567" s="2" t="s">
        <v>5</v>
      </c>
      <c r="L3567" s="2" t="s">
        <v>5</v>
      </c>
      <c r="M3567" s="2" t="s">
        <v>5</v>
      </c>
      <c r="N3567" s="4">
        <v>0</v>
      </c>
    </row>
    <row r="3568" spans="1:14" x14ac:dyDescent="0.25">
      <c r="A3568" s="2" t="s">
        <v>1425</v>
      </c>
      <c r="B3568" s="2" t="s">
        <v>1426</v>
      </c>
      <c r="C3568" s="3">
        <v>3.024</v>
      </c>
      <c r="D3568" s="4">
        <v>51.256799999999998</v>
      </c>
      <c r="E3568" s="4">
        <v>37.799999999999997</v>
      </c>
      <c r="F3568" s="4">
        <f t="shared" si="251"/>
        <v>13.456800000000001</v>
      </c>
      <c r="G3568" s="5">
        <f t="shared" si="252"/>
        <v>0.26253687315634222</v>
      </c>
      <c r="H3568" s="2" t="s">
        <v>5</v>
      </c>
      <c r="I3568" s="6" t="s">
        <v>2300</v>
      </c>
      <c r="J3568" s="2" t="s">
        <v>5</v>
      </c>
      <c r="K3568" s="2" t="s">
        <v>5</v>
      </c>
      <c r="L3568" s="2" t="s">
        <v>5</v>
      </c>
      <c r="M3568" s="2" t="s">
        <v>5</v>
      </c>
      <c r="N3568" s="4">
        <v>0</v>
      </c>
    </row>
    <row r="3569" spans="1:14" x14ac:dyDescent="0.25">
      <c r="A3569" s="2" t="s">
        <v>1425</v>
      </c>
      <c r="B3569" s="2" t="s">
        <v>1426</v>
      </c>
      <c r="C3569" s="3">
        <v>3.0339999999999998</v>
      </c>
      <c r="D3569" s="4">
        <v>51.426299999999998</v>
      </c>
      <c r="E3569" s="4">
        <v>37.924999999999997</v>
      </c>
      <c r="F3569" s="4">
        <f t="shared" si="251"/>
        <v>13.501300000000001</v>
      </c>
      <c r="G3569" s="5">
        <f t="shared" si="252"/>
        <v>0.26253687315634222</v>
      </c>
      <c r="H3569" s="2" t="s">
        <v>5</v>
      </c>
      <c r="I3569" s="6" t="s">
        <v>2300</v>
      </c>
      <c r="J3569" s="2" t="s">
        <v>5</v>
      </c>
      <c r="K3569" s="2" t="s">
        <v>5</v>
      </c>
      <c r="L3569" s="2" t="s">
        <v>5</v>
      </c>
      <c r="M3569" s="2" t="s">
        <v>5</v>
      </c>
      <c r="N3569" s="4">
        <v>0</v>
      </c>
    </row>
    <row r="3570" spans="1:14" x14ac:dyDescent="0.25">
      <c r="A3570" s="2" t="s">
        <v>1366</v>
      </c>
      <c r="B3570" s="2" t="s">
        <v>1367</v>
      </c>
      <c r="C3570" s="3">
        <v>6</v>
      </c>
      <c r="D3570" s="4">
        <v>570</v>
      </c>
      <c r="E3570" s="4">
        <v>41.4</v>
      </c>
      <c r="F3570" s="4">
        <f t="shared" si="251"/>
        <v>528.6</v>
      </c>
      <c r="G3570" s="5">
        <f t="shared" si="252"/>
        <v>0.92736842105263162</v>
      </c>
      <c r="H3570" s="2" t="s">
        <v>5</v>
      </c>
      <c r="I3570" s="6" t="s">
        <v>2300</v>
      </c>
      <c r="J3570" s="2" t="s">
        <v>5</v>
      </c>
      <c r="K3570" s="2" t="s">
        <v>5</v>
      </c>
      <c r="L3570" s="2" t="s">
        <v>5</v>
      </c>
      <c r="M3570" s="2" t="s">
        <v>5</v>
      </c>
      <c r="N3570" s="4">
        <v>0</v>
      </c>
    </row>
    <row r="3571" spans="1:14" x14ac:dyDescent="0.25">
      <c r="A3571" s="2" t="s">
        <v>1366</v>
      </c>
      <c r="B3571" s="2" t="s">
        <v>1367</v>
      </c>
      <c r="C3571" s="3">
        <v>5</v>
      </c>
      <c r="D3571" s="4">
        <v>475</v>
      </c>
      <c r="E3571" s="4">
        <v>34.5</v>
      </c>
      <c r="F3571" s="4">
        <f t="shared" si="251"/>
        <v>440.5</v>
      </c>
      <c r="G3571" s="5">
        <f t="shared" si="252"/>
        <v>0.92736842105263162</v>
      </c>
      <c r="H3571" s="2" t="s">
        <v>5</v>
      </c>
      <c r="I3571" s="6" t="s">
        <v>2300</v>
      </c>
      <c r="J3571" s="2" t="s">
        <v>5</v>
      </c>
      <c r="K3571" s="2" t="s">
        <v>5</v>
      </c>
      <c r="L3571" s="2" t="s">
        <v>5</v>
      </c>
      <c r="M3571" s="2" t="s">
        <v>5</v>
      </c>
      <c r="N3571" s="4">
        <v>0</v>
      </c>
    </row>
    <row r="3572" spans="1:14" x14ac:dyDescent="0.25">
      <c r="A3572" s="2" t="s">
        <v>1366</v>
      </c>
      <c r="B3572" s="2" t="s">
        <v>1367</v>
      </c>
      <c r="C3572" s="3">
        <v>6</v>
      </c>
      <c r="D3572" s="4">
        <v>570</v>
      </c>
      <c r="E3572" s="4">
        <v>41.4</v>
      </c>
      <c r="F3572" s="4">
        <f t="shared" si="251"/>
        <v>528.6</v>
      </c>
      <c r="G3572" s="5">
        <f t="shared" si="252"/>
        <v>0.92736842105263162</v>
      </c>
      <c r="H3572" s="2" t="s">
        <v>5</v>
      </c>
      <c r="I3572" s="6" t="s">
        <v>2300</v>
      </c>
      <c r="J3572" s="2" t="s">
        <v>5</v>
      </c>
      <c r="K3572" s="2" t="s">
        <v>5</v>
      </c>
      <c r="L3572" s="2" t="s">
        <v>5</v>
      </c>
      <c r="M3572" s="2" t="s">
        <v>5</v>
      </c>
      <c r="N3572" s="4">
        <v>0</v>
      </c>
    </row>
    <row r="3573" spans="1:14" x14ac:dyDescent="0.25">
      <c r="A3573" s="2" t="s">
        <v>1366</v>
      </c>
      <c r="B3573" s="2" t="s">
        <v>1367</v>
      </c>
      <c r="C3573" s="3">
        <v>5</v>
      </c>
      <c r="D3573" s="4">
        <v>475</v>
      </c>
      <c r="E3573" s="4">
        <v>34.5</v>
      </c>
      <c r="F3573" s="4">
        <f t="shared" si="251"/>
        <v>440.5</v>
      </c>
      <c r="G3573" s="5">
        <f t="shared" si="252"/>
        <v>0.92736842105263162</v>
      </c>
      <c r="H3573" s="2" t="s">
        <v>5</v>
      </c>
      <c r="I3573" s="6" t="s">
        <v>2300</v>
      </c>
      <c r="J3573" s="2" t="s">
        <v>5</v>
      </c>
      <c r="K3573" s="2" t="s">
        <v>5</v>
      </c>
      <c r="L3573" s="2" t="s">
        <v>5</v>
      </c>
      <c r="M3573" s="2" t="s">
        <v>5</v>
      </c>
      <c r="N3573" s="4">
        <v>0</v>
      </c>
    </row>
    <row r="3574" spans="1:14" x14ac:dyDescent="0.25">
      <c r="A3574" s="2" t="s">
        <v>1366</v>
      </c>
      <c r="B3574" s="2" t="s">
        <v>1367</v>
      </c>
      <c r="C3574" s="3">
        <v>5</v>
      </c>
      <c r="D3574" s="4">
        <v>475</v>
      </c>
      <c r="E3574" s="4">
        <v>34.5</v>
      </c>
      <c r="F3574" s="4">
        <f t="shared" si="251"/>
        <v>440.5</v>
      </c>
      <c r="G3574" s="5">
        <f t="shared" si="252"/>
        <v>0.92736842105263162</v>
      </c>
      <c r="H3574" s="2" t="s">
        <v>5</v>
      </c>
      <c r="I3574" s="6" t="s">
        <v>2300</v>
      </c>
      <c r="J3574" s="2" t="s">
        <v>5</v>
      </c>
      <c r="K3574" s="2" t="s">
        <v>5</v>
      </c>
      <c r="L3574" s="2" t="s">
        <v>5</v>
      </c>
      <c r="M3574" s="2" t="s">
        <v>5</v>
      </c>
      <c r="N3574" s="4">
        <v>0</v>
      </c>
    </row>
    <row r="3575" spans="1:14" x14ac:dyDescent="0.25">
      <c r="A3575" s="2" t="s">
        <v>1366</v>
      </c>
      <c r="B3575" s="2" t="s">
        <v>1367</v>
      </c>
      <c r="C3575" s="3">
        <v>15</v>
      </c>
      <c r="D3575" s="4">
        <v>1425</v>
      </c>
      <c r="E3575" s="4">
        <v>103.5</v>
      </c>
      <c r="F3575" s="4">
        <f t="shared" si="251"/>
        <v>1321.5</v>
      </c>
      <c r="G3575" s="5">
        <f t="shared" si="252"/>
        <v>0.92736842105263162</v>
      </c>
      <c r="H3575" s="2" t="s">
        <v>5</v>
      </c>
      <c r="I3575" s="6" t="s">
        <v>2300</v>
      </c>
      <c r="J3575" s="2" t="s">
        <v>5</v>
      </c>
      <c r="K3575" s="2" t="s">
        <v>5</v>
      </c>
      <c r="L3575" s="2" t="s">
        <v>5</v>
      </c>
      <c r="M3575" s="2" t="s">
        <v>5</v>
      </c>
      <c r="N3575" s="4">
        <v>0</v>
      </c>
    </row>
    <row r="3576" spans="1:14" x14ac:dyDescent="0.25">
      <c r="A3576" s="2" t="s">
        <v>1366</v>
      </c>
      <c r="B3576" s="2" t="s">
        <v>1367</v>
      </c>
      <c r="C3576" s="3">
        <v>6</v>
      </c>
      <c r="D3576" s="4">
        <v>570</v>
      </c>
      <c r="E3576" s="4">
        <v>41.4</v>
      </c>
      <c r="F3576" s="4">
        <f t="shared" si="251"/>
        <v>528.6</v>
      </c>
      <c r="G3576" s="5">
        <f t="shared" si="252"/>
        <v>0.92736842105263162</v>
      </c>
      <c r="H3576" s="2" t="s">
        <v>5</v>
      </c>
      <c r="I3576" s="6" t="s">
        <v>2300</v>
      </c>
      <c r="J3576" s="2" t="s">
        <v>5</v>
      </c>
      <c r="K3576" s="2" t="s">
        <v>5</v>
      </c>
      <c r="L3576" s="2" t="s">
        <v>5</v>
      </c>
      <c r="M3576" s="2" t="s">
        <v>5</v>
      </c>
      <c r="N3576" s="4">
        <v>0</v>
      </c>
    </row>
    <row r="3577" spans="1:14" x14ac:dyDescent="0.25">
      <c r="A3577" s="2" t="s">
        <v>1366</v>
      </c>
      <c r="B3577" s="2" t="s">
        <v>1367</v>
      </c>
      <c r="C3577" s="3">
        <v>3</v>
      </c>
      <c r="D3577" s="4">
        <v>285</v>
      </c>
      <c r="E3577" s="4">
        <v>20.7</v>
      </c>
      <c r="F3577" s="4">
        <f t="shared" si="251"/>
        <v>264.3</v>
      </c>
      <c r="G3577" s="5">
        <f t="shared" si="252"/>
        <v>0.92736842105263162</v>
      </c>
      <c r="H3577" s="2" t="s">
        <v>5</v>
      </c>
      <c r="I3577" s="6" t="s">
        <v>2300</v>
      </c>
      <c r="J3577" s="2" t="s">
        <v>5</v>
      </c>
      <c r="K3577" s="2" t="s">
        <v>5</v>
      </c>
      <c r="L3577" s="2" t="s">
        <v>5</v>
      </c>
      <c r="M3577" s="2" t="s">
        <v>5</v>
      </c>
      <c r="N3577" s="4">
        <v>0</v>
      </c>
    </row>
    <row r="3578" spans="1:14" x14ac:dyDescent="0.25">
      <c r="A3578" s="2" t="s">
        <v>1366</v>
      </c>
      <c r="B3578" s="2" t="s">
        <v>1367</v>
      </c>
      <c r="C3578" s="3">
        <v>4</v>
      </c>
      <c r="D3578" s="4">
        <v>380</v>
      </c>
      <c r="E3578" s="4">
        <v>27.6</v>
      </c>
      <c r="F3578" s="4">
        <f t="shared" si="251"/>
        <v>352.4</v>
      </c>
      <c r="G3578" s="5">
        <f t="shared" si="252"/>
        <v>0.92736842105263151</v>
      </c>
      <c r="H3578" s="2" t="s">
        <v>5</v>
      </c>
      <c r="I3578" s="6" t="s">
        <v>2300</v>
      </c>
      <c r="J3578" s="2" t="s">
        <v>5</v>
      </c>
      <c r="K3578" s="2" t="s">
        <v>5</v>
      </c>
      <c r="L3578" s="2" t="s">
        <v>5</v>
      </c>
      <c r="M3578" s="2" t="s">
        <v>5</v>
      </c>
      <c r="N3578" s="4">
        <v>0</v>
      </c>
    </row>
    <row r="3579" spans="1:14" x14ac:dyDescent="0.25">
      <c r="A3579" s="2" t="s">
        <v>1366</v>
      </c>
      <c r="B3579" s="2" t="s">
        <v>1367</v>
      </c>
      <c r="C3579" s="3">
        <v>3</v>
      </c>
      <c r="D3579" s="4">
        <v>285</v>
      </c>
      <c r="E3579" s="4">
        <v>20.7</v>
      </c>
      <c r="F3579" s="4">
        <f t="shared" si="251"/>
        <v>264.3</v>
      </c>
      <c r="G3579" s="5">
        <f t="shared" si="252"/>
        <v>0.92736842105263162</v>
      </c>
      <c r="H3579" s="2" t="s">
        <v>5</v>
      </c>
      <c r="I3579" s="6" t="s">
        <v>2300</v>
      </c>
      <c r="J3579" s="2" t="s">
        <v>5</v>
      </c>
      <c r="K3579" s="2" t="s">
        <v>5</v>
      </c>
      <c r="L3579" s="2" t="s">
        <v>5</v>
      </c>
      <c r="M3579" s="2" t="s">
        <v>5</v>
      </c>
      <c r="N3579" s="4">
        <v>0</v>
      </c>
    </row>
    <row r="3580" spans="1:14" x14ac:dyDescent="0.25">
      <c r="A3580" s="2" t="s">
        <v>1366</v>
      </c>
      <c r="B3580" s="2" t="s">
        <v>1367</v>
      </c>
      <c r="C3580" s="3">
        <v>3</v>
      </c>
      <c r="D3580" s="4">
        <v>285</v>
      </c>
      <c r="E3580" s="4">
        <v>20.7</v>
      </c>
      <c r="F3580" s="4">
        <f t="shared" si="251"/>
        <v>264.3</v>
      </c>
      <c r="G3580" s="5">
        <f t="shared" si="252"/>
        <v>0.92736842105263162</v>
      </c>
      <c r="H3580" s="2" t="s">
        <v>5</v>
      </c>
      <c r="I3580" s="6" t="s">
        <v>2300</v>
      </c>
      <c r="J3580" s="2" t="s">
        <v>5</v>
      </c>
      <c r="K3580" s="2" t="s">
        <v>5</v>
      </c>
      <c r="L3580" s="2" t="s">
        <v>5</v>
      </c>
      <c r="M3580" s="2" t="s">
        <v>5</v>
      </c>
      <c r="N3580" s="4">
        <v>0</v>
      </c>
    </row>
    <row r="3581" spans="1:14" x14ac:dyDescent="0.25">
      <c r="A3581" s="2" t="s">
        <v>1366</v>
      </c>
      <c r="B3581" s="2" t="s">
        <v>1367</v>
      </c>
      <c r="C3581" s="3">
        <v>3</v>
      </c>
      <c r="D3581" s="4">
        <v>285</v>
      </c>
      <c r="E3581" s="4">
        <v>20.7</v>
      </c>
      <c r="F3581" s="4">
        <f t="shared" si="251"/>
        <v>264.3</v>
      </c>
      <c r="G3581" s="5">
        <f t="shared" si="252"/>
        <v>0.92736842105263162</v>
      </c>
      <c r="H3581" s="2" t="s">
        <v>5</v>
      </c>
      <c r="I3581" s="6" t="s">
        <v>2300</v>
      </c>
      <c r="J3581" s="2" t="s">
        <v>5</v>
      </c>
      <c r="K3581" s="2" t="s">
        <v>5</v>
      </c>
      <c r="L3581" s="2" t="s">
        <v>5</v>
      </c>
      <c r="M3581" s="2" t="s">
        <v>5</v>
      </c>
      <c r="N3581" s="4">
        <v>0</v>
      </c>
    </row>
    <row r="3582" spans="1:14" x14ac:dyDescent="0.25">
      <c r="A3582" s="2" t="s">
        <v>1366</v>
      </c>
      <c r="B3582" s="2" t="s">
        <v>1367</v>
      </c>
      <c r="C3582" s="3">
        <v>5</v>
      </c>
      <c r="D3582" s="4">
        <v>475</v>
      </c>
      <c r="E3582" s="4">
        <v>34.5</v>
      </c>
      <c r="F3582" s="4">
        <f t="shared" si="251"/>
        <v>440.5</v>
      </c>
      <c r="G3582" s="5">
        <f t="shared" si="252"/>
        <v>0.92736842105263162</v>
      </c>
      <c r="H3582" s="2" t="s">
        <v>5</v>
      </c>
      <c r="I3582" s="6" t="s">
        <v>2300</v>
      </c>
      <c r="J3582" s="2" t="s">
        <v>5</v>
      </c>
      <c r="K3582" s="2" t="s">
        <v>5</v>
      </c>
      <c r="L3582" s="2" t="s">
        <v>5</v>
      </c>
      <c r="M3582" s="2" t="s">
        <v>5</v>
      </c>
      <c r="N3582" s="4">
        <v>0</v>
      </c>
    </row>
    <row r="3583" spans="1:14" x14ac:dyDescent="0.25">
      <c r="A3583" s="2" t="s">
        <v>1384</v>
      </c>
      <c r="B3583" s="2" t="s">
        <v>1385</v>
      </c>
      <c r="C3583" s="3">
        <v>3.82</v>
      </c>
      <c r="D3583" s="4">
        <v>48.055599999999998</v>
      </c>
      <c r="E3583" s="4">
        <v>28.65</v>
      </c>
      <c r="F3583" s="4">
        <f t="shared" si="251"/>
        <v>19.4056</v>
      </c>
      <c r="G3583" s="5">
        <f t="shared" si="252"/>
        <v>0.40381558028616854</v>
      </c>
      <c r="H3583" s="2" t="s">
        <v>5</v>
      </c>
      <c r="I3583" s="6" t="s">
        <v>2300</v>
      </c>
      <c r="J3583" s="2" t="s">
        <v>5</v>
      </c>
      <c r="K3583" s="2" t="s">
        <v>5</v>
      </c>
      <c r="L3583" s="2" t="s">
        <v>5</v>
      </c>
      <c r="M3583" s="2" t="s">
        <v>5</v>
      </c>
      <c r="N3583" s="4">
        <v>0</v>
      </c>
    </row>
    <row r="3584" spans="1:14" x14ac:dyDescent="0.25">
      <c r="A3584" s="2" t="s">
        <v>1453</v>
      </c>
      <c r="B3584" s="2" t="s">
        <v>1454</v>
      </c>
      <c r="C3584" s="3">
        <v>2.58</v>
      </c>
      <c r="D3584" s="4">
        <v>45.15</v>
      </c>
      <c r="E3584" s="4">
        <v>36.016800000000003</v>
      </c>
      <c r="F3584" s="4">
        <f t="shared" si="251"/>
        <v>9.1331999999999951</v>
      </c>
      <c r="G3584" s="5">
        <f t="shared" si="252"/>
        <v>0.20228571428571418</v>
      </c>
      <c r="H3584" s="2" t="s">
        <v>5</v>
      </c>
      <c r="I3584" s="6" t="s">
        <v>2300</v>
      </c>
      <c r="J3584" s="2" t="s">
        <v>5</v>
      </c>
      <c r="K3584" s="2" t="s">
        <v>5</v>
      </c>
      <c r="L3584" s="2" t="s">
        <v>5</v>
      </c>
      <c r="M3584" s="2" t="s">
        <v>5</v>
      </c>
      <c r="N3584" s="4">
        <v>0</v>
      </c>
    </row>
    <row r="3585" spans="1:14" x14ac:dyDescent="0.25">
      <c r="A3585" s="2" t="s">
        <v>1430</v>
      </c>
      <c r="B3585" s="2" t="s">
        <v>1431</v>
      </c>
      <c r="C3585" s="3">
        <v>8.64</v>
      </c>
      <c r="D3585" s="4">
        <v>130.2912</v>
      </c>
      <c r="E3585" s="4">
        <v>59.616</v>
      </c>
      <c r="F3585" s="4">
        <f t="shared" si="251"/>
        <v>70.675200000000004</v>
      </c>
      <c r="G3585" s="5">
        <f t="shared" si="252"/>
        <v>0.54244031830238726</v>
      </c>
      <c r="H3585" s="2" t="s">
        <v>5</v>
      </c>
      <c r="I3585" s="6" t="s">
        <v>2300</v>
      </c>
      <c r="J3585" s="2" t="s">
        <v>5</v>
      </c>
      <c r="K3585" s="2" t="s">
        <v>5</v>
      </c>
      <c r="L3585" s="2" t="s">
        <v>5</v>
      </c>
      <c r="M3585" s="2" t="s">
        <v>5</v>
      </c>
      <c r="N3585" s="4">
        <v>0</v>
      </c>
    </row>
    <row r="3586" spans="1:14" x14ac:dyDescent="0.25">
      <c r="A3586" s="2" t="s">
        <v>1432</v>
      </c>
      <c r="B3586" s="2" t="s">
        <v>1433</v>
      </c>
      <c r="C3586" s="3">
        <v>2.952</v>
      </c>
      <c r="D3586" s="4">
        <v>141.54839999999999</v>
      </c>
      <c r="E3586" s="4">
        <v>109.224</v>
      </c>
      <c r="F3586" s="4">
        <f t="shared" si="251"/>
        <v>32.324399999999983</v>
      </c>
      <c r="G3586" s="5">
        <f t="shared" si="252"/>
        <v>0.22836287799791438</v>
      </c>
      <c r="H3586" s="2" t="s">
        <v>5</v>
      </c>
      <c r="I3586" s="6" t="s">
        <v>2300</v>
      </c>
      <c r="J3586" s="2" t="s">
        <v>5</v>
      </c>
      <c r="K3586" s="2" t="s">
        <v>5</v>
      </c>
      <c r="L3586" s="2" t="s">
        <v>5</v>
      </c>
      <c r="M3586" s="2" t="s">
        <v>5</v>
      </c>
      <c r="N3586" s="4">
        <v>0</v>
      </c>
    </row>
    <row r="3587" spans="1:14" x14ac:dyDescent="0.25">
      <c r="A3587" s="2" t="s">
        <v>1432</v>
      </c>
      <c r="B3587" s="2" t="s">
        <v>1433</v>
      </c>
      <c r="C3587" s="3">
        <v>2.93</v>
      </c>
      <c r="D3587" s="4">
        <v>140.49350000000001</v>
      </c>
      <c r="E3587" s="4">
        <v>108.41</v>
      </c>
      <c r="F3587" s="4">
        <f t="shared" si="251"/>
        <v>32.083500000000015</v>
      </c>
      <c r="G3587" s="5">
        <f t="shared" si="252"/>
        <v>0.22836287799791458</v>
      </c>
      <c r="H3587" s="2" t="s">
        <v>5</v>
      </c>
      <c r="I3587" s="6" t="s">
        <v>2300</v>
      </c>
      <c r="J3587" s="2" t="s">
        <v>5</v>
      </c>
      <c r="K3587" s="2" t="s">
        <v>5</v>
      </c>
      <c r="L3587" s="2" t="s">
        <v>5</v>
      </c>
      <c r="M3587" s="2" t="s">
        <v>5</v>
      </c>
      <c r="N3587" s="4">
        <v>0</v>
      </c>
    </row>
    <row r="3588" spans="1:14" x14ac:dyDescent="0.25">
      <c r="A3588" s="2" t="s">
        <v>1455</v>
      </c>
      <c r="B3588" s="2" t="s">
        <v>1456</v>
      </c>
      <c r="C3588" s="3">
        <v>8</v>
      </c>
      <c r="D3588" s="4">
        <v>77.040000000000006</v>
      </c>
      <c r="E3588" s="4">
        <v>55.92</v>
      </c>
      <c r="F3588" s="4">
        <f t="shared" si="251"/>
        <v>21.120000000000005</v>
      </c>
      <c r="G3588" s="5">
        <f t="shared" si="252"/>
        <v>0.27414330218068539</v>
      </c>
      <c r="H3588" s="2" t="s">
        <v>5</v>
      </c>
      <c r="I3588" s="6" t="s">
        <v>2300</v>
      </c>
      <c r="J3588" s="2" t="s">
        <v>5</v>
      </c>
      <c r="K3588" s="2" t="s">
        <v>5</v>
      </c>
      <c r="L3588" s="2" t="s">
        <v>5</v>
      </c>
      <c r="M3588" s="2" t="s">
        <v>5</v>
      </c>
      <c r="N3588" s="4">
        <v>0</v>
      </c>
    </row>
    <row r="3589" spans="1:14" x14ac:dyDescent="0.25">
      <c r="A3589" s="2" t="s">
        <v>1455</v>
      </c>
      <c r="B3589" s="2" t="s">
        <v>1456</v>
      </c>
      <c r="C3589" s="3">
        <v>2</v>
      </c>
      <c r="D3589" s="4">
        <v>19.260000000000002</v>
      </c>
      <c r="E3589" s="4">
        <v>13.98</v>
      </c>
      <c r="F3589" s="4">
        <f t="shared" si="251"/>
        <v>5.2800000000000011</v>
      </c>
      <c r="G3589" s="5">
        <f t="shared" si="252"/>
        <v>0.27414330218068539</v>
      </c>
      <c r="H3589" s="2" t="s">
        <v>5</v>
      </c>
      <c r="I3589" s="6" t="s">
        <v>2300</v>
      </c>
      <c r="J3589" s="2" t="s">
        <v>5</v>
      </c>
      <c r="K3589" s="2" t="s">
        <v>5</v>
      </c>
      <c r="L3589" s="2" t="s">
        <v>5</v>
      </c>
      <c r="M3589" s="2" t="s">
        <v>5</v>
      </c>
      <c r="N3589" s="4">
        <v>0</v>
      </c>
    </row>
    <row r="3590" spans="1:14" x14ac:dyDescent="0.25">
      <c r="A3590" s="2" t="s">
        <v>1434</v>
      </c>
      <c r="B3590" s="2" t="s">
        <v>1435</v>
      </c>
      <c r="C3590" s="3">
        <v>2</v>
      </c>
      <c r="D3590" s="4">
        <v>27.82</v>
      </c>
      <c r="E3590" s="4">
        <v>20</v>
      </c>
      <c r="F3590" s="4">
        <f t="shared" si="251"/>
        <v>7.82</v>
      </c>
      <c r="G3590" s="5">
        <f t="shared" si="252"/>
        <v>0.28109273903666426</v>
      </c>
      <c r="H3590" s="2" t="s">
        <v>5</v>
      </c>
      <c r="I3590" s="6" t="s">
        <v>2300</v>
      </c>
      <c r="J3590" s="2" t="s">
        <v>5</v>
      </c>
      <c r="K3590" s="2" t="s">
        <v>5</v>
      </c>
      <c r="L3590" s="2" t="s">
        <v>5</v>
      </c>
      <c r="M3590" s="2" t="s">
        <v>5</v>
      </c>
      <c r="N3590" s="4">
        <v>0</v>
      </c>
    </row>
    <row r="3591" spans="1:14" x14ac:dyDescent="0.25">
      <c r="A3591" s="2" t="s">
        <v>1434</v>
      </c>
      <c r="B3591" s="2" t="s">
        <v>1435</v>
      </c>
      <c r="C3591" s="3">
        <v>4</v>
      </c>
      <c r="D3591" s="4">
        <v>55.64</v>
      </c>
      <c r="E3591" s="4">
        <v>40</v>
      </c>
      <c r="F3591" s="4">
        <f t="shared" si="251"/>
        <v>15.64</v>
      </c>
      <c r="G3591" s="5">
        <f t="shared" si="252"/>
        <v>0.28109273903666426</v>
      </c>
      <c r="H3591" s="2" t="s">
        <v>5</v>
      </c>
      <c r="I3591" s="6" t="s">
        <v>2300</v>
      </c>
      <c r="J3591" s="2" t="s">
        <v>5</v>
      </c>
      <c r="K3591" s="2" t="s">
        <v>5</v>
      </c>
      <c r="L3591" s="2" t="s">
        <v>5</v>
      </c>
      <c r="M3591" s="2" t="s">
        <v>5</v>
      </c>
      <c r="N3591" s="4">
        <v>0</v>
      </c>
    </row>
    <row r="3592" spans="1:14" x14ac:dyDescent="0.25">
      <c r="A3592" s="2" t="s">
        <v>1472</v>
      </c>
      <c r="B3592" s="2" t="s">
        <v>1473</v>
      </c>
      <c r="C3592" s="3">
        <v>8.1999999999999993</v>
      </c>
      <c r="D3592" s="4">
        <v>147.19</v>
      </c>
      <c r="E3592" s="4">
        <v>135.30000000000001</v>
      </c>
      <c r="F3592" s="4">
        <f t="shared" si="251"/>
        <v>11.889999999999986</v>
      </c>
      <c r="G3592" s="5">
        <f t="shared" si="252"/>
        <v>8.0779944289693498E-2</v>
      </c>
      <c r="H3592" s="2" t="s">
        <v>5</v>
      </c>
      <c r="I3592" s="6" t="s">
        <v>2300</v>
      </c>
      <c r="J3592" s="2" t="s">
        <v>5</v>
      </c>
      <c r="K3592" s="2" t="s">
        <v>5</v>
      </c>
      <c r="L3592" s="2" t="s">
        <v>5</v>
      </c>
      <c r="M3592" s="2" t="s">
        <v>5</v>
      </c>
      <c r="N3592" s="4">
        <v>0</v>
      </c>
    </row>
    <row r="3593" spans="1:14" x14ac:dyDescent="0.25">
      <c r="A3593" s="2" t="s">
        <v>1436</v>
      </c>
      <c r="B3593" s="2" t="s">
        <v>1437</v>
      </c>
      <c r="C3593" s="3">
        <v>5.1100000000000003</v>
      </c>
      <c r="D3593" s="4">
        <v>68.933899999999994</v>
      </c>
      <c r="E3593" s="4">
        <v>48.545000000000002</v>
      </c>
      <c r="F3593" s="4">
        <f t="shared" si="251"/>
        <v>20.388899999999992</v>
      </c>
      <c r="G3593" s="5">
        <f t="shared" si="252"/>
        <v>0.29577464788732388</v>
      </c>
      <c r="H3593" s="2" t="s">
        <v>5</v>
      </c>
      <c r="I3593" s="6" t="s">
        <v>2300</v>
      </c>
      <c r="J3593" s="2" t="s">
        <v>5</v>
      </c>
      <c r="K3593" s="2" t="s">
        <v>5</v>
      </c>
      <c r="L3593" s="2" t="s">
        <v>5</v>
      </c>
      <c r="M3593" s="2" t="s">
        <v>5</v>
      </c>
      <c r="N3593" s="4">
        <v>0</v>
      </c>
    </row>
    <row r="3594" spans="1:14" x14ac:dyDescent="0.25">
      <c r="A3594" s="2" t="s">
        <v>1619</v>
      </c>
      <c r="B3594" s="2" t="s">
        <v>1620</v>
      </c>
      <c r="C3594" s="3">
        <v>27.88</v>
      </c>
      <c r="D3594" s="4">
        <v>388.92599999999999</v>
      </c>
      <c r="E3594" s="4">
        <v>412.62400000000002</v>
      </c>
      <c r="F3594" s="4">
        <f t="shared" si="251"/>
        <v>-23.698000000000036</v>
      </c>
      <c r="G3594" s="5">
        <f t="shared" si="252"/>
        <v>-6.0931899641577157E-2</v>
      </c>
      <c r="H3594" s="2" t="s">
        <v>5</v>
      </c>
      <c r="I3594" s="6" t="s">
        <v>2300</v>
      </c>
      <c r="J3594" s="2" t="s">
        <v>5</v>
      </c>
      <c r="K3594" s="2" t="s">
        <v>5</v>
      </c>
      <c r="L3594" s="2" t="s">
        <v>5</v>
      </c>
      <c r="M3594" s="2" t="s">
        <v>5</v>
      </c>
      <c r="N3594" s="4">
        <v>0</v>
      </c>
    </row>
    <row r="3595" spans="1:14" x14ac:dyDescent="0.25">
      <c r="A3595" s="2" t="s">
        <v>1386</v>
      </c>
      <c r="B3595" s="2" t="s">
        <v>1387</v>
      </c>
      <c r="C3595" s="3">
        <v>13.62</v>
      </c>
      <c r="D3595" s="4">
        <v>258.09899999999999</v>
      </c>
      <c r="E3595" s="4">
        <v>207.70500000000001</v>
      </c>
      <c r="F3595" s="4">
        <f t="shared" si="251"/>
        <v>50.393999999999977</v>
      </c>
      <c r="G3595" s="5">
        <f t="shared" si="252"/>
        <v>0.19525065963060678</v>
      </c>
      <c r="H3595" s="2" t="s">
        <v>5</v>
      </c>
      <c r="I3595" s="6" t="s">
        <v>2300</v>
      </c>
      <c r="J3595" s="2" t="s">
        <v>5</v>
      </c>
      <c r="K3595" s="2" t="s">
        <v>5</v>
      </c>
      <c r="L3595" s="2" t="s">
        <v>5</v>
      </c>
      <c r="M3595" s="2" t="s">
        <v>5</v>
      </c>
      <c r="N3595" s="4">
        <v>0</v>
      </c>
    </row>
    <row r="3596" spans="1:14" x14ac:dyDescent="0.25">
      <c r="A3596" s="2" t="s">
        <v>1388</v>
      </c>
      <c r="B3596" s="2" t="s">
        <v>1389</v>
      </c>
      <c r="C3596" s="3">
        <v>7.165</v>
      </c>
      <c r="D3596" s="4">
        <v>142.58349999999999</v>
      </c>
      <c r="E3596" s="4">
        <v>108.1915</v>
      </c>
      <c r="F3596" s="4">
        <f t="shared" si="251"/>
        <v>34.391999999999982</v>
      </c>
      <c r="G3596" s="5">
        <f t="shared" si="252"/>
        <v>0.24120603015075368</v>
      </c>
      <c r="H3596" s="2" t="s">
        <v>5</v>
      </c>
      <c r="I3596" s="6" t="s">
        <v>2300</v>
      </c>
      <c r="J3596" s="2" t="s">
        <v>5</v>
      </c>
      <c r="K3596" s="2" t="s">
        <v>5</v>
      </c>
      <c r="L3596" s="2" t="s">
        <v>5</v>
      </c>
      <c r="M3596" s="2" t="s">
        <v>5</v>
      </c>
      <c r="N3596" s="4">
        <v>0</v>
      </c>
    </row>
    <row r="3597" spans="1:14" x14ac:dyDescent="0.25">
      <c r="A3597" s="2" t="s">
        <v>1388</v>
      </c>
      <c r="B3597" s="2" t="s">
        <v>1389</v>
      </c>
      <c r="C3597" s="3">
        <v>3.1240000000000001</v>
      </c>
      <c r="D3597" s="4">
        <v>62.1676</v>
      </c>
      <c r="E3597" s="4">
        <v>47.172400000000003</v>
      </c>
      <c r="F3597" s="4">
        <f t="shared" si="251"/>
        <v>14.995199999999997</v>
      </c>
      <c r="G3597" s="5">
        <f t="shared" si="252"/>
        <v>0.24120603015075373</v>
      </c>
      <c r="H3597" s="2" t="s">
        <v>5</v>
      </c>
      <c r="I3597" s="6" t="s">
        <v>2300</v>
      </c>
      <c r="J3597" s="2" t="s">
        <v>5</v>
      </c>
      <c r="K3597" s="2" t="s">
        <v>5</v>
      </c>
      <c r="L3597" s="2" t="s">
        <v>5</v>
      </c>
      <c r="M3597" s="2" t="s">
        <v>5</v>
      </c>
      <c r="N3597" s="4">
        <v>0</v>
      </c>
    </row>
    <row r="3598" spans="1:14" x14ac:dyDescent="0.25">
      <c r="A3598" s="2" t="s">
        <v>1393</v>
      </c>
      <c r="B3598" s="2" t="s">
        <v>1394</v>
      </c>
      <c r="C3598" s="3">
        <v>17.61</v>
      </c>
      <c r="D3598" s="4">
        <v>172.578</v>
      </c>
      <c r="E3598" s="4">
        <v>128.553</v>
      </c>
      <c r="F3598" s="4">
        <f t="shared" si="251"/>
        <v>44.025000000000006</v>
      </c>
      <c r="G3598" s="5">
        <f t="shared" si="252"/>
        <v>0.25510204081632654</v>
      </c>
      <c r="H3598" s="2" t="s">
        <v>5</v>
      </c>
      <c r="I3598" s="6" t="s">
        <v>2300</v>
      </c>
      <c r="J3598" s="2" t="s">
        <v>5</v>
      </c>
      <c r="K3598" s="2" t="s">
        <v>5</v>
      </c>
      <c r="L3598" s="2" t="s">
        <v>5</v>
      </c>
      <c r="M3598" s="2" t="s">
        <v>5</v>
      </c>
      <c r="N3598" s="4">
        <v>0</v>
      </c>
    </row>
    <row r="3599" spans="1:14" x14ac:dyDescent="0.25">
      <c r="A3599" s="2" t="s">
        <v>1393</v>
      </c>
      <c r="B3599" s="2" t="s">
        <v>1394</v>
      </c>
      <c r="C3599" s="3">
        <v>30.12</v>
      </c>
      <c r="D3599" s="4">
        <v>295.17599999999999</v>
      </c>
      <c r="E3599" s="4">
        <v>219.876</v>
      </c>
      <c r="F3599" s="4">
        <f t="shared" si="251"/>
        <v>75.299999999999983</v>
      </c>
      <c r="G3599" s="5">
        <f t="shared" si="252"/>
        <v>0.25510204081632648</v>
      </c>
      <c r="H3599" s="2" t="s">
        <v>5</v>
      </c>
      <c r="I3599" s="6" t="s">
        <v>2300</v>
      </c>
      <c r="J3599" s="2" t="s">
        <v>5</v>
      </c>
      <c r="K3599" s="2" t="s">
        <v>5</v>
      </c>
      <c r="L3599" s="2" t="s">
        <v>5</v>
      </c>
      <c r="M3599" s="2" t="s">
        <v>5</v>
      </c>
      <c r="N3599" s="4">
        <v>0</v>
      </c>
    </row>
    <row r="3600" spans="1:14" x14ac:dyDescent="0.25">
      <c r="A3600" s="2" t="s">
        <v>1393</v>
      </c>
      <c r="B3600" s="2" t="s">
        <v>1394</v>
      </c>
      <c r="C3600" s="3">
        <v>7.77</v>
      </c>
      <c r="D3600" s="4">
        <v>76.146000000000001</v>
      </c>
      <c r="E3600" s="4">
        <v>56.720999999999997</v>
      </c>
      <c r="F3600" s="4">
        <f t="shared" si="251"/>
        <v>19.425000000000004</v>
      </c>
      <c r="G3600" s="5">
        <f t="shared" si="252"/>
        <v>0.25510204081632659</v>
      </c>
      <c r="H3600" s="2" t="s">
        <v>5</v>
      </c>
      <c r="I3600" s="6" t="s">
        <v>2300</v>
      </c>
      <c r="J3600" s="2" t="s">
        <v>5</v>
      </c>
      <c r="K3600" s="2" t="s">
        <v>5</v>
      </c>
      <c r="L3600" s="2" t="s">
        <v>5</v>
      </c>
      <c r="M3600" s="2" t="s">
        <v>5</v>
      </c>
      <c r="N3600" s="4">
        <v>0</v>
      </c>
    </row>
    <row r="3601" spans="1:14" x14ac:dyDescent="0.25">
      <c r="A3601" s="2" t="s">
        <v>1393</v>
      </c>
      <c r="B3601" s="2" t="s">
        <v>1394</v>
      </c>
      <c r="C3601" s="3">
        <v>6.6</v>
      </c>
      <c r="D3601" s="4">
        <v>64.680000000000007</v>
      </c>
      <c r="E3601" s="4">
        <v>48.18</v>
      </c>
      <c r="F3601" s="4">
        <f t="shared" si="251"/>
        <v>16.500000000000007</v>
      </c>
      <c r="G3601" s="5">
        <f t="shared" si="252"/>
        <v>0.25510204081632659</v>
      </c>
      <c r="H3601" s="2" t="s">
        <v>5</v>
      </c>
      <c r="I3601" s="6" t="s">
        <v>2300</v>
      </c>
      <c r="J3601" s="2" t="s">
        <v>5</v>
      </c>
      <c r="K3601" s="2" t="s">
        <v>5</v>
      </c>
      <c r="L3601" s="2" t="s">
        <v>5</v>
      </c>
      <c r="M3601" s="2" t="s">
        <v>5</v>
      </c>
      <c r="N3601" s="4">
        <v>0</v>
      </c>
    </row>
    <row r="3602" spans="1:14" x14ac:dyDescent="0.25">
      <c r="A3602" s="2" t="s">
        <v>1474</v>
      </c>
      <c r="B3602" s="2" t="s">
        <v>1475</v>
      </c>
      <c r="C3602" s="3">
        <v>14.97</v>
      </c>
      <c r="D3602" s="4">
        <v>284.43</v>
      </c>
      <c r="E3602" s="4">
        <v>193.113</v>
      </c>
      <c r="F3602" s="4">
        <f t="shared" si="251"/>
        <v>91.317000000000007</v>
      </c>
      <c r="G3602" s="5">
        <f t="shared" si="252"/>
        <v>0.32105263157894737</v>
      </c>
      <c r="H3602" s="2" t="s">
        <v>5</v>
      </c>
      <c r="I3602" s="6" t="s">
        <v>2300</v>
      </c>
      <c r="J3602" s="2" t="s">
        <v>5</v>
      </c>
      <c r="K3602" s="2" t="s">
        <v>5</v>
      </c>
      <c r="L3602" s="2" t="s">
        <v>5</v>
      </c>
      <c r="M3602" s="2" t="s">
        <v>5</v>
      </c>
      <c r="N3602" s="4">
        <v>0</v>
      </c>
    </row>
    <row r="3603" spans="1:14" x14ac:dyDescent="0.25">
      <c r="A3603" s="2" t="s">
        <v>1395</v>
      </c>
      <c r="B3603" s="2" t="s">
        <v>1396</v>
      </c>
      <c r="C3603" s="3">
        <v>5.7</v>
      </c>
      <c r="D3603" s="4">
        <v>59.564999999999998</v>
      </c>
      <c r="E3603" s="4">
        <v>40.47</v>
      </c>
      <c r="F3603" s="4">
        <f t="shared" si="251"/>
        <v>19.094999999999999</v>
      </c>
      <c r="G3603" s="5">
        <f t="shared" si="252"/>
        <v>0.32057416267942584</v>
      </c>
      <c r="H3603" s="2" t="s">
        <v>5</v>
      </c>
      <c r="I3603" s="6" t="s">
        <v>2300</v>
      </c>
      <c r="J3603" s="2" t="s">
        <v>5</v>
      </c>
      <c r="K3603" s="2" t="s">
        <v>5</v>
      </c>
      <c r="L3603" s="2" t="s">
        <v>5</v>
      </c>
      <c r="M3603" s="2" t="s">
        <v>5</v>
      </c>
      <c r="N3603" s="4">
        <v>0</v>
      </c>
    </row>
    <row r="3604" spans="1:14" x14ac:dyDescent="0.25">
      <c r="A3604" s="2" t="s">
        <v>1395</v>
      </c>
      <c r="B3604" s="2" t="s">
        <v>1396</v>
      </c>
      <c r="C3604" s="3">
        <v>5.04</v>
      </c>
      <c r="D3604" s="4">
        <v>52.667999999999999</v>
      </c>
      <c r="E3604" s="4">
        <v>35.783999999999999</v>
      </c>
      <c r="F3604" s="4">
        <f t="shared" si="251"/>
        <v>16.884</v>
      </c>
      <c r="G3604" s="5">
        <f t="shared" si="252"/>
        <v>0.32057416267942584</v>
      </c>
      <c r="H3604" s="2" t="s">
        <v>5</v>
      </c>
      <c r="I3604" s="6" t="s">
        <v>2300</v>
      </c>
      <c r="J3604" s="2" t="s">
        <v>5</v>
      </c>
      <c r="K3604" s="2" t="s">
        <v>5</v>
      </c>
      <c r="L3604" s="2" t="s">
        <v>5</v>
      </c>
      <c r="M3604" s="2" t="s">
        <v>5</v>
      </c>
      <c r="N3604" s="4">
        <v>0</v>
      </c>
    </row>
    <row r="3605" spans="1:14" x14ac:dyDescent="0.25">
      <c r="A3605" s="2" t="s">
        <v>1438</v>
      </c>
      <c r="B3605" s="2" t="s">
        <v>1439</v>
      </c>
      <c r="C3605" s="3">
        <v>11.67</v>
      </c>
      <c r="D3605" s="4">
        <v>122.535</v>
      </c>
      <c r="E3605" s="4">
        <v>94.527000000000001</v>
      </c>
      <c r="F3605" s="4">
        <f t="shared" si="251"/>
        <v>28.007999999999996</v>
      </c>
      <c r="G3605" s="5">
        <f t="shared" si="252"/>
        <v>0.22857142857142854</v>
      </c>
      <c r="H3605" s="2" t="s">
        <v>5</v>
      </c>
      <c r="I3605" s="6" t="s">
        <v>2300</v>
      </c>
      <c r="J3605" s="2" t="s">
        <v>5</v>
      </c>
      <c r="K3605" s="2" t="s">
        <v>5</v>
      </c>
      <c r="L3605" s="2" t="s">
        <v>5</v>
      </c>
      <c r="M3605" s="2" t="s">
        <v>5</v>
      </c>
      <c r="N3605" s="4">
        <v>0</v>
      </c>
    </row>
    <row r="3606" spans="1:14" x14ac:dyDescent="0.25">
      <c r="A3606" s="2" t="s">
        <v>1397</v>
      </c>
      <c r="B3606" s="2" t="s">
        <v>1398</v>
      </c>
      <c r="C3606" s="3">
        <v>10.46</v>
      </c>
      <c r="D3606" s="4">
        <v>265.78859999999997</v>
      </c>
      <c r="E3606" s="4">
        <v>149.578</v>
      </c>
      <c r="F3606" s="4">
        <f t="shared" si="251"/>
        <v>116.21059999999997</v>
      </c>
      <c r="G3606" s="5">
        <f t="shared" si="252"/>
        <v>0.43722943722943719</v>
      </c>
      <c r="H3606" s="2" t="s">
        <v>5</v>
      </c>
      <c r="I3606" s="6" t="s">
        <v>2300</v>
      </c>
      <c r="J3606" s="2" t="s">
        <v>5</v>
      </c>
      <c r="K3606" s="2" t="s">
        <v>5</v>
      </c>
      <c r="L3606" s="2" t="s">
        <v>5</v>
      </c>
      <c r="M3606" s="2" t="s">
        <v>5</v>
      </c>
      <c r="N3606" s="4">
        <v>0</v>
      </c>
    </row>
    <row r="3607" spans="1:14" x14ac:dyDescent="0.25">
      <c r="A3607" s="2" t="s">
        <v>1397</v>
      </c>
      <c r="B3607" s="2" t="s">
        <v>1398</v>
      </c>
      <c r="C3607" s="3">
        <v>10.25</v>
      </c>
      <c r="D3607" s="4">
        <v>260.45249999999999</v>
      </c>
      <c r="E3607" s="4">
        <v>146.57499999999999</v>
      </c>
      <c r="F3607" s="4">
        <f t="shared" si="251"/>
        <v>113.8775</v>
      </c>
      <c r="G3607" s="5">
        <f t="shared" si="252"/>
        <v>0.43722943722943725</v>
      </c>
      <c r="H3607" s="2" t="s">
        <v>5</v>
      </c>
      <c r="I3607" s="6" t="s">
        <v>2300</v>
      </c>
      <c r="J3607" s="2" t="s">
        <v>5</v>
      </c>
      <c r="K3607" s="2" t="s">
        <v>5</v>
      </c>
      <c r="L3607" s="2" t="s">
        <v>5</v>
      </c>
      <c r="M3607" s="2" t="s">
        <v>5</v>
      </c>
      <c r="N3607" s="4">
        <v>0</v>
      </c>
    </row>
    <row r="3608" spans="1:14" x14ac:dyDescent="0.25">
      <c r="A3608" s="2" t="s">
        <v>1397</v>
      </c>
      <c r="B3608" s="2" t="s">
        <v>1398</v>
      </c>
      <c r="C3608" s="3">
        <v>10.11</v>
      </c>
      <c r="D3608" s="4">
        <v>256.89510000000001</v>
      </c>
      <c r="E3608" s="4">
        <v>144.57300000000001</v>
      </c>
      <c r="F3608" s="4">
        <f t="shared" si="251"/>
        <v>112.32210000000001</v>
      </c>
      <c r="G3608" s="5">
        <f t="shared" si="252"/>
        <v>0.43722943722943725</v>
      </c>
      <c r="H3608" s="2" t="s">
        <v>5</v>
      </c>
      <c r="I3608" s="6" t="s">
        <v>2300</v>
      </c>
      <c r="J3608" s="2" t="s">
        <v>5</v>
      </c>
      <c r="K3608" s="2" t="s">
        <v>5</v>
      </c>
      <c r="L3608" s="2" t="s">
        <v>5</v>
      </c>
      <c r="M3608" s="2" t="s">
        <v>5</v>
      </c>
      <c r="N3608" s="4">
        <v>0</v>
      </c>
    </row>
    <row r="3609" spans="1:14" x14ac:dyDescent="0.25">
      <c r="A3609" s="2" t="s">
        <v>1397</v>
      </c>
      <c r="B3609" s="2" t="s">
        <v>1398</v>
      </c>
      <c r="C3609" s="3">
        <v>5.0999999999999996</v>
      </c>
      <c r="D3609" s="4">
        <v>129.59100000000001</v>
      </c>
      <c r="E3609" s="4">
        <v>72.930000000000007</v>
      </c>
      <c r="F3609" s="4">
        <f t="shared" si="251"/>
        <v>56.661000000000001</v>
      </c>
      <c r="G3609" s="5">
        <f t="shared" si="252"/>
        <v>0.43722943722943719</v>
      </c>
      <c r="H3609" s="2" t="s">
        <v>5</v>
      </c>
      <c r="I3609" s="6" t="s">
        <v>2300</v>
      </c>
      <c r="J3609" s="2" t="s">
        <v>5</v>
      </c>
      <c r="K3609" s="2" t="s">
        <v>5</v>
      </c>
      <c r="L3609" s="2" t="s">
        <v>5</v>
      </c>
      <c r="M3609" s="2" t="s">
        <v>5</v>
      </c>
      <c r="N3609" s="4">
        <v>0</v>
      </c>
    </row>
    <row r="3610" spans="1:14" x14ac:dyDescent="0.25">
      <c r="A3610" s="2" t="s">
        <v>1397</v>
      </c>
      <c r="B3610" s="2" t="s">
        <v>1398</v>
      </c>
      <c r="C3610" s="3">
        <v>10.44</v>
      </c>
      <c r="D3610" s="4">
        <v>265.28039999999999</v>
      </c>
      <c r="E3610" s="4">
        <v>149.292</v>
      </c>
      <c r="F3610" s="4">
        <f t="shared" si="251"/>
        <v>115.98839999999998</v>
      </c>
      <c r="G3610" s="5">
        <f t="shared" si="252"/>
        <v>0.43722943722943719</v>
      </c>
      <c r="H3610" s="2" t="s">
        <v>5</v>
      </c>
      <c r="I3610" s="6" t="s">
        <v>2300</v>
      </c>
      <c r="J3610" s="2" t="s">
        <v>5</v>
      </c>
      <c r="K3610" s="2" t="s">
        <v>5</v>
      </c>
      <c r="L3610" s="2" t="s">
        <v>5</v>
      </c>
      <c r="M3610" s="2" t="s">
        <v>5</v>
      </c>
      <c r="N3610" s="4">
        <v>0</v>
      </c>
    </row>
    <row r="3611" spans="1:14" x14ac:dyDescent="0.25">
      <c r="A3611" s="2" t="s">
        <v>1397</v>
      </c>
      <c r="B3611" s="2" t="s">
        <v>1398</v>
      </c>
      <c r="C3611" s="3">
        <v>10.36</v>
      </c>
      <c r="D3611" s="4">
        <v>263.24759999999998</v>
      </c>
      <c r="E3611" s="4">
        <v>148.148</v>
      </c>
      <c r="F3611" s="4">
        <f t="shared" si="251"/>
        <v>115.09959999999998</v>
      </c>
      <c r="G3611" s="5">
        <f t="shared" si="252"/>
        <v>0.43722943722943719</v>
      </c>
      <c r="H3611" s="2" t="s">
        <v>5</v>
      </c>
      <c r="I3611" s="6" t="s">
        <v>2300</v>
      </c>
      <c r="J3611" s="2" t="s">
        <v>5</v>
      </c>
      <c r="K3611" s="2" t="s">
        <v>5</v>
      </c>
      <c r="L3611" s="2" t="s">
        <v>5</v>
      </c>
      <c r="M3611" s="2" t="s">
        <v>5</v>
      </c>
      <c r="N3611" s="4">
        <v>0</v>
      </c>
    </row>
    <row r="3612" spans="1:14" x14ac:dyDescent="0.25">
      <c r="A3612" s="2" t="s">
        <v>1397</v>
      </c>
      <c r="B3612" s="2" t="s">
        <v>1398</v>
      </c>
      <c r="C3612" s="3">
        <v>8.07</v>
      </c>
      <c r="D3612" s="4">
        <v>205.05869999999999</v>
      </c>
      <c r="E3612" s="4">
        <v>115.401</v>
      </c>
      <c r="F3612" s="4">
        <f t="shared" si="251"/>
        <v>89.657699999999991</v>
      </c>
      <c r="G3612" s="5">
        <f t="shared" si="252"/>
        <v>0.43722943722943719</v>
      </c>
      <c r="H3612" s="2" t="s">
        <v>5</v>
      </c>
      <c r="I3612" s="6" t="s">
        <v>2300</v>
      </c>
      <c r="J3612" s="2" t="s">
        <v>5</v>
      </c>
      <c r="K3612" s="2" t="s">
        <v>5</v>
      </c>
      <c r="L3612" s="2" t="s">
        <v>5</v>
      </c>
      <c r="M3612" s="2" t="s">
        <v>5</v>
      </c>
      <c r="N3612" s="4">
        <v>0</v>
      </c>
    </row>
    <row r="3613" spans="1:14" x14ac:dyDescent="0.25">
      <c r="A3613" s="2" t="s">
        <v>1399</v>
      </c>
      <c r="B3613" s="2" t="s">
        <v>1400</v>
      </c>
      <c r="C3613" s="3">
        <v>5.77</v>
      </c>
      <c r="D3613" s="4">
        <v>112.515</v>
      </c>
      <c r="E3613" s="4">
        <v>82.510999999999996</v>
      </c>
      <c r="F3613" s="4">
        <f t="shared" si="251"/>
        <v>30.004000000000005</v>
      </c>
      <c r="G3613" s="5">
        <f t="shared" si="252"/>
        <v>0.26666666666666672</v>
      </c>
      <c r="H3613" s="2" t="s">
        <v>5</v>
      </c>
      <c r="I3613" s="6" t="s">
        <v>2300</v>
      </c>
      <c r="J3613" s="2" t="s">
        <v>5</v>
      </c>
      <c r="K3613" s="2" t="s">
        <v>5</v>
      </c>
      <c r="L3613" s="2" t="s">
        <v>5</v>
      </c>
      <c r="M3613" s="2" t="s">
        <v>5</v>
      </c>
      <c r="N3613" s="4">
        <v>0</v>
      </c>
    </row>
    <row r="3614" spans="1:14" x14ac:dyDescent="0.25">
      <c r="A3614" s="2" t="s">
        <v>1399</v>
      </c>
      <c r="B3614" s="2" t="s">
        <v>1400</v>
      </c>
      <c r="C3614" s="3">
        <v>4.3739999999999997</v>
      </c>
      <c r="D3614" s="4">
        <v>85.293000000000006</v>
      </c>
      <c r="E3614" s="4">
        <v>62.548200000000001</v>
      </c>
      <c r="F3614" s="4">
        <f t="shared" si="251"/>
        <v>22.744800000000005</v>
      </c>
      <c r="G3614" s="5">
        <f t="shared" si="252"/>
        <v>0.26666666666666672</v>
      </c>
      <c r="H3614" s="2" t="s">
        <v>5</v>
      </c>
      <c r="I3614" s="6" t="s">
        <v>2300</v>
      </c>
      <c r="J3614" s="2" t="s">
        <v>5</v>
      </c>
      <c r="K3614" s="2" t="s">
        <v>5</v>
      </c>
      <c r="L3614" s="2" t="s">
        <v>5</v>
      </c>
      <c r="M3614" s="2" t="s">
        <v>5</v>
      </c>
      <c r="N3614" s="4">
        <v>0</v>
      </c>
    </row>
    <row r="3615" spans="1:14" x14ac:dyDescent="0.25">
      <c r="A3615" s="2" t="s">
        <v>1399</v>
      </c>
      <c r="B3615" s="2" t="s">
        <v>1400</v>
      </c>
      <c r="C3615" s="3">
        <v>8.6300000000000008</v>
      </c>
      <c r="D3615" s="4">
        <v>168.285</v>
      </c>
      <c r="E3615" s="4">
        <v>123.40900000000001</v>
      </c>
      <c r="F3615" s="4">
        <f t="shared" si="251"/>
        <v>44.875999999999991</v>
      </c>
      <c r="G3615" s="5">
        <f t="shared" si="252"/>
        <v>0.26666666666666661</v>
      </c>
      <c r="H3615" s="2" t="s">
        <v>5</v>
      </c>
      <c r="I3615" s="6" t="s">
        <v>2300</v>
      </c>
      <c r="J3615" s="2" t="s">
        <v>5</v>
      </c>
      <c r="K3615" s="2" t="s">
        <v>5</v>
      </c>
      <c r="L3615" s="2" t="s">
        <v>5</v>
      </c>
      <c r="M3615" s="2" t="s">
        <v>5</v>
      </c>
      <c r="N3615" s="4">
        <v>0</v>
      </c>
    </row>
    <row r="3616" spans="1:14" x14ac:dyDescent="0.25">
      <c r="A3616" s="2" t="s">
        <v>1399</v>
      </c>
      <c r="B3616" s="2" t="s">
        <v>1400</v>
      </c>
      <c r="C3616" s="3">
        <v>5.6280000000000001</v>
      </c>
      <c r="D3616" s="4">
        <v>109.746</v>
      </c>
      <c r="E3616" s="4">
        <v>80.480400000000003</v>
      </c>
      <c r="F3616" s="4">
        <f t="shared" si="251"/>
        <v>29.265599999999992</v>
      </c>
      <c r="G3616" s="5">
        <f t="shared" si="252"/>
        <v>0.26666666666666661</v>
      </c>
      <c r="H3616" s="2" t="s">
        <v>5</v>
      </c>
      <c r="I3616" s="6" t="s">
        <v>2300</v>
      </c>
      <c r="J3616" s="2" t="s">
        <v>5</v>
      </c>
      <c r="K3616" s="2" t="s">
        <v>5</v>
      </c>
      <c r="L3616" s="2" t="s">
        <v>5</v>
      </c>
      <c r="M3616" s="2" t="s">
        <v>5</v>
      </c>
      <c r="N3616" s="4">
        <v>0</v>
      </c>
    </row>
    <row r="3617" spans="1:14" x14ac:dyDescent="0.25">
      <c r="A3617" s="2" t="s">
        <v>1399</v>
      </c>
      <c r="B3617" s="2" t="s">
        <v>1400</v>
      </c>
      <c r="C3617" s="3">
        <v>3</v>
      </c>
      <c r="D3617" s="4">
        <v>58.5</v>
      </c>
      <c r="E3617" s="4">
        <v>42.9</v>
      </c>
      <c r="F3617" s="4">
        <f t="shared" ref="F3617:F3680" si="253">D3617-E3617</f>
        <v>15.600000000000001</v>
      </c>
      <c r="G3617" s="5">
        <f t="shared" ref="G3617:G3680" si="254">IF(((D3617)=0),0,(D3617-E3617)/ D3617)</f>
        <v>0.26666666666666672</v>
      </c>
      <c r="H3617" s="2" t="s">
        <v>5</v>
      </c>
      <c r="I3617" s="6" t="s">
        <v>2300</v>
      </c>
      <c r="J3617" s="2" t="s">
        <v>5</v>
      </c>
      <c r="K3617" s="2" t="s">
        <v>5</v>
      </c>
      <c r="L3617" s="2" t="s">
        <v>5</v>
      </c>
      <c r="M3617" s="2" t="s">
        <v>5</v>
      </c>
      <c r="N3617" s="4">
        <v>0</v>
      </c>
    </row>
    <row r="3618" spans="1:14" x14ac:dyDescent="0.25">
      <c r="A3618" s="2" t="s">
        <v>1399</v>
      </c>
      <c r="B3618" s="2" t="s">
        <v>1400</v>
      </c>
      <c r="C3618" s="3">
        <v>2.98</v>
      </c>
      <c r="D3618" s="4">
        <v>58.11</v>
      </c>
      <c r="E3618" s="4">
        <v>42.613999999999997</v>
      </c>
      <c r="F3618" s="4">
        <f t="shared" si="253"/>
        <v>15.496000000000002</v>
      </c>
      <c r="G3618" s="5">
        <f t="shared" si="254"/>
        <v>0.26666666666666672</v>
      </c>
      <c r="H3618" s="2" t="s">
        <v>5</v>
      </c>
      <c r="I3618" s="6" t="s">
        <v>2300</v>
      </c>
      <c r="J3618" s="2" t="s">
        <v>5</v>
      </c>
      <c r="K3618" s="2" t="s">
        <v>5</v>
      </c>
      <c r="L3618" s="2" t="s">
        <v>5</v>
      </c>
      <c r="M3618" s="2" t="s">
        <v>5</v>
      </c>
      <c r="N3618" s="4">
        <v>0</v>
      </c>
    </row>
    <row r="3619" spans="1:14" x14ac:dyDescent="0.25">
      <c r="A3619" s="2" t="s">
        <v>1399</v>
      </c>
      <c r="B3619" s="2" t="s">
        <v>1400</v>
      </c>
      <c r="C3619" s="3">
        <v>2.93</v>
      </c>
      <c r="D3619" s="4">
        <v>57.134999999999998</v>
      </c>
      <c r="E3619" s="4">
        <v>41.899000000000001</v>
      </c>
      <c r="F3619" s="4">
        <f t="shared" si="253"/>
        <v>15.235999999999997</v>
      </c>
      <c r="G3619" s="5">
        <f t="shared" si="254"/>
        <v>0.26666666666666661</v>
      </c>
      <c r="H3619" s="2" t="s">
        <v>5</v>
      </c>
      <c r="I3619" s="6" t="s">
        <v>2300</v>
      </c>
      <c r="J3619" s="2" t="s">
        <v>5</v>
      </c>
      <c r="K3619" s="2" t="s">
        <v>5</v>
      </c>
      <c r="L3619" s="2" t="s">
        <v>5</v>
      </c>
      <c r="M3619" s="2" t="s">
        <v>5</v>
      </c>
      <c r="N3619" s="4">
        <v>0</v>
      </c>
    </row>
    <row r="3620" spans="1:14" x14ac:dyDescent="0.25">
      <c r="A3620" s="2" t="s">
        <v>1401</v>
      </c>
      <c r="B3620" s="2" t="s">
        <v>1402</v>
      </c>
      <c r="C3620" s="3">
        <v>8.3849999999999998</v>
      </c>
      <c r="D3620" s="4">
        <v>360.13574999999997</v>
      </c>
      <c r="E3620" s="4">
        <v>251.55</v>
      </c>
      <c r="F3620" s="4">
        <f t="shared" si="253"/>
        <v>108.58574999999996</v>
      </c>
      <c r="G3620" s="5">
        <f t="shared" si="254"/>
        <v>0.30151338766006974</v>
      </c>
      <c r="H3620" s="2" t="s">
        <v>5</v>
      </c>
      <c r="I3620" s="6" t="s">
        <v>2300</v>
      </c>
      <c r="J3620" s="2" t="s">
        <v>5</v>
      </c>
      <c r="K3620" s="2" t="s">
        <v>5</v>
      </c>
      <c r="L3620" s="2" t="s">
        <v>5</v>
      </c>
      <c r="M3620" s="2" t="s">
        <v>5</v>
      </c>
      <c r="N3620" s="4">
        <v>0</v>
      </c>
    </row>
    <row r="3621" spans="1:14" x14ac:dyDescent="0.25">
      <c r="A3621" s="2" t="s">
        <v>1440</v>
      </c>
      <c r="B3621" s="2" t="s">
        <v>1441</v>
      </c>
      <c r="C3621" s="3">
        <v>6.17</v>
      </c>
      <c r="D3621" s="4">
        <v>260.31229999999999</v>
      </c>
      <c r="E3621" s="4">
        <v>191.27</v>
      </c>
      <c r="F3621" s="4">
        <f t="shared" si="253"/>
        <v>69.042299999999983</v>
      </c>
      <c r="G3621" s="5">
        <f t="shared" si="254"/>
        <v>0.26522872718653706</v>
      </c>
      <c r="H3621" s="2" t="s">
        <v>5</v>
      </c>
      <c r="I3621" s="6" t="s">
        <v>2300</v>
      </c>
      <c r="J3621" s="2" t="s">
        <v>5</v>
      </c>
      <c r="K3621" s="2" t="s">
        <v>5</v>
      </c>
      <c r="L3621" s="2" t="s">
        <v>5</v>
      </c>
      <c r="M3621" s="2" t="s">
        <v>5</v>
      </c>
      <c r="N3621" s="4">
        <v>0</v>
      </c>
    </row>
    <row r="3622" spans="1:14" x14ac:dyDescent="0.25">
      <c r="A3622" s="2" t="s">
        <v>1440</v>
      </c>
      <c r="B3622" s="2" t="s">
        <v>1441</v>
      </c>
      <c r="C3622" s="3">
        <v>3.74</v>
      </c>
      <c r="D3622" s="4">
        <v>157.79060000000001</v>
      </c>
      <c r="E3622" s="4">
        <v>115.94</v>
      </c>
      <c r="F3622" s="4">
        <f t="shared" si="253"/>
        <v>41.850600000000014</v>
      </c>
      <c r="G3622" s="5">
        <f t="shared" si="254"/>
        <v>0.26522872718653717</v>
      </c>
      <c r="H3622" s="2" t="s">
        <v>5</v>
      </c>
      <c r="I3622" s="6" t="s">
        <v>2300</v>
      </c>
      <c r="J3622" s="2" t="s">
        <v>5</v>
      </c>
      <c r="K3622" s="2" t="s">
        <v>5</v>
      </c>
      <c r="L3622" s="2" t="s">
        <v>5</v>
      </c>
      <c r="M3622" s="2" t="s">
        <v>5</v>
      </c>
      <c r="N3622" s="4">
        <v>0</v>
      </c>
    </row>
    <row r="3623" spans="1:14" x14ac:dyDescent="0.25">
      <c r="A3623" s="2" t="s">
        <v>1440</v>
      </c>
      <c r="B3623" s="2" t="s">
        <v>1441</v>
      </c>
      <c r="C3623" s="3">
        <v>6.0949999999999998</v>
      </c>
      <c r="D3623" s="4">
        <v>257.14805000000001</v>
      </c>
      <c r="E3623" s="4">
        <v>188.94499999999999</v>
      </c>
      <c r="F3623" s="4">
        <f t="shared" si="253"/>
        <v>68.203050000000019</v>
      </c>
      <c r="G3623" s="5">
        <f t="shared" si="254"/>
        <v>0.26522872718653717</v>
      </c>
      <c r="H3623" s="2" t="s">
        <v>5</v>
      </c>
      <c r="I3623" s="6" t="s">
        <v>2300</v>
      </c>
      <c r="J3623" s="2" t="s">
        <v>5</v>
      </c>
      <c r="K3623" s="2" t="s">
        <v>5</v>
      </c>
      <c r="L3623" s="2" t="s">
        <v>5</v>
      </c>
      <c r="M3623" s="2" t="s">
        <v>5</v>
      </c>
      <c r="N3623" s="4">
        <v>0</v>
      </c>
    </row>
    <row r="3624" spans="1:14" x14ac:dyDescent="0.25">
      <c r="A3624" s="2" t="s">
        <v>1440</v>
      </c>
      <c r="B3624" s="2" t="s">
        <v>1441</v>
      </c>
      <c r="C3624" s="3">
        <v>6.09</v>
      </c>
      <c r="D3624" s="4">
        <v>256.93709999999999</v>
      </c>
      <c r="E3624" s="4">
        <v>188.79</v>
      </c>
      <c r="F3624" s="4">
        <f t="shared" si="253"/>
        <v>68.147099999999995</v>
      </c>
      <c r="G3624" s="5">
        <f t="shared" si="254"/>
        <v>0.26522872718653706</v>
      </c>
      <c r="H3624" s="2" t="s">
        <v>5</v>
      </c>
      <c r="I3624" s="6" t="s">
        <v>2300</v>
      </c>
      <c r="J3624" s="2" t="s">
        <v>5</v>
      </c>
      <c r="K3624" s="2" t="s">
        <v>5</v>
      </c>
      <c r="L3624" s="2" t="s">
        <v>5</v>
      </c>
      <c r="M3624" s="2" t="s">
        <v>5</v>
      </c>
      <c r="N3624" s="4">
        <v>0</v>
      </c>
    </row>
    <row r="3625" spans="1:14" x14ac:dyDescent="0.25">
      <c r="A3625" s="2" t="s">
        <v>1457</v>
      </c>
      <c r="B3625" s="2" t="s">
        <v>1458</v>
      </c>
      <c r="C3625" s="3">
        <v>28.8</v>
      </c>
      <c r="D3625" s="4">
        <v>1027.008</v>
      </c>
      <c r="E3625" s="4">
        <v>892.8</v>
      </c>
      <c r="F3625" s="4">
        <f t="shared" si="253"/>
        <v>134.20800000000008</v>
      </c>
      <c r="G3625" s="5">
        <f t="shared" si="254"/>
        <v>0.13067863151991033</v>
      </c>
      <c r="H3625" s="2" t="s">
        <v>5</v>
      </c>
      <c r="I3625" s="6" t="s">
        <v>2300</v>
      </c>
      <c r="J3625" s="2" t="s">
        <v>5</v>
      </c>
      <c r="K3625" s="2" t="s">
        <v>5</v>
      </c>
      <c r="L3625" s="2" t="s">
        <v>5</v>
      </c>
      <c r="M3625" s="2" t="s">
        <v>5</v>
      </c>
      <c r="N3625" s="4">
        <v>0</v>
      </c>
    </row>
    <row r="3626" spans="1:14" x14ac:dyDescent="0.25">
      <c r="A3626" s="2" t="s">
        <v>1403</v>
      </c>
      <c r="B3626" s="2" t="s">
        <v>1404</v>
      </c>
      <c r="C3626" s="3">
        <v>8.1850000000000005</v>
      </c>
      <c r="D3626" s="4">
        <v>209.61785</v>
      </c>
      <c r="E3626" s="4">
        <v>114.59</v>
      </c>
      <c r="F3626" s="4">
        <f t="shared" si="253"/>
        <v>95.027850000000001</v>
      </c>
      <c r="G3626" s="5">
        <f t="shared" si="254"/>
        <v>0.45333853963295589</v>
      </c>
      <c r="H3626" s="2" t="s">
        <v>5</v>
      </c>
      <c r="I3626" s="6" t="s">
        <v>2300</v>
      </c>
      <c r="J3626" s="2" t="s">
        <v>5</v>
      </c>
      <c r="K3626" s="2" t="s">
        <v>5</v>
      </c>
      <c r="L3626" s="2" t="s">
        <v>5</v>
      </c>
      <c r="M3626" s="2" t="s">
        <v>5</v>
      </c>
      <c r="N3626" s="4">
        <v>0</v>
      </c>
    </row>
    <row r="3627" spans="1:14" x14ac:dyDescent="0.25">
      <c r="A3627" s="2" t="s">
        <v>1442</v>
      </c>
      <c r="B3627" s="2" t="s">
        <v>1443</v>
      </c>
      <c r="C3627" s="3">
        <v>12.25</v>
      </c>
      <c r="D3627" s="4">
        <v>313.72250000000003</v>
      </c>
      <c r="E3627" s="4">
        <v>171.5</v>
      </c>
      <c r="F3627" s="4">
        <f t="shared" si="253"/>
        <v>142.22250000000003</v>
      </c>
      <c r="G3627" s="5">
        <f t="shared" si="254"/>
        <v>0.45333853963295589</v>
      </c>
      <c r="H3627" s="2" t="s">
        <v>5</v>
      </c>
      <c r="I3627" s="6" t="s">
        <v>2300</v>
      </c>
      <c r="J3627" s="2" t="s">
        <v>5</v>
      </c>
      <c r="K3627" s="2" t="s">
        <v>5</v>
      </c>
      <c r="L3627" s="2" t="s">
        <v>5</v>
      </c>
      <c r="M3627" s="2" t="s">
        <v>5</v>
      </c>
      <c r="N3627" s="4">
        <v>0</v>
      </c>
    </row>
    <row r="3628" spans="1:14" x14ac:dyDescent="0.25">
      <c r="A3628" s="2" t="s">
        <v>1442</v>
      </c>
      <c r="B3628" s="2" t="s">
        <v>1443</v>
      </c>
      <c r="C3628" s="3">
        <v>10.414</v>
      </c>
      <c r="D3628" s="4">
        <v>266.70254</v>
      </c>
      <c r="E3628" s="4">
        <v>145.79599999999999</v>
      </c>
      <c r="F3628" s="4">
        <f t="shared" si="253"/>
        <v>120.90654000000001</v>
      </c>
      <c r="G3628" s="5">
        <f t="shared" si="254"/>
        <v>0.45333853963295589</v>
      </c>
      <c r="H3628" s="2" t="s">
        <v>5</v>
      </c>
      <c r="I3628" s="6" t="s">
        <v>2300</v>
      </c>
      <c r="J3628" s="2" t="s">
        <v>5</v>
      </c>
      <c r="K3628" s="2" t="s">
        <v>5</v>
      </c>
      <c r="L3628" s="2" t="s">
        <v>5</v>
      </c>
      <c r="M3628" s="2" t="s">
        <v>5</v>
      </c>
      <c r="N3628" s="4">
        <v>0</v>
      </c>
    </row>
    <row r="3629" spans="1:14" x14ac:dyDescent="0.25">
      <c r="A3629" s="2" t="s">
        <v>1442</v>
      </c>
      <c r="B3629" s="2" t="s">
        <v>1443</v>
      </c>
      <c r="C3629" s="3">
        <v>10.15</v>
      </c>
      <c r="D3629" s="4">
        <v>259.94150000000002</v>
      </c>
      <c r="E3629" s="4">
        <v>142.1</v>
      </c>
      <c r="F3629" s="4">
        <f t="shared" si="253"/>
        <v>117.84150000000002</v>
      </c>
      <c r="G3629" s="5">
        <f t="shared" si="254"/>
        <v>0.45333853963295595</v>
      </c>
      <c r="H3629" s="2" t="s">
        <v>5</v>
      </c>
      <c r="I3629" s="6" t="s">
        <v>2300</v>
      </c>
      <c r="J3629" s="2" t="s">
        <v>5</v>
      </c>
      <c r="K3629" s="2" t="s">
        <v>5</v>
      </c>
      <c r="L3629" s="2" t="s">
        <v>5</v>
      </c>
      <c r="M3629" s="2" t="s">
        <v>5</v>
      </c>
      <c r="N3629" s="4">
        <v>0</v>
      </c>
    </row>
    <row r="3630" spans="1:14" x14ac:dyDescent="0.25">
      <c r="A3630" s="2" t="s">
        <v>1442</v>
      </c>
      <c r="B3630" s="2" t="s">
        <v>1443</v>
      </c>
      <c r="C3630" s="3">
        <v>4.0999999999999996</v>
      </c>
      <c r="D3630" s="4">
        <v>105.001</v>
      </c>
      <c r="E3630" s="4">
        <v>57.4</v>
      </c>
      <c r="F3630" s="4">
        <f t="shared" si="253"/>
        <v>47.601000000000006</v>
      </c>
      <c r="G3630" s="5">
        <f t="shared" si="254"/>
        <v>0.45333853963295589</v>
      </c>
      <c r="H3630" s="2" t="s">
        <v>5</v>
      </c>
      <c r="I3630" s="6" t="s">
        <v>2300</v>
      </c>
      <c r="J3630" s="2" t="s">
        <v>5</v>
      </c>
      <c r="K3630" s="2" t="s">
        <v>5</v>
      </c>
      <c r="L3630" s="2" t="s">
        <v>5</v>
      </c>
      <c r="M3630" s="2" t="s">
        <v>5</v>
      </c>
      <c r="N3630" s="4">
        <v>0</v>
      </c>
    </row>
    <row r="3631" spans="1:14" x14ac:dyDescent="0.25">
      <c r="A3631" s="2" t="s">
        <v>1442</v>
      </c>
      <c r="B3631" s="2" t="s">
        <v>1443</v>
      </c>
      <c r="C3631" s="3">
        <v>10.195</v>
      </c>
      <c r="D3631" s="4">
        <v>261.09395000000001</v>
      </c>
      <c r="E3631" s="4">
        <v>142.72999999999999</v>
      </c>
      <c r="F3631" s="4">
        <f t="shared" si="253"/>
        <v>118.36395000000002</v>
      </c>
      <c r="G3631" s="5">
        <f t="shared" si="254"/>
        <v>0.45333853963295595</v>
      </c>
      <c r="H3631" s="2" t="s">
        <v>5</v>
      </c>
      <c r="I3631" s="6" t="s">
        <v>2300</v>
      </c>
      <c r="J3631" s="2" t="s">
        <v>5</v>
      </c>
      <c r="K3631" s="2" t="s">
        <v>5</v>
      </c>
      <c r="L3631" s="2" t="s">
        <v>5</v>
      </c>
      <c r="M3631" s="2" t="s">
        <v>5</v>
      </c>
      <c r="N3631" s="4">
        <v>0</v>
      </c>
    </row>
    <row r="3632" spans="1:14" x14ac:dyDescent="0.25">
      <c r="A3632" s="2" t="s">
        <v>1459</v>
      </c>
      <c r="B3632" s="2" t="s">
        <v>1460</v>
      </c>
      <c r="C3632" s="3">
        <v>12.4</v>
      </c>
      <c r="D3632" s="4">
        <v>201.624</v>
      </c>
      <c r="E3632" s="4">
        <v>173.6</v>
      </c>
      <c r="F3632" s="4">
        <f t="shared" si="253"/>
        <v>28.024000000000001</v>
      </c>
      <c r="G3632" s="5">
        <f t="shared" si="254"/>
        <v>0.13899138991389914</v>
      </c>
      <c r="H3632" s="2" t="s">
        <v>5</v>
      </c>
      <c r="I3632" s="6" t="s">
        <v>2300</v>
      </c>
      <c r="J3632" s="2" t="s">
        <v>5</v>
      </c>
      <c r="K3632" s="2" t="s">
        <v>5</v>
      </c>
      <c r="L3632" s="2" t="s">
        <v>5</v>
      </c>
      <c r="M3632" s="2" t="s">
        <v>5</v>
      </c>
      <c r="N3632" s="4">
        <v>0</v>
      </c>
    </row>
    <row r="3633" spans="1:14" x14ac:dyDescent="0.25">
      <c r="A3633" s="2" t="s">
        <v>1461</v>
      </c>
      <c r="B3633" s="2" t="s">
        <v>1462</v>
      </c>
      <c r="C3633" s="3">
        <v>2</v>
      </c>
      <c r="D3633" s="4">
        <v>41.18</v>
      </c>
      <c r="E3633" s="4">
        <v>32.96</v>
      </c>
      <c r="F3633" s="4">
        <f t="shared" si="253"/>
        <v>8.2199999999999989</v>
      </c>
      <c r="G3633" s="5">
        <f t="shared" si="254"/>
        <v>0.19961146187469642</v>
      </c>
      <c r="H3633" s="2" t="s">
        <v>5</v>
      </c>
      <c r="I3633" s="6" t="s">
        <v>2300</v>
      </c>
      <c r="J3633" s="2" t="s">
        <v>5</v>
      </c>
      <c r="K3633" s="2" t="s">
        <v>5</v>
      </c>
      <c r="L3633" s="2" t="s">
        <v>5</v>
      </c>
      <c r="M3633" s="2" t="s">
        <v>5</v>
      </c>
      <c r="N3633" s="4">
        <v>0</v>
      </c>
    </row>
    <row r="3634" spans="1:14" x14ac:dyDescent="0.25">
      <c r="A3634" s="2" t="s">
        <v>1463</v>
      </c>
      <c r="B3634" s="2" t="s">
        <v>1464</v>
      </c>
      <c r="C3634" s="3">
        <v>4</v>
      </c>
      <c r="D3634" s="4">
        <v>82.36</v>
      </c>
      <c r="E3634" s="4">
        <v>64.56</v>
      </c>
      <c r="F3634" s="4">
        <f t="shared" si="253"/>
        <v>17.799999999999997</v>
      </c>
      <c r="G3634" s="5">
        <f t="shared" si="254"/>
        <v>0.21612433220009711</v>
      </c>
      <c r="H3634" s="2" t="s">
        <v>5</v>
      </c>
      <c r="I3634" s="6" t="s">
        <v>2300</v>
      </c>
      <c r="J3634" s="2" t="s">
        <v>5</v>
      </c>
      <c r="K3634" s="2" t="s">
        <v>5</v>
      </c>
      <c r="L3634" s="2" t="s">
        <v>5</v>
      </c>
      <c r="M3634" s="2" t="s">
        <v>5</v>
      </c>
      <c r="N3634" s="4">
        <v>0</v>
      </c>
    </row>
    <row r="3635" spans="1:14" x14ac:dyDescent="0.25">
      <c r="A3635" s="2" t="s">
        <v>1463</v>
      </c>
      <c r="B3635" s="2" t="s">
        <v>1464</v>
      </c>
      <c r="C3635" s="3">
        <v>1</v>
      </c>
      <c r="D3635" s="4">
        <v>20.59</v>
      </c>
      <c r="E3635" s="4">
        <v>16.14</v>
      </c>
      <c r="F3635" s="4">
        <f t="shared" si="253"/>
        <v>4.4499999999999993</v>
      </c>
      <c r="G3635" s="5">
        <f t="shared" si="254"/>
        <v>0.21612433220009711</v>
      </c>
      <c r="H3635" s="2" t="s">
        <v>5</v>
      </c>
      <c r="I3635" s="6" t="s">
        <v>2300</v>
      </c>
      <c r="J3635" s="2" t="s">
        <v>5</v>
      </c>
      <c r="K3635" s="2" t="s">
        <v>5</v>
      </c>
      <c r="L3635" s="2" t="s">
        <v>5</v>
      </c>
      <c r="M3635" s="2" t="s">
        <v>5</v>
      </c>
      <c r="N3635" s="4">
        <v>0</v>
      </c>
    </row>
    <row r="3636" spans="1:14" x14ac:dyDescent="0.25">
      <c r="A3636" s="2" t="s">
        <v>1444</v>
      </c>
      <c r="B3636" s="2" t="s">
        <v>1445</v>
      </c>
      <c r="C3636" s="3">
        <v>2.105</v>
      </c>
      <c r="D3636" s="4">
        <v>29.364750000000001</v>
      </c>
      <c r="E3636" s="4">
        <v>26.3125</v>
      </c>
      <c r="F3636" s="4">
        <f t="shared" si="253"/>
        <v>3.0522500000000008</v>
      </c>
      <c r="G3636" s="5">
        <f t="shared" si="254"/>
        <v>0.10394265232974913</v>
      </c>
      <c r="H3636" s="2" t="s">
        <v>5</v>
      </c>
      <c r="I3636" s="6" t="s">
        <v>2300</v>
      </c>
      <c r="J3636" s="2" t="s">
        <v>5</v>
      </c>
      <c r="K3636" s="2" t="s">
        <v>5</v>
      </c>
      <c r="L3636" s="2" t="s">
        <v>5</v>
      </c>
      <c r="M3636" s="2" t="s">
        <v>5</v>
      </c>
      <c r="N3636" s="4">
        <v>0</v>
      </c>
    </row>
    <row r="3637" spans="1:14" x14ac:dyDescent="0.25">
      <c r="A3637" s="2" t="s">
        <v>1444</v>
      </c>
      <c r="B3637" s="2" t="s">
        <v>1445</v>
      </c>
      <c r="C3637" s="3">
        <v>21.004999999999999</v>
      </c>
      <c r="D3637" s="4">
        <v>293.01974999999999</v>
      </c>
      <c r="E3637" s="4">
        <v>262.5625</v>
      </c>
      <c r="F3637" s="4">
        <f t="shared" si="253"/>
        <v>30.457249999999988</v>
      </c>
      <c r="G3637" s="5">
        <f t="shared" si="254"/>
        <v>0.10394265232974907</v>
      </c>
      <c r="H3637" s="2" t="s">
        <v>5</v>
      </c>
      <c r="I3637" s="6" t="s">
        <v>2300</v>
      </c>
      <c r="J3637" s="2" t="s">
        <v>5</v>
      </c>
      <c r="K3637" s="2" t="s">
        <v>5</v>
      </c>
      <c r="L3637" s="2" t="s">
        <v>5</v>
      </c>
      <c r="M3637" s="2" t="s">
        <v>5</v>
      </c>
      <c r="N3637" s="4">
        <v>0</v>
      </c>
    </row>
    <row r="3638" spans="1:14" x14ac:dyDescent="0.25">
      <c r="A3638" s="2" t="s">
        <v>1444</v>
      </c>
      <c r="B3638" s="2" t="s">
        <v>1445</v>
      </c>
      <c r="C3638" s="3">
        <v>9.02</v>
      </c>
      <c r="D3638" s="4">
        <v>125.82899999999999</v>
      </c>
      <c r="E3638" s="4">
        <v>112.75</v>
      </c>
      <c r="F3638" s="4">
        <f t="shared" si="253"/>
        <v>13.078999999999994</v>
      </c>
      <c r="G3638" s="5">
        <f t="shared" si="254"/>
        <v>0.10394265232974906</v>
      </c>
      <c r="H3638" s="2" t="s">
        <v>5</v>
      </c>
      <c r="I3638" s="6" t="s">
        <v>2300</v>
      </c>
      <c r="J3638" s="2" t="s">
        <v>5</v>
      </c>
      <c r="K3638" s="2" t="s">
        <v>5</v>
      </c>
      <c r="L3638" s="2" t="s">
        <v>5</v>
      </c>
      <c r="M3638" s="2" t="s">
        <v>5</v>
      </c>
      <c r="N3638" s="4">
        <v>0</v>
      </c>
    </row>
    <row r="3639" spans="1:14" x14ac:dyDescent="0.25">
      <c r="A3639" s="2" t="s">
        <v>1444</v>
      </c>
      <c r="B3639" s="2" t="s">
        <v>1445</v>
      </c>
      <c r="C3639" s="3">
        <v>18.945</v>
      </c>
      <c r="D3639" s="4">
        <v>264.28275000000002</v>
      </c>
      <c r="E3639" s="4">
        <v>236.8125</v>
      </c>
      <c r="F3639" s="4">
        <f t="shared" si="253"/>
        <v>27.470250000000021</v>
      </c>
      <c r="G3639" s="5">
        <f t="shared" si="254"/>
        <v>0.10394265232974918</v>
      </c>
      <c r="H3639" s="2" t="s">
        <v>5</v>
      </c>
      <c r="I3639" s="6" t="s">
        <v>2300</v>
      </c>
      <c r="J3639" s="2" t="s">
        <v>5</v>
      </c>
      <c r="K3639" s="2" t="s">
        <v>5</v>
      </c>
      <c r="L3639" s="2" t="s">
        <v>5</v>
      </c>
      <c r="M3639" s="2" t="s">
        <v>5</v>
      </c>
      <c r="N3639" s="4">
        <v>0</v>
      </c>
    </row>
    <row r="3640" spans="1:14" x14ac:dyDescent="0.25">
      <c r="A3640" s="2" t="s">
        <v>1444</v>
      </c>
      <c r="B3640" s="2" t="s">
        <v>1445</v>
      </c>
      <c r="C3640" s="3">
        <v>19.125</v>
      </c>
      <c r="D3640" s="4">
        <v>266.79374999999999</v>
      </c>
      <c r="E3640" s="4">
        <v>239.0625</v>
      </c>
      <c r="F3640" s="4">
        <f t="shared" si="253"/>
        <v>27.731249999999989</v>
      </c>
      <c r="G3640" s="5">
        <f t="shared" si="254"/>
        <v>0.10394265232974907</v>
      </c>
      <c r="H3640" s="2" t="s">
        <v>5</v>
      </c>
      <c r="I3640" s="6" t="s">
        <v>2300</v>
      </c>
      <c r="J3640" s="2" t="s">
        <v>5</v>
      </c>
      <c r="K3640" s="2" t="s">
        <v>5</v>
      </c>
      <c r="L3640" s="2" t="s">
        <v>5</v>
      </c>
      <c r="M3640" s="2" t="s">
        <v>5</v>
      </c>
      <c r="N3640" s="4">
        <v>0</v>
      </c>
    </row>
    <row r="3641" spans="1:14" x14ac:dyDescent="0.25">
      <c r="A3641" s="2" t="s">
        <v>1444</v>
      </c>
      <c r="B3641" s="2" t="s">
        <v>1445</v>
      </c>
      <c r="C3641" s="3">
        <v>10.625</v>
      </c>
      <c r="D3641" s="4">
        <v>148.21875</v>
      </c>
      <c r="E3641" s="4">
        <v>132.8125</v>
      </c>
      <c r="F3641" s="4">
        <f t="shared" si="253"/>
        <v>15.40625</v>
      </c>
      <c r="G3641" s="5">
        <f t="shared" si="254"/>
        <v>0.1039426523297491</v>
      </c>
      <c r="H3641" s="2" t="s">
        <v>5</v>
      </c>
      <c r="I3641" s="6" t="s">
        <v>2300</v>
      </c>
      <c r="J3641" s="2" t="s">
        <v>5</v>
      </c>
      <c r="K3641" s="2" t="s">
        <v>5</v>
      </c>
      <c r="L3641" s="2" t="s">
        <v>5</v>
      </c>
      <c r="M3641" s="2" t="s">
        <v>5</v>
      </c>
      <c r="N3641" s="4">
        <v>0</v>
      </c>
    </row>
    <row r="3642" spans="1:14" x14ac:dyDescent="0.25">
      <c r="A3642" s="2" t="s">
        <v>1444</v>
      </c>
      <c r="B3642" s="2" t="s">
        <v>1445</v>
      </c>
      <c r="C3642" s="3">
        <v>30.048999999999999</v>
      </c>
      <c r="D3642" s="4">
        <v>419.18355000000003</v>
      </c>
      <c r="E3642" s="4">
        <v>375.61250000000001</v>
      </c>
      <c r="F3642" s="4">
        <f t="shared" si="253"/>
        <v>43.571050000000014</v>
      </c>
      <c r="G3642" s="5">
        <f t="shared" si="254"/>
        <v>0.10394265232974913</v>
      </c>
      <c r="H3642" s="2" t="s">
        <v>5</v>
      </c>
      <c r="I3642" s="6" t="s">
        <v>2300</v>
      </c>
      <c r="J3642" s="2" t="s">
        <v>5</v>
      </c>
      <c r="K3642" s="2" t="s">
        <v>5</v>
      </c>
      <c r="L3642" s="2" t="s">
        <v>5</v>
      </c>
      <c r="M3642" s="2" t="s">
        <v>5</v>
      </c>
      <c r="N3642" s="4">
        <v>0</v>
      </c>
    </row>
    <row r="3643" spans="1:14" x14ac:dyDescent="0.25">
      <c r="A3643" s="2" t="s">
        <v>1408</v>
      </c>
      <c r="B3643" s="2" t="s">
        <v>1409</v>
      </c>
      <c r="C3643" s="3">
        <v>3.72</v>
      </c>
      <c r="D3643" s="4">
        <v>129.45599999999999</v>
      </c>
      <c r="E3643" s="4">
        <v>81.84</v>
      </c>
      <c r="F3643" s="4">
        <f t="shared" si="253"/>
        <v>47.615999999999985</v>
      </c>
      <c r="G3643" s="5">
        <f t="shared" si="254"/>
        <v>0.36781609195402293</v>
      </c>
      <c r="H3643" s="2" t="s">
        <v>5</v>
      </c>
      <c r="I3643" s="6" t="s">
        <v>2300</v>
      </c>
      <c r="J3643" s="2" t="s">
        <v>5</v>
      </c>
      <c r="K3643" s="2" t="s">
        <v>5</v>
      </c>
      <c r="L3643" s="2" t="s">
        <v>5</v>
      </c>
      <c r="M3643" s="2" t="s">
        <v>5</v>
      </c>
      <c r="N3643" s="4">
        <v>0</v>
      </c>
    </row>
    <row r="3644" spans="1:14" x14ac:dyDescent="0.25">
      <c r="A3644" s="2" t="s">
        <v>1408</v>
      </c>
      <c r="B3644" s="2" t="s">
        <v>1409</v>
      </c>
      <c r="C3644" s="3">
        <v>5.04</v>
      </c>
      <c r="D3644" s="4">
        <v>175.392</v>
      </c>
      <c r="E3644" s="4">
        <v>110.88</v>
      </c>
      <c r="F3644" s="4">
        <f t="shared" si="253"/>
        <v>64.512</v>
      </c>
      <c r="G3644" s="5">
        <f t="shared" si="254"/>
        <v>0.36781609195402298</v>
      </c>
      <c r="H3644" s="2" t="s">
        <v>5</v>
      </c>
      <c r="I3644" s="6" t="s">
        <v>2300</v>
      </c>
      <c r="J3644" s="2" t="s">
        <v>5</v>
      </c>
      <c r="K3644" s="2" t="s">
        <v>5</v>
      </c>
      <c r="L3644" s="2" t="s">
        <v>5</v>
      </c>
      <c r="M3644" s="2" t="s">
        <v>5</v>
      </c>
      <c r="N3644" s="4">
        <v>0</v>
      </c>
    </row>
    <row r="3645" spans="1:14" x14ac:dyDescent="0.25">
      <c r="A3645" s="2" t="s">
        <v>1465</v>
      </c>
      <c r="B3645" s="2" t="s">
        <v>1466</v>
      </c>
      <c r="C3645" s="3">
        <v>19.7</v>
      </c>
      <c r="D3645" s="4">
        <v>495.65199999999999</v>
      </c>
      <c r="E3645" s="4">
        <v>433.4</v>
      </c>
      <c r="F3645" s="4">
        <f t="shared" si="253"/>
        <v>62.25200000000001</v>
      </c>
      <c r="G3645" s="5">
        <f t="shared" si="254"/>
        <v>0.12559618441971385</v>
      </c>
      <c r="H3645" s="2" t="s">
        <v>5</v>
      </c>
      <c r="I3645" s="6" t="s">
        <v>2300</v>
      </c>
      <c r="J3645" s="2" t="s">
        <v>5</v>
      </c>
      <c r="K3645" s="2" t="s">
        <v>5</v>
      </c>
      <c r="L3645" s="2" t="s">
        <v>5</v>
      </c>
      <c r="M3645" s="2" t="s">
        <v>5</v>
      </c>
      <c r="N3645" s="4">
        <v>0</v>
      </c>
    </row>
    <row r="3646" spans="1:14" x14ac:dyDescent="0.25">
      <c r="A3646" s="2" t="s">
        <v>719</v>
      </c>
      <c r="B3646" s="2" t="s">
        <v>720</v>
      </c>
      <c r="C3646" s="3">
        <v>4</v>
      </c>
      <c r="D3646" s="4">
        <v>52.2</v>
      </c>
      <c r="E3646" s="4">
        <v>28.8</v>
      </c>
      <c r="F3646" s="4">
        <f t="shared" si="253"/>
        <v>23.400000000000002</v>
      </c>
      <c r="G3646" s="5">
        <f t="shared" si="254"/>
        <v>0.44827586206896552</v>
      </c>
      <c r="H3646" s="2" t="s">
        <v>5</v>
      </c>
      <c r="I3646" s="6" t="s">
        <v>2300</v>
      </c>
      <c r="J3646" s="2" t="s">
        <v>5</v>
      </c>
      <c r="K3646" s="2" t="s">
        <v>5</v>
      </c>
      <c r="L3646" s="2" t="s">
        <v>5</v>
      </c>
      <c r="M3646" s="2" t="s">
        <v>5</v>
      </c>
      <c r="N3646" s="4">
        <v>0</v>
      </c>
    </row>
    <row r="3647" spans="1:14" x14ac:dyDescent="0.25">
      <c r="A3647" s="2" t="s">
        <v>719</v>
      </c>
      <c r="B3647" s="2" t="s">
        <v>720</v>
      </c>
      <c r="C3647" s="3">
        <v>2</v>
      </c>
      <c r="D3647" s="4">
        <v>26.1</v>
      </c>
      <c r="E3647" s="4">
        <v>14.4</v>
      </c>
      <c r="F3647" s="4">
        <f t="shared" si="253"/>
        <v>11.700000000000001</v>
      </c>
      <c r="G3647" s="5">
        <f t="shared" si="254"/>
        <v>0.44827586206896552</v>
      </c>
      <c r="H3647" s="2" t="s">
        <v>5</v>
      </c>
      <c r="I3647" s="6" t="s">
        <v>2300</v>
      </c>
      <c r="J3647" s="2" t="s">
        <v>5</v>
      </c>
      <c r="K3647" s="2" t="s">
        <v>5</v>
      </c>
      <c r="L3647" s="2" t="s">
        <v>5</v>
      </c>
      <c r="M3647" s="2" t="s">
        <v>5</v>
      </c>
      <c r="N3647" s="4">
        <v>0</v>
      </c>
    </row>
    <row r="3648" spans="1:14" x14ac:dyDescent="0.25">
      <c r="A3648" s="2" t="s">
        <v>719</v>
      </c>
      <c r="B3648" s="2" t="s">
        <v>720</v>
      </c>
      <c r="C3648" s="3">
        <v>4</v>
      </c>
      <c r="D3648" s="4">
        <v>42.24</v>
      </c>
      <c r="E3648" s="4">
        <v>28.8</v>
      </c>
      <c r="F3648" s="4">
        <f t="shared" si="253"/>
        <v>13.440000000000001</v>
      </c>
      <c r="G3648" s="5">
        <f t="shared" si="254"/>
        <v>0.31818181818181818</v>
      </c>
      <c r="H3648" s="2" t="s">
        <v>5</v>
      </c>
      <c r="I3648" s="6" t="s">
        <v>2300</v>
      </c>
      <c r="J3648" s="2" t="s">
        <v>5</v>
      </c>
      <c r="K3648" s="2" t="s">
        <v>5</v>
      </c>
      <c r="L3648" s="2" t="s">
        <v>5</v>
      </c>
      <c r="M3648" s="2" t="s">
        <v>5</v>
      </c>
      <c r="N3648" s="4">
        <v>0</v>
      </c>
    </row>
    <row r="3649" spans="1:14" x14ac:dyDescent="0.25">
      <c r="A3649" s="2" t="s">
        <v>719</v>
      </c>
      <c r="B3649" s="2" t="s">
        <v>720</v>
      </c>
      <c r="C3649" s="3">
        <v>4</v>
      </c>
      <c r="D3649" s="4">
        <v>52.2</v>
      </c>
      <c r="E3649" s="4">
        <v>28.8</v>
      </c>
      <c r="F3649" s="4">
        <f t="shared" si="253"/>
        <v>23.400000000000002</v>
      </c>
      <c r="G3649" s="5">
        <f t="shared" si="254"/>
        <v>0.44827586206896552</v>
      </c>
      <c r="H3649" s="2" t="s">
        <v>5</v>
      </c>
      <c r="I3649" s="6" t="s">
        <v>2300</v>
      </c>
      <c r="J3649" s="2" t="s">
        <v>5</v>
      </c>
      <c r="K3649" s="2" t="s">
        <v>5</v>
      </c>
      <c r="L3649" s="2" t="s">
        <v>5</v>
      </c>
      <c r="M3649" s="2" t="s">
        <v>5</v>
      </c>
      <c r="N3649" s="4">
        <v>0</v>
      </c>
    </row>
    <row r="3650" spans="1:14" x14ac:dyDescent="0.25">
      <c r="A3650" s="2" t="s">
        <v>719</v>
      </c>
      <c r="B3650" s="2" t="s">
        <v>720</v>
      </c>
      <c r="C3650" s="3">
        <v>2</v>
      </c>
      <c r="D3650" s="4">
        <v>26.1</v>
      </c>
      <c r="E3650" s="4">
        <v>14.4</v>
      </c>
      <c r="F3650" s="4">
        <f t="shared" si="253"/>
        <v>11.700000000000001</v>
      </c>
      <c r="G3650" s="5">
        <f t="shared" si="254"/>
        <v>0.44827586206896552</v>
      </c>
      <c r="H3650" s="2" t="s">
        <v>5</v>
      </c>
      <c r="I3650" s="6" t="s">
        <v>2300</v>
      </c>
      <c r="J3650" s="2" t="s">
        <v>5</v>
      </c>
      <c r="K3650" s="2" t="s">
        <v>5</v>
      </c>
      <c r="L3650" s="2" t="s">
        <v>5</v>
      </c>
      <c r="M3650" s="2" t="s">
        <v>5</v>
      </c>
      <c r="N3650" s="4">
        <v>0</v>
      </c>
    </row>
    <row r="3651" spans="1:14" x14ac:dyDescent="0.25">
      <c r="A3651" s="2" t="s">
        <v>719</v>
      </c>
      <c r="B3651" s="2" t="s">
        <v>720</v>
      </c>
      <c r="C3651" s="3">
        <v>2</v>
      </c>
      <c r="D3651" s="4">
        <v>26.1</v>
      </c>
      <c r="E3651" s="4">
        <v>14.4</v>
      </c>
      <c r="F3651" s="4">
        <f t="shared" si="253"/>
        <v>11.700000000000001</v>
      </c>
      <c r="G3651" s="5">
        <f t="shared" si="254"/>
        <v>0.44827586206896552</v>
      </c>
      <c r="H3651" s="2" t="s">
        <v>5</v>
      </c>
      <c r="I3651" s="6" t="s">
        <v>2300</v>
      </c>
      <c r="J3651" s="2" t="s">
        <v>5</v>
      </c>
      <c r="K3651" s="2" t="s">
        <v>5</v>
      </c>
      <c r="L3651" s="2" t="s">
        <v>5</v>
      </c>
      <c r="M3651" s="2" t="s">
        <v>5</v>
      </c>
      <c r="N3651" s="4">
        <v>0</v>
      </c>
    </row>
    <row r="3652" spans="1:14" x14ac:dyDescent="0.25">
      <c r="A3652" s="2" t="s">
        <v>1759</v>
      </c>
      <c r="B3652" s="2" t="s">
        <v>1760</v>
      </c>
      <c r="C3652" s="3">
        <v>12</v>
      </c>
      <c r="D3652" s="4">
        <v>129.12</v>
      </c>
      <c r="E3652" s="4">
        <v>109.08</v>
      </c>
      <c r="F3652" s="4">
        <f t="shared" si="253"/>
        <v>20.040000000000006</v>
      </c>
      <c r="G3652" s="5">
        <f t="shared" si="254"/>
        <v>0.15520446096654281</v>
      </c>
      <c r="H3652" s="2" t="s">
        <v>5</v>
      </c>
      <c r="I3652" s="6" t="s">
        <v>2300</v>
      </c>
      <c r="J3652" s="2" t="s">
        <v>5</v>
      </c>
      <c r="K3652" s="2" t="s">
        <v>5</v>
      </c>
      <c r="L3652" s="2" t="s">
        <v>5</v>
      </c>
      <c r="M3652" s="2" t="s">
        <v>5</v>
      </c>
      <c r="N3652" s="4">
        <v>0</v>
      </c>
    </row>
    <row r="3653" spans="1:14" x14ac:dyDescent="0.25">
      <c r="A3653" s="2" t="s">
        <v>1352</v>
      </c>
      <c r="B3653" s="2" t="s">
        <v>1353</v>
      </c>
      <c r="C3653" s="3">
        <v>40.6</v>
      </c>
      <c r="D3653" s="4">
        <v>688.17</v>
      </c>
      <c r="E3653" s="4">
        <v>483.14</v>
      </c>
      <c r="F3653" s="4">
        <f t="shared" si="253"/>
        <v>205.02999999999997</v>
      </c>
      <c r="G3653" s="5">
        <f t="shared" si="254"/>
        <v>0.29793510324483774</v>
      </c>
      <c r="H3653" s="2" t="s">
        <v>5</v>
      </c>
      <c r="I3653" s="6" t="s">
        <v>2300</v>
      </c>
      <c r="J3653" s="2" t="s">
        <v>5</v>
      </c>
      <c r="K3653" s="2" t="s">
        <v>5</v>
      </c>
      <c r="L3653" s="2" t="s">
        <v>5</v>
      </c>
      <c r="M3653" s="2" t="s">
        <v>5</v>
      </c>
      <c r="N3653" s="4">
        <v>0</v>
      </c>
    </row>
    <row r="3654" spans="1:14" x14ac:dyDescent="0.25">
      <c r="A3654" s="2" t="s">
        <v>1352</v>
      </c>
      <c r="B3654" s="2" t="s">
        <v>1353</v>
      </c>
      <c r="C3654" s="3">
        <v>20</v>
      </c>
      <c r="D3654" s="4">
        <v>339</v>
      </c>
      <c r="E3654" s="4">
        <v>238</v>
      </c>
      <c r="F3654" s="4">
        <f t="shared" si="253"/>
        <v>101</v>
      </c>
      <c r="G3654" s="5">
        <f t="shared" si="254"/>
        <v>0.29793510324483774</v>
      </c>
      <c r="H3654" s="2" t="s">
        <v>5</v>
      </c>
      <c r="I3654" s="6" t="s">
        <v>2300</v>
      </c>
      <c r="J3654" s="2" t="s">
        <v>5</v>
      </c>
      <c r="K3654" s="2" t="s">
        <v>5</v>
      </c>
      <c r="L3654" s="2" t="s">
        <v>5</v>
      </c>
      <c r="M3654" s="2" t="s">
        <v>5</v>
      </c>
      <c r="N3654" s="4">
        <v>0</v>
      </c>
    </row>
    <row r="3655" spans="1:14" x14ac:dyDescent="0.25">
      <c r="A3655" s="2" t="s">
        <v>128</v>
      </c>
      <c r="B3655" s="2" t="s">
        <v>129</v>
      </c>
      <c r="C3655" s="3">
        <v>20</v>
      </c>
      <c r="D3655" s="4">
        <v>306.39999999999998</v>
      </c>
      <c r="E3655" s="4">
        <v>219.6</v>
      </c>
      <c r="F3655" s="4">
        <f t="shared" si="253"/>
        <v>86.799999999999983</v>
      </c>
      <c r="G3655" s="5">
        <f t="shared" si="254"/>
        <v>0.28328981723237595</v>
      </c>
      <c r="H3655" s="2" t="s">
        <v>5</v>
      </c>
      <c r="I3655" s="6" t="s">
        <v>2300</v>
      </c>
      <c r="J3655" s="2" t="s">
        <v>5</v>
      </c>
      <c r="K3655" s="2" t="s">
        <v>5</v>
      </c>
      <c r="L3655" s="2" t="s">
        <v>5</v>
      </c>
      <c r="M3655" s="2" t="s">
        <v>5</v>
      </c>
      <c r="N3655" s="4">
        <v>0</v>
      </c>
    </row>
    <row r="3656" spans="1:14" x14ac:dyDescent="0.25">
      <c r="A3656" s="2" t="s">
        <v>128</v>
      </c>
      <c r="B3656" s="2" t="s">
        <v>129</v>
      </c>
      <c r="C3656" s="3">
        <v>30</v>
      </c>
      <c r="D3656" s="4">
        <v>410.4</v>
      </c>
      <c r="E3656" s="4">
        <v>329.4</v>
      </c>
      <c r="F3656" s="4">
        <f t="shared" si="253"/>
        <v>81</v>
      </c>
      <c r="G3656" s="5">
        <f t="shared" si="254"/>
        <v>0.19736842105263158</v>
      </c>
      <c r="H3656" s="2" t="s">
        <v>5</v>
      </c>
      <c r="I3656" s="6" t="s">
        <v>2300</v>
      </c>
      <c r="J3656" s="2" t="s">
        <v>5</v>
      </c>
      <c r="K3656" s="2" t="s">
        <v>5</v>
      </c>
      <c r="L3656" s="2" t="s">
        <v>5</v>
      </c>
      <c r="M3656" s="2" t="s">
        <v>5</v>
      </c>
      <c r="N3656" s="4">
        <v>0</v>
      </c>
    </row>
    <row r="3657" spans="1:14" x14ac:dyDescent="0.25">
      <c r="A3657" s="2" t="s">
        <v>128</v>
      </c>
      <c r="B3657" s="2" t="s">
        <v>129</v>
      </c>
      <c r="C3657" s="3">
        <v>30</v>
      </c>
      <c r="D3657" s="4">
        <v>439.8</v>
      </c>
      <c r="E3657" s="4">
        <v>329.4</v>
      </c>
      <c r="F3657" s="4">
        <f t="shared" si="253"/>
        <v>110.40000000000003</v>
      </c>
      <c r="G3657" s="5">
        <f t="shared" si="254"/>
        <v>0.25102319236016379</v>
      </c>
      <c r="H3657" s="2" t="s">
        <v>5</v>
      </c>
      <c r="I3657" s="6" t="s">
        <v>2300</v>
      </c>
      <c r="J3657" s="2" t="s">
        <v>5</v>
      </c>
      <c r="K3657" s="2" t="s">
        <v>5</v>
      </c>
      <c r="L3657" s="2" t="s">
        <v>5</v>
      </c>
      <c r="M3657" s="2" t="s">
        <v>5</v>
      </c>
      <c r="N3657" s="4">
        <v>0</v>
      </c>
    </row>
    <row r="3658" spans="1:14" x14ac:dyDescent="0.25">
      <c r="A3658" s="2" t="s">
        <v>128</v>
      </c>
      <c r="B3658" s="2" t="s">
        <v>129</v>
      </c>
      <c r="C3658" s="3">
        <v>30</v>
      </c>
      <c r="D3658" s="4">
        <v>427.8</v>
      </c>
      <c r="E3658" s="4">
        <v>329.4</v>
      </c>
      <c r="F3658" s="4">
        <f t="shared" si="253"/>
        <v>98.400000000000034</v>
      </c>
      <c r="G3658" s="5">
        <f t="shared" si="254"/>
        <v>0.23001402524544187</v>
      </c>
      <c r="H3658" s="2" t="s">
        <v>5</v>
      </c>
      <c r="I3658" s="6" t="s">
        <v>2300</v>
      </c>
      <c r="J3658" s="2" t="s">
        <v>5</v>
      </c>
      <c r="K3658" s="2" t="s">
        <v>5</v>
      </c>
      <c r="L3658" s="2" t="s">
        <v>5</v>
      </c>
      <c r="M3658" s="2" t="s">
        <v>5</v>
      </c>
      <c r="N3658" s="4">
        <v>0</v>
      </c>
    </row>
    <row r="3659" spans="1:14" x14ac:dyDescent="0.25">
      <c r="A3659" s="2" t="s">
        <v>128</v>
      </c>
      <c r="B3659" s="2" t="s">
        <v>129</v>
      </c>
      <c r="C3659" s="3">
        <v>20</v>
      </c>
      <c r="D3659" s="4">
        <v>259</v>
      </c>
      <c r="E3659" s="4">
        <v>219.6</v>
      </c>
      <c r="F3659" s="4">
        <f t="shared" si="253"/>
        <v>39.400000000000006</v>
      </c>
      <c r="G3659" s="5">
        <f t="shared" si="254"/>
        <v>0.15212355212355214</v>
      </c>
      <c r="H3659" s="2" t="s">
        <v>5</v>
      </c>
      <c r="I3659" s="6" t="s">
        <v>2300</v>
      </c>
      <c r="J3659" s="2" t="s">
        <v>5</v>
      </c>
      <c r="K3659" s="2" t="s">
        <v>5</v>
      </c>
      <c r="L3659" s="2" t="s">
        <v>5</v>
      </c>
      <c r="M3659" s="2" t="s">
        <v>5</v>
      </c>
      <c r="N3659" s="4">
        <v>0</v>
      </c>
    </row>
    <row r="3660" spans="1:14" x14ac:dyDescent="0.25">
      <c r="A3660" s="2" t="s">
        <v>128</v>
      </c>
      <c r="B3660" s="2" t="s">
        <v>129</v>
      </c>
      <c r="C3660" s="3">
        <v>60</v>
      </c>
      <c r="D3660" s="4">
        <v>777</v>
      </c>
      <c r="E3660" s="4">
        <v>658.8</v>
      </c>
      <c r="F3660" s="4">
        <f t="shared" si="253"/>
        <v>118.20000000000005</v>
      </c>
      <c r="G3660" s="5">
        <f t="shared" si="254"/>
        <v>0.15212355212355219</v>
      </c>
      <c r="H3660" s="2" t="s">
        <v>5</v>
      </c>
      <c r="I3660" s="6" t="s">
        <v>2300</v>
      </c>
      <c r="J3660" s="2" t="s">
        <v>5</v>
      </c>
      <c r="K3660" s="2" t="s">
        <v>5</v>
      </c>
      <c r="L3660" s="2" t="s">
        <v>5</v>
      </c>
      <c r="M3660" s="2" t="s">
        <v>5</v>
      </c>
      <c r="N3660" s="4">
        <v>0</v>
      </c>
    </row>
    <row r="3661" spans="1:14" x14ac:dyDescent="0.25">
      <c r="A3661" s="2" t="s">
        <v>128</v>
      </c>
      <c r="B3661" s="2" t="s">
        <v>129</v>
      </c>
      <c r="C3661" s="3">
        <v>10</v>
      </c>
      <c r="D3661" s="4">
        <v>153.19999999999999</v>
      </c>
      <c r="E3661" s="4">
        <v>109.8</v>
      </c>
      <c r="F3661" s="4">
        <f t="shared" si="253"/>
        <v>43.399999999999991</v>
      </c>
      <c r="G3661" s="5">
        <f t="shared" si="254"/>
        <v>0.28328981723237595</v>
      </c>
      <c r="H3661" s="2" t="s">
        <v>5</v>
      </c>
      <c r="I3661" s="6" t="s">
        <v>2300</v>
      </c>
      <c r="J3661" s="2" t="s">
        <v>5</v>
      </c>
      <c r="K3661" s="2" t="s">
        <v>5</v>
      </c>
      <c r="L3661" s="2" t="s">
        <v>5</v>
      </c>
      <c r="M3661" s="2" t="s">
        <v>5</v>
      </c>
      <c r="N3661" s="4">
        <v>0</v>
      </c>
    </row>
    <row r="3662" spans="1:14" x14ac:dyDescent="0.25">
      <c r="A3662" s="2" t="s">
        <v>128</v>
      </c>
      <c r="B3662" s="2" t="s">
        <v>129</v>
      </c>
      <c r="C3662" s="3">
        <v>70</v>
      </c>
      <c r="D3662" s="4">
        <v>906.5</v>
      </c>
      <c r="E3662" s="4">
        <v>768.6</v>
      </c>
      <c r="F3662" s="4">
        <f t="shared" si="253"/>
        <v>137.89999999999998</v>
      </c>
      <c r="G3662" s="5">
        <f t="shared" si="254"/>
        <v>0.15212355212355211</v>
      </c>
      <c r="H3662" s="2" t="s">
        <v>5</v>
      </c>
      <c r="I3662" s="6" t="s">
        <v>2300</v>
      </c>
      <c r="J3662" s="2" t="s">
        <v>5</v>
      </c>
      <c r="K3662" s="2" t="s">
        <v>5</v>
      </c>
      <c r="L3662" s="2" t="s">
        <v>5</v>
      </c>
      <c r="M3662" s="2" t="s">
        <v>5</v>
      </c>
      <c r="N3662" s="4">
        <v>0</v>
      </c>
    </row>
    <row r="3663" spans="1:14" x14ac:dyDescent="0.25">
      <c r="A3663" s="2" t="s">
        <v>128</v>
      </c>
      <c r="B3663" s="2" t="s">
        <v>129</v>
      </c>
      <c r="C3663" s="3">
        <v>30</v>
      </c>
      <c r="D3663" s="4">
        <v>423.6</v>
      </c>
      <c r="E3663" s="4">
        <v>329.4</v>
      </c>
      <c r="F3663" s="4">
        <f t="shared" si="253"/>
        <v>94.200000000000045</v>
      </c>
      <c r="G3663" s="5">
        <f t="shared" si="254"/>
        <v>0.22237960339943352</v>
      </c>
      <c r="H3663" s="2" t="s">
        <v>5</v>
      </c>
      <c r="I3663" s="6" t="s">
        <v>2300</v>
      </c>
      <c r="J3663" s="2" t="s">
        <v>5</v>
      </c>
      <c r="K3663" s="2" t="s">
        <v>5</v>
      </c>
      <c r="L3663" s="2" t="s">
        <v>5</v>
      </c>
      <c r="M3663" s="2" t="s">
        <v>5</v>
      </c>
      <c r="N3663" s="4">
        <v>0</v>
      </c>
    </row>
    <row r="3664" spans="1:14" x14ac:dyDescent="0.25">
      <c r="A3664" s="2" t="s">
        <v>128</v>
      </c>
      <c r="B3664" s="2" t="s">
        <v>129</v>
      </c>
      <c r="C3664" s="3">
        <v>10</v>
      </c>
      <c r="D3664" s="4">
        <v>153.19999999999999</v>
      </c>
      <c r="E3664" s="4">
        <v>109.8</v>
      </c>
      <c r="F3664" s="4">
        <f t="shared" si="253"/>
        <v>43.399999999999991</v>
      </c>
      <c r="G3664" s="5">
        <f t="shared" si="254"/>
        <v>0.28328981723237595</v>
      </c>
      <c r="H3664" s="2" t="s">
        <v>5</v>
      </c>
      <c r="I3664" s="6" t="s">
        <v>2300</v>
      </c>
      <c r="J3664" s="2" t="s">
        <v>5</v>
      </c>
      <c r="K3664" s="2" t="s">
        <v>5</v>
      </c>
      <c r="L3664" s="2" t="s">
        <v>5</v>
      </c>
      <c r="M3664" s="2" t="s">
        <v>5</v>
      </c>
      <c r="N3664" s="4">
        <v>0</v>
      </c>
    </row>
    <row r="3665" spans="1:14" x14ac:dyDescent="0.25">
      <c r="A3665" s="2" t="s">
        <v>128</v>
      </c>
      <c r="B3665" s="2" t="s">
        <v>129</v>
      </c>
      <c r="C3665" s="3">
        <v>40</v>
      </c>
      <c r="D3665" s="4">
        <v>602</v>
      </c>
      <c r="E3665" s="4">
        <v>439.2</v>
      </c>
      <c r="F3665" s="4">
        <f t="shared" si="253"/>
        <v>162.80000000000001</v>
      </c>
      <c r="G3665" s="5">
        <f t="shared" si="254"/>
        <v>0.27043189368770765</v>
      </c>
      <c r="H3665" s="2" t="s">
        <v>5</v>
      </c>
      <c r="I3665" s="6" t="s">
        <v>2300</v>
      </c>
      <c r="J3665" s="2" t="s">
        <v>5</v>
      </c>
      <c r="K3665" s="2" t="s">
        <v>5</v>
      </c>
      <c r="L3665" s="2" t="s">
        <v>5</v>
      </c>
      <c r="M3665" s="2" t="s">
        <v>5</v>
      </c>
      <c r="N3665" s="4">
        <v>0</v>
      </c>
    </row>
    <row r="3666" spans="1:14" x14ac:dyDescent="0.25">
      <c r="A3666" s="2" t="s">
        <v>128</v>
      </c>
      <c r="B3666" s="2" t="s">
        <v>129</v>
      </c>
      <c r="C3666" s="3">
        <v>30</v>
      </c>
      <c r="D3666" s="4">
        <v>410.4</v>
      </c>
      <c r="E3666" s="4">
        <v>329.4</v>
      </c>
      <c r="F3666" s="4">
        <f t="shared" si="253"/>
        <v>81</v>
      </c>
      <c r="G3666" s="5">
        <f t="shared" si="254"/>
        <v>0.19736842105263158</v>
      </c>
      <c r="H3666" s="2" t="s">
        <v>5</v>
      </c>
      <c r="I3666" s="6" t="s">
        <v>2300</v>
      </c>
      <c r="J3666" s="2" t="s">
        <v>5</v>
      </c>
      <c r="K3666" s="2" t="s">
        <v>5</v>
      </c>
      <c r="L3666" s="2" t="s">
        <v>5</v>
      </c>
      <c r="M3666" s="2" t="s">
        <v>5</v>
      </c>
      <c r="N3666" s="4">
        <v>0</v>
      </c>
    </row>
    <row r="3667" spans="1:14" x14ac:dyDescent="0.25">
      <c r="A3667" s="2" t="s">
        <v>128</v>
      </c>
      <c r="B3667" s="2" t="s">
        <v>129</v>
      </c>
      <c r="C3667" s="3">
        <v>95</v>
      </c>
      <c r="D3667" s="4">
        <v>1230.25</v>
      </c>
      <c r="E3667" s="4">
        <v>1043.0999999999999</v>
      </c>
      <c r="F3667" s="4">
        <f t="shared" si="253"/>
        <v>187.15000000000009</v>
      </c>
      <c r="G3667" s="5">
        <f t="shared" si="254"/>
        <v>0.15212355212355219</v>
      </c>
      <c r="H3667" s="2" t="s">
        <v>5</v>
      </c>
      <c r="I3667" s="6" t="s">
        <v>2300</v>
      </c>
      <c r="J3667" s="2" t="s">
        <v>5</v>
      </c>
      <c r="K3667" s="2" t="s">
        <v>5</v>
      </c>
      <c r="L3667" s="2" t="s">
        <v>5</v>
      </c>
      <c r="M3667" s="2" t="s">
        <v>5</v>
      </c>
      <c r="N3667" s="4">
        <v>0</v>
      </c>
    </row>
    <row r="3668" spans="1:14" x14ac:dyDescent="0.25">
      <c r="A3668" s="2" t="s">
        <v>128</v>
      </c>
      <c r="B3668" s="2" t="s">
        <v>129</v>
      </c>
      <c r="C3668" s="3">
        <v>5</v>
      </c>
      <c r="D3668" s="4">
        <v>76.599999999999994</v>
      </c>
      <c r="E3668" s="4">
        <v>54.9</v>
      </c>
      <c r="F3668" s="4">
        <f t="shared" si="253"/>
        <v>21.699999999999996</v>
      </c>
      <c r="G3668" s="5">
        <f t="shared" si="254"/>
        <v>0.28328981723237595</v>
      </c>
      <c r="H3668" s="2" t="s">
        <v>5</v>
      </c>
      <c r="I3668" s="6" t="s">
        <v>2300</v>
      </c>
      <c r="J3668" s="2" t="s">
        <v>5</v>
      </c>
      <c r="K3668" s="2" t="s">
        <v>5</v>
      </c>
      <c r="L3668" s="2" t="s">
        <v>5</v>
      </c>
      <c r="M3668" s="2" t="s">
        <v>5</v>
      </c>
      <c r="N3668" s="4">
        <v>0</v>
      </c>
    </row>
    <row r="3669" spans="1:14" x14ac:dyDescent="0.25">
      <c r="A3669" s="2" t="s">
        <v>128</v>
      </c>
      <c r="B3669" s="2" t="s">
        <v>129</v>
      </c>
      <c r="C3669" s="3">
        <v>25</v>
      </c>
      <c r="D3669" s="4">
        <v>366.5</v>
      </c>
      <c r="E3669" s="4">
        <v>274.5</v>
      </c>
      <c r="F3669" s="4">
        <f t="shared" si="253"/>
        <v>92</v>
      </c>
      <c r="G3669" s="5">
        <f t="shared" si="254"/>
        <v>0.25102319236016374</v>
      </c>
      <c r="H3669" s="2" t="s">
        <v>5</v>
      </c>
      <c r="I3669" s="6" t="s">
        <v>2300</v>
      </c>
      <c r="J3669" s="2" t="s">
        <v>5</v>
      </c>
      <c r="K3669" s="2" t="s">
        <v>5</v>
      </c>
      <c r="L3669" s="2" t="s">
        <v>5</v>
      </c>
      <c r="M3669" s="2" t="s">
        <v>5</v>
      </c>
      <c r="N3669" s="4">
        <v>0</v>
      </c>
    </row>
    <row r="3670" spans="1:14" x14ac:dyDescent="0.25">
      <c r="A3670" s="2" t="s">
        <v>128</v>
      </c>
      <c r="B3670" s="2" t="s">
        <v>129</v>
      </c>
      <c r="C3670" s="3">
        <v>5</v>
      </c>
      <c r="D3670" s="4">
        <v>76.599999999999994</v>
      </c>
      <c r="E3670" s="4">
        <v>54.9</v>
      </c>
      <c r="F3670" s="4">
        <f t="shared" si="253"/>
        <v>21.699999999999996</v>
      </c>
      <c r="G3670" s="5">
        <f t="shared" si="254"/>
        <v>0.28328981723237595</v>
      </c>
      <c r="H3670" s="2" t="s">
        <v>5</v>
      </c>
      <c r="I3670" s="6" t="s">
        <v>2300</v>
      </c>
      <c r="J3670" s="2" t="s">
        <v>5</v>
      </c>
      <c r="K3670" s="2" t="s">
        <v>5</v>
      </c>
      <c r="L3670" s="2" t="s">
        <v>5</v>
      </c>
      <c r="M3670" s="2" t="s">
        <v>5</v>
      </c>
      <c r="N3670" s="4">
        <v>0</v>
      </c>
    </row>
    <row r="3671" spans="1:14" x14ac:dyDescent="0.25">
      <c r="A3671" s="2" t="s">
        <v>128</v>
      </c>
      <c r="B3671" s="2" t="s">
        <v>129</v>
      </c>
      <c r="C3671" s="3">
        <v>150</v>
      </c>
      <c r="D3671" s="4">
        <v>1942.5</v>
      </c>
      <c r="E3671" s="4">
        <v>1647</v>
      </c>
      <c r="F3671" s="4">
        <f t="shared" si="253"/>
        <v>295.5</v>
      </c>
      <c r="G3671" s="5">
        <f t="shared" si="254"/>
        <v>0.15212355212355214</v>
      </c>
      <c r="H3671" s="2" t="s">
        <v>5</v>
      </c>
      <c r="I3671" s="6" t="s">
        <v>2300</v>
      </c>
      <c r="J3671" s="2" t="s">
        <v>5</v>
      </c>
      <c r="K3671" s="2" t="s">
        <v>5</v>
      </c>
      <c r="L3671" s="2" t="s">
        <v>5</v>
      </c>
      <c r="M3671" s="2" t="s">
        <v>5</v>
      </c>
      <c r="N3671" s="4">
        <v>0</v>
      </c>
    </row>
    <row r="3672" spans="1:14" x14ac:dyDescent="0.25">
      <c r="A3672" s="2" t="s">
        <v>128</v>
      </c>
      <c r="B3672" s="2" t="s">
        <v>129</v>
      </c>
      <c r="C3672" s="3">
        <v>25</v>
      </c>
      <c r="D3672" s="4">
        <v>356.5</v>
      </c>
      <c r="E3672" s="4">
        <v>274.5</v>
      </c>
      <c r="F3672" s="4">
        <f t="shared" si="253"/>
        <v>82</v>
      </c>
      <c r="G3672" s="5">
        <f t="shared" si="254"/>
        <v>0.23001402524544179</v>
      </c>
      <c r="H3672" s="2" t="s">
        <v>5</v>
      </c>
      <c r="I3672" s="6" t="s">
        <v>2300</v>
      </c>
      <c r="J3672" s="2" t="s">
        <v>5</v>
      </c>
      <c r="K3672" s="2" t="s">
        <v>5</v>
      </c>
      <c r="L3672" s="2" t="s">
        <v>5</v>
      </c>
      <c r="M3672" s="2" t="s">
        <v>5</v>
      </c>
      <c r="N3672" s="4">
        <v>0</v>
      </c>
    </row>
    <row r="3673" spans="1:14" x14ac:dyDescent="0.25">
      <c r="A3673" s="2" t="s">
        <v>128</v>
      </c>
      <c r="B3673" s="2" t="s">
        <v>129</v>
      </c>
      <c r="C3673" s="3">
        <v>5</v>
      </c>
      <c r="D3673" s="4">
        <v>76.599999999999994</v>
      </c>
      <c r="E3673" s="4">
        <v>54.9</v>
      </c>
      <c r="F3673" s="4">
        <f t="shared" si="253"/>
        <v>21.699999999999996</v>
      </c>
      <c r="G3673" s="5">
        <f t="shared" si="254"/>
        <v>0.28328981723237595</v>
      </c>
      <c r="H3673" s="2" t="s">
        <v>5</v>
      </c>
      <c r="I3673" s="6" t="s">
        <v>2300</v>
      </c>
      <c r="J3673" s="2" t="s">
        <v>5</v>
      </c>
      <c r="K3673" s="2" t="s">
        <v>5</v>
      </c>
      <c r="L3673" s="2" t="s">
        <v>5</v>
      </c>
      <c r="M3673" s="2" t="s">
        <v>5</v>
      </c>
      <c r="N3673" s="4">
        <v>0</v>
      </c>
    </row>
    <row r="3674" spans="1:14" x14ac:dyDescent="0.25">
      <c r="A3674" s="2" t="s">
        <v>128</v>
      </c>
      <c r="B3674" s="2" t="s">
        <v>129</v>
      </c>
      <c r="C3674" s="3">
        <v>2.5</v>
      </c>
      <c r="D3674" s="4">
        <v>38.299999999999997</v>
      </c>
      <c r="E3674" s="4">
        <v>27.45</v>
      </c>
      <c r="F3674" s="4">
        <f t="shared" si="253"/>
        <v>10.849999999999998</v>
      </c>
      <c r="G3674" s="5">
        <f t="shared" si="254"/>
        <v>0.28328981723237595</v>
      </c>
      <c r="H3674" s="2" t="s">
        <v>5</v>
      </c>
      <c r="I3674" s="6" t="s">
        <v>2300</v>
      </c>
      <c r="J3674" s="2" t="s">
        <v>5</v>
      </c>
      <c r="K3674" s="2" t="s">
        <v>5</v>
      </c>
      <c r="L3674" s="2" t="s">
        <v>5</v>
      </c>
      <c r="M3674" s="2" t="s">
        <v>5</v>
      </c>
      <c r="N3674" s="4">
        <v>0</v>
      </c>
    </row>
    <row r="3675" spans="1:14" x14ac:dyDescent="0.25">
      <c r="A3675" s="2" t="s">
        <v>1069</v>
      </c>
      <c r="B3675" s="2" t="s">
        <v>1070</v>
      </c>
      <c r="C3675" s="3">
        <v>15</v>
      </c>
      <c r="D3675" s="4">
        <v>231.3</v>
      </c>
      <c r="E3675" s="4">
        <v>156</v>
      </c>
      <c r="F3675" s="4">
        <f t="shared" si="253"/>
        <v>75.300000000000011</v>
      </c>
      <c r="G3675" s="5">
        <f t="shared" si="254"/>
        <v>0.32555123216601817</v>
      </c>
      <c r="H3675" s="2" t="s">
        <v>5</v>
      </c>
      <c r="I3675" s="6" t="s">
        <v>2300</v>
      </c>
      <c r="J3675" s="2" t="s">
        <v>5</v>
      </c>
      <c r="K3675" s="2" t="s">
        <v>5</v>
      </c>
      <c r="L3675" s="2" t="s">
        <v>5</v>
      </c>
      <c r="M3675" s="2" t="s">
        <v>5</v>
      </c>
      <c r="N3675" s="4">
        <v>0</v>
      </c>
    </row>
    <row r="3676" spans="1:14" x14ac:dyDescent="0.25">
      <c r="A3676" s="2" t="s">
        <v>1069</v>
      </c>
      <c r="B3676" s="2" t="s">
        <v>1070</v>
      </c>
      <c r="C3676" s="3">
        <v>10</v>
      </c>
      <c r="D3676" s="4">
        <v>154.19999999999999</v>
      </c>
      <c r="E3676" s="4">
        <v>104</v>
      </c>
      <c r="F3676" s="4">
        <f t="shared" si="253"/>
        <v>50.199999999999989</v>
      </c>
      <c r="G3676" s="5">
        <f t="shared" si="254"/>
        <v>0.32555123216601811</v>
      </c>
      <c r="H3676" s="2" t="s">
        <v>5</v>
      </c>
      <c r="I3676" s="6" t="s">
        <v>2300</v>
      </c>
      <c r="J3676" s="2" t="s">
        <v>5</v>
      </c>
      <c r="K3676" s="2" t="s">
        <v>5</v>
      </c>
      <c r="L3676" s="2" t="s">
        <v>5</v>
      </c>
      <c r="M3676" s="2" t="s">
        <v>5</v>
      </c>
      <c r="N3676" s="4">
        <v>0</v>
      </c>
    </row>
    <row r="3677" spans="1:14" x14ac:dyDescent="0.25">
      <c r="A3677" s="2" t="s">
        <v>1069</v>
      </c>
      <c r="B3677" s="2" t="s">
        <v>1070</v>
      </c>
      <c r="C3677" s="3">
        <v>10</v>
      </c>
      <c r="D3677" s="4">
        <v>154.19999999999999</v>
      </c>
      <c r="E3677" s="4">
        <v>104</v>
      </c>
      <c r="F3677" s="4">
        <f t="shared" si="253"/>
        <v>50.199999999999989</v>
      </c>
      <c r="G3677" s="5">
        <f t="shared" si="254"/>
        <v>0.32555123216601811</v>
      </c>
      <c r="H3677" s="2" t="s">
        <v>5</v>
      </c>
      <c r="I3677" s="6" t="s">
        <v>2300</v>
      </c>
      <c r="J3677" s="2" t="s">
        <v>5</v>
      </c>
      <c r="K3677" s="2" t="s">
        <v>5</v>
      </c>
      <c r="L3677" s="2" t="s">
        <v>5</v>
      </c>
      <c r="M3677" s="2" t="s">
        <v>5</v>
      </c>
      <c r="N3677" s="4">
        <v>0</v>
      </c>
    </row>
    <row r="3678" spans="1:14" x14ac:dyDescent="0.25">
      <c r="A3678" s="2" t="s">
        <v>1069</v>
      </c>
      <c r="B3678" s="2" t="s">
        <v>1070</v>
      </c>
      <c r="C3678" s="3">
        <v>20</v>
      </c>
      <c r="D3678" s="4">
        <v>308.39999999999998</v>
      </c>
      <c r="E3678" s="4">
        <v>208</v>
      </c>
      <c r="F3678" s="4">
        <f t="shared" si="253"/>
        <v>100.39999999999998</v>
      </c>
      <c r="G3678" s="5">
        <f t="shared" si="254"/>
        <v>0.32555123216601811</v>
      </c>
      <c r="H3678" s="2" t="s">
        <v>5</v>
      </c>
      <c r="I3678" s="6" t="s">
        <v>2300</v>
      </c>
      <c r="J3678" s="2" t="s">
        <v>5</v>
      </c>
      <c r="K3678" s="2" t="s">
        <v>5</v>
      </c>
      <c r="L3678" s="2" t="s">
        <v>5</v>
      </c>
      <c r="M3678" s="2" t="s">
        <v>5</v>
      </c>
      <c r="N3678" s="4">
        <v>0</v>
      </c>
    </row>
    <row r="3679" spans="1:14" x14ac:dyDescent="0.25">
      <c r="A3679" s="2" t="s">
        <v>1069</v>
      </c>
      <c r="B3679" s="2" t="s">
        <v>1070</v>
      </c>
      <c r="C3679" s="3">
        <v>25</v>
      </c>
      <c r="D3679" s="4">
        <v>385.5</v>
      </c>
      <c r="E3679" s="4">
        <v>260</v>
      </c>
      <c r="F3679" s="4">
        <f t="shared" si="253"/>
        <v>125.5</v>
      </c>
      <c r="G3679" s="5">
        <f t="shared" si="254"/>
        <v>0.32555123216601817</v>
      </c>
      <c r="H3679" s="2" t="s">
        <v>5</v>
      </c>
      <c r="I3679" s="6" t="s">
        <v>2300</v>
      </c>
      <c r="J3679" s="2" t="s">
        <v>5</v>
      </c>
      <c r="K3679" s="2" t="s">
        <v>5</v>
      </c>
      <c r="L3679" s="2" t="s">
        <v>5</v>
      </c>
      <c r="M3679" s="2" t="s">
        <v>5</v>
      </c>
      <c r="N3679" s="4">
        <v>0</v>
      </c>
    </row>
    <row r="3680" spans="1:14" x14ac:dyDescent="0.25">
      <c r="A3680" s="2" t="s">
        <v>1069</v>
      </c>
      <c r="B3680" s="2" t="s">
        <v>1070</v>
      </c>
      <c r="C3680" s="3">
        <v>20</v>
      </c>
      <c r="D3680" s="4">
        <v>308.39999999999998</v>
      </c>
      <c r="E3680" s="4">
        <v>208</v>
      </c>
      <c r="F3680" s="4">
        <f t="shared" si="253"/>
        <v>100.39999999999998</v>
      </c>
      <c r="G3680" s="5">
        <f t="shared" si="254"/>
        <v>0.32555123216601811</v>
      </c>
      <c r="H3680" s="2" t="s">
        <v>5</v>
      </c>
      <c r="I3680" s="6" t="s">
        <v>2300</v>
      </c>
      <c r="J3680" s="2" t="s">
        <v>5</v>
      </c>
      <c r="K3680" s="2" t="s">
        <v>5</v>
      </c>
      <c r="L3680" s="2" t="s">
        <v>5</v>
      </c>
      <c r="M3680" s="2" t="s">
        <v>5</v>
      </c>
      <c r="N3680" s="4">
        <v>0</v>
      </c>
    </row>
    <row r="3681" spans="1:14" x14ac:dyDescent="0.25">
      <c r="A3681" s="2" t="s">
        <v>1069</v>
      </c>
      <c r="B3681" s="2" t="s">
        <v>1070</v>
      </c>
      <c r="C3681" s="3">
        <v>20</v>
      </c>
      <c r="D3681" s="4">
        <v>308.39999999999998</v>
      </c>
      <c r="E3681" s="4">
        <v>208</v>
      </c>
      <c r="F3681" s="4">
        <f t="shared" ref="F3681:F3744" si="255">D3681-E3681</f>
        <v>100.39999999999998</v>
      </c>
      <c r="G3681" s="5">
        <f t="shared" ref="G3681:G3744" si="256">IF(((D3681)=0),0,(D3681-E3681)/ D3681)</f>
        <v>0.32555123216601811</v>
      </c>
      <c r="H3681" s="2" t="s">
        <v>5</v>
      </c>
      <c r="I3681" s="6" t="s">
        <v>2300</v>
      </c>
      <c r="J3681" s="2" t="s">
        <v>5</v>
      </c>
      <c r="K3681" s="2" t="s">
        <v>5</v>
      </c>
      <c r="L3681" s="2" t="s">
        <v>5</v>
      </c>
      <c r="M3681" s="2" t="s">
        <v>5</v>
      </c>
      <c r="N3681" s="4">
        <v>0</v>
      </c>
    </row>
    <row r="3682" spans="1:14" x14ac:dyDescent="0.25">
      <c r="A3682" s="2" t="s">
        <v>1069</v>
      </c>
      <c r="B3682" s="2" t="s">
        <v>1070</v>
      </c>
      <c r="C3682" s="3">
        <v>15</v>
      </c>
      <c r="D3682" s="4">
        <v>231.3</v>
      </c>
      <c r="E3682" s="4">
        <v>156</v>
      </c>
      <c r="F3682" s="4">
        <f t="shared" si="255"/>
        <v>75.300000000000011</v>
      </c>
      <c r="G3682" s="5">
        <f t="shared" si="256"/>
        <v>0.32555123216601817</v>
      </c>
      <c r="H3682" s="2" t="s">
        <v>5</v>
      </c>
      <c r="I3682" s="6" t="s">
        <v>2300</v>
      </c>
      <c r="J3682" s="2" t="s">
        <v>5</v>
      </c>
      <c r="K3682" s="2" t="s">
        <v>5</v>
      </c>
      <c r="L3682" s="2" t="s">
        <v>5</v>
      </c>
      <c r="M3682" s="2" t="s">
        <v>5</v>
      </c>
      <c r="N3682" s="4">
        <v>0</v>
      </c>
    </row>
    <row r="3683" spans="1:14" x14ac:dyDescent="0.25">
      <c r="A3683" s="2" t="s">
        <v>698</v>
      </c>
      <c r="B3683" s="2" t="s">
        <v>699</v>
      </c>
      <c r="C3683" s="3">
        <v>100</v>
      </c>
      <c r="D3683" s="4">
        <v>1243</v>
      </c>
      <c r="E3683" s="4">
        <v>1000</v>
      </c>
      <c r="F3683" s="4">
        <f t="shared" si="255"/>
        <v>243</v>
      </c>
      <c r="G3683" s="5">
        <f t="shared" si="256"/>
        <v>0.19549477071600965</v>
      </c>
      <c r="H3683" s="2" t="s">
        <v>5</v>
      </c>
      <c r="I3683" s="6" t="s">
        <v>2300</v>
      </c>
      <c r="J3683" s="2" t="s">
        <v>5</v>
      </c>
      <c r="K3683" s="2" t="s">
        <v>5</v>
      </c>
      <c r="L3683" s="2" t="s">
        <v>5</v>
      </c>
      <c r="M3683" s="2" t="s">
        <v>5</v>
      </c>
      <c r="N3683" s="4">
        <v>0</v>
      </c>
    </row>
    <row r="3684" spans="1:14" x14ac:dyDescent="0.25">
      <c r="A3684" s="2" t="s">
        <v>698</v>
      </c>
      <c r="B3684" s="2" t="s">
        <v>699</v>
      </c>
      <c r="C3684" s="3">
        <v>100</v>
      </c>
      <c r="D3684" s="4">
        <v>1243</v>
      </c>
      <c r="E3684" s="4">
        <v>1000</v>
      </c>
      <c r="F3684" s="4">
        <f t="shared" si="255"/>
        <v>243</v>
      </c>
      <c r="G3684" s="5">
        <f t="shared" si="256"/>
        <v>0.19549477071600965</v>
      </c>
      <c r="H3684" s="2" t="s">
        <v>5</v>
      </c>
      <c r="I3684" s="6" t="s">
        <v>2300</v>
      </c>
      <c r="J3684" s="2" t="s">
        <v>5</v>
      </c>
      <c r="K3684" s="2" t="s">
        <v>5</v>
      </c>
      <c r="L3684" s="2" t="s">
        <v>5</v>
      </c>
      <c r="M3684" s="2" t="s">
        <v>5</v>
      </c>
      <c r="N3684" s="4">
        <v>0</v>
      </c>
    </row>
    <row r="3685" spans="1:14" x14ac:dyDescent="0.25">
      <c r="A3685" s="2" t="s">
        <v>698</v>
      </c>
      <c r="B3685" s="2" t="s">
        <v>699</v>
      </c>
      <c r="C3685" s="3">
        <v>80</v>
      </c>
      <c r="D3685" s="4">
        <v>975.2</v>
      </c>
      <c r="E3685" s="4">
        <v>800</v>
      </c>
      <c r="F3685" s="4">
        <f t="shared" si="255"/>
        <v>175.20000000000005</v>
      </c>
      <c r="G3685" s="5">
        <f t="shared" si="256"/>
        <v>0.17965545529122234</v>
      </c>
      <c r="H3685" s="2" t="s">
        <v>5</v>
      </c>
      <c r="I3685" s="6" t="s">
        <v>2300</v>
      </c>
      <c r="J3685" s="2" t="s">
        <v>5</v>
      </c>
      <c r="K3685" s="2" t="s">
        <v>5</v>
      </c>
      <c r="L3685" s="2" t="s">
        <v>5</v>
      </c>
      <c r="M3685" s="2" t="s">
        <v>5</v>
      </c>
      <c r="N3685" s="4">
        <v>0</v>
      </c>
    </row>
    <row r="3686" spans="1:14" x14ac:dyDescent="0.25">
      <c r="A3686" s="2" t="s">
        <v>698</v>
      </c>
      <c r="B3686" s="2" t="s">
        <v>699</v>
      </c>
      <c r="C3686" s="3">
        <v>15</v>
      </c>
      <c r="D3686" s="4">
        <v>215.25</v>
      </c>
      <c r="E3686" s="4">
        <v>150</v>
      </c>
      <c r="F3686" s="4">
        <f t="shared" si="255"/>
        <v>65.25</v>
      </c>
      <c r="G3686" s="5">
        <f t="shared" si="256"/>
        <v>0.30313588850174217</v>
      </c>
      <c r="H3686" s="2" t="s">
        <v>5</v>
      </c>
      <c r="I3686" s="6" t="s">
        <v>2300</v>
      </c>
      <c r="J3686" s="2" t="s">
        <v>5</v>
      </c>
      <c r="K3686" s="2" t="s">
        <v>5</v>
      </c>
      <c r="L3686" s="2" t="s">
        <v>5</v>
      </c>
      <c r="M3686" s="2" t="s">
        <v>5</v>
      </c>
      <c r="N3686" s="4">
        <v>0</v>
      </c>
    </row>
    <row r="3687" spans="1:14" x14ac:dyDescent="0.25">
      <c r="A3687" s="2" t="s">
        <v>698</v>
      </c>
      <c r="B3687" s="2" t="s">
        <v>699</v>
      </c>
      <c r="C3687" s="3">
        <v>5</v>
      </c>
      <c r="D3687" s="4">
        <v>62.15</v>
      </c>
      <c r="E3687" s="4">
        <v>50</v>
      </c>
      <c r="F3687" s="4">
        <f t="shared" si="255"/>
        <v>12.149999999999999</v>
      </c>
      <c r="G3687" s="5">
        <f t="shared" si="256"/>
        <v>0.19549477071600962</v>
      </c>
      <c r="H3687" s="2" t="s">
        <v>5</v>
      </c>
      <c r="I3687" s="6" t="s">
        <v>2300</v>
      </c>
      <c r="J3687" s="2" t="s">
        <v>5</v>
      </c>
      <c r="K3687" s="2" t="s">
        <v>5</v>
      </c>
      <c r="L3687" s="2" t="s">
        <v>5</v>
      </c>
      <c r="M3687" s="2" t="s">
        <v>5</v>
      </c>
      <c r="N3687" s="4">
        <v>0</v>
      </c>
    </row>
    <row r="3688" spans="1:14" x14ac:dyDescent="0.25">
      <c r="A3688" s="2" t="s">
        <v>813</v>
      </c>
      <c r="B3688" s="2" t="s">
        <v>814</v>
      </c>
      <c r="C3688" s="3">
        <v>135</v>
      </c>
      <c r="D3688" s="4">
        <v>1678.05</v>
      </c>
      <c r="E3688" s="4">
        <v>1421.55</v>
      </c>
      <c r="F3688" s="4">
        <f t="shared" si="255"/>
        <v>256.5</v>
      </c>
      <c r="G3688" s="5">
        <f t="shared" si="256"/>
        <v>0.15285599356395818</v>
      </c>
      <c r="H3688" s="2" t="s">
        <v>5</v>
      </c>
      <c r="I3688" s="6" t="s">
        <v>2300</v>
      </c>
      <c r="J3688" s="2" t="s">
        <v>5</v>
      </c>
      <c r="K3688" s="2" t="s">
        <v>5</v>
      </c>
      <c r="L3688" s="2" t="s">
        <v>5</v>
      </c>
      <c r="M3688" s="2" t="s">
        <v>5</v>
      </c>
      <c r="N3688" s="4">
        <v>0</v>
      </c>
    </row>
    <row r="3689" spans="1:14" x14ac:dyDescent="0.25">
      <c r="A3689" s="2" t="s">
        <v>813</v>
      </c>
      <c r="B3689" s="2" t="s">
        <v>814</v>
      </c>
      <c r="C3689" s="3">
        <v>40</v>
      </c>
      <c r="D3689" s="4">
        <v>568.4</v>
      </c>
      <c r="E3689" s="4">
        <v>421.2</v>
      </c>
      <c r="F3689" s="4">
        <f t="shared" si="255"/>
        <v>147.19999999999999</v>
      </c>
      <c r="G3689" s="5">
        <f t="shared" si="256"/>
        <v>0.25897255453905699</v>
      </c>
      <c r="H3689" s="2" t="s">
        <v>5</v>
      </c>
      <c r="I3689" s="6" t="s">
        <v>2300</v>
      </c>
      <c r="J3689" s="2" t="s">
        <v>5</v>
      </c>
      <c r="K3689" s="2" t="s">
        <v>5</v>
      </c>
      <c r="L3689" s="2" t="s">
        <v>5</v>
      </c>
      <c r="M3689" s="2" t="s">
        <v>5</v>
      </c>
      <c r="N3689" s="4">
        <v>0</v>
      </c>
    </row>
    <row r="3690" spans="1:14" x14ac:dyDescent="0.25">
      <c r="A3690" s="2" t="s">
        <v>813</v>
      </c>
      <c r="B3690" s="2" t="s">
        <v>814</v>
      </c>
      <c r="C3690" s="3">
        <v>20</v>
      </c>
      <c r="D3690" s="4">
        <v>248.6</v>
      </c>
      <c r="E3690" s="4">
        <v>210.6</v>
      </c>
      <c r="F3690" s="4">
        <f t="shared" si="255"/>
        <v>38</v>
      </c>
      <c r="G3690" s="5">
        <f t="shared" si="256"/>
        <v>0.15285599356395818</v>
      </c>
      <c r="H3690" s="2" t="s">
        <v>5</v>
      </c>
      <c r="I3690" s="6" t="s">
        <v>2300</v>
      </c>
      <c r="J3690" s="2" t="s">
        <v>5</v>
      </c>
      <c r="K3690" s="2" t="s">
        <v>5</v>
      </c>
      <c r="L3690" s="2" t="s">
        <v>5</v>
      </c>
      <c r="M3690" s="2" t="s">
        <v>5</v>
      </c>
      <c r="N3690" s="4">
        <v>0</v>
      </c>
    </row>
    <row r="3691" spans="1:14" x14ac:dyDescent="0.25">
      <c r="A3691" s="2" t="s">
        <v>813</v>
      </c>
      <c r="B3691" s="2" t="s">
        <v>814</v>
      </c>
      <c r="C3691" s="3">
        <v>30</v>
      </c>
      <c r="D3691" s="4">
        <v>372.9</v>
      </c>
      <c r="E3691" s="4">
        <v>315.89999999999998</v>
      </c>
      <c r="F3691" s="4">
        <f t="shared" si="255"/>
        <v>57</v>
      </c>
      <c r="G3691" s="5">
        <f t="shared" si="256"/>
        <v>0.15285599356395818</v>
      </c>
      <c r="H3691" s="2" t="s">
        <v>5</v>
      </c>
      <c r="I3691" s="6" t="s">
        <v>2300</v>
      </c>
      <c r="J3691" s="2" t="s">
        <v>5</v>
      </c>
      <c r="K3691" s="2" t="s">
        <v>5</v>
      </c>
      <c r="L3691" s="2" t="s">
        <v>5</v>
      </c>
      <c r="M3691" s="2" t="s">
        <v>5</v>
      </c>
      <c r="N3691" s="4">
        <v>0</v>
      </c>
    </row>
    <row r="3692" spans="1:14" x14ac:dyDescent="0.25">
      <c r="A3692" s="2" t="s">
        <v>1574</v>
      </c>
      <c r="B3692" s="2" t="s">
        <v>1575</v>
      </c>
      <c r="C3692" s="3">
        <v>18.260000000000002</v>
      </c>
      <c r="D3692" s="4">
        <v>298.73360000000002</v>
      </c>
      <c r="E3692" s="4">
        <v>215.46799999999999</v>
      </c>
      <c r="F3692" s="4">
        <f t="shared" si="255"/>
        <v>83.265600000000035</v>
      </c>
      <c r="G3692" s="5">
        <f t="shared" si="256"/>
        <v>0.27872860635696833</v>
      </c>
      <c r="H3692" s="2" t="s">
        <v>5</v>
      </c>
      <c r="I3692" s="6" t="s">
        <v>2300</v>
      </c>
      <c r="J3692" s="2" t="s">
        <v>5</v>
      </c>
      <c r="K3692" s="2" t="s">
        <v>5</v>
      </c>
      <c r="L3692" s="2" t="s">
        <v>5</v>
      </c>
      <c r="M3692" s="2" t="s">
        <v>5</v>
      </c>
      <c r="N3692" s="4">
        <v>0</v>
      </c>
    </row>
    <row r="3693" spans="1:14" x14ac:dyDescent="0.25">
      <c r="A3693" s="2" t="s">
        <v>650</v>
      </c>
      <c r="B3693" s="2" t="s">
        <v>651</v>
      </c>
      <c r="C3693" s="3">
        <v>14.8</v>
      </c>
      <c r="D3693" s="4">
        <v>404.63200000000001</v>
      </c>
      <c r="E3693" s="4">
        <v>294.52</v>
      </c>
      <c r="F3693" s="4">
        <f t="shared" si="255"/>
        <v>110.11200000000002</v>
      </c>
      <c r="G3693" s="5">
        <f t="shared" si="256"/>
        <v>0.27212874908558893</v>
      </c>
      <c r="H3693" s="2" t="s">
        <v>5</v>
      </c>
      <c r="I3693" s="6" t="s">
        <v>2300</v>
      </c>
      <c r="J3693" s="2" t="s">
        <v>5</v>
      </c>
      <c r="K3693" s="2" t="s">
        <v>5</v>
      </c>
      <c r="L3693" s="2" t="s">
        <v>5</v>
      </c>
      <c r="M3693" s="2" t="s">
        <v>5</v>
      </c>
      <c r="N3693" s="4">
        <v>0</v>
      </c>
    </row>
    <row r="3694" spans="1:14" x14ac:dyDescent="0.25">
      <c r="A3694" s="2" t="s">
        <v>566</v>
      </c>
      <c r="B3694" s="2" t="s">
        <v>567</v>
      </c>
      <c r="C3694" s="3">
        <v>8.3249999999999993</v>
      </c>
      <c r="D3694" s="4">
        <v>118.79774999999999</v>
      </c>
      <c r="E3694" s="4">
        <v>94.905000000000001</v>
      </c>
      <c r="F3694" s="4">
        <f t="shared" si="255"/>
        <v>23.892749999999992</v>
      </c>
      <c r="G3694" s="5">
        <f t="shared" si="256"/>
        <v>0.2011212333566923</v>
      </c>
      <c r="H3694" s="2" t="s">
        <v>5</v>
      </c>
      <c r="I3694" s="6" t="s">
        <v>2300</v>
      </c>
      <c r="J3694" s="2" t="s">
        <v>5</v>
      </c>
      <c r="K3694" s="2" t="s">
        <v>5</v>
      </c>
      <c r="L3694" s="2" t="s">
        <v>5</v>
      </c>
      <c r="M3694" s="2" t="s">
        <v>5</v>
      </c>
      <c r="N3694" s="4">
        <v>0</v>
      </c>
    </row>
    <row r="3695" spans="1:14" x14ac:dyDescent="0.25">
      <c r="A3695" s="2" t="s">
        <v>566</v>
      </c>
      <c r="B3695" s="2" t="s">
        <v>567</v>
      </c>
      <c r="C3695" s="3">
        <v>36.68</v>
      </c>
      <c r="D3695" s="4">
        <v>523.42359999999996</v>
      </c>
      <c r="E3695" s="4">
        <v>418.15199999999999</v>
      </c>
      <c r="F3695" s="4">
        <f t="shared" si="255"/>
        <v>105.27159999999998</v>
      </c>
      <c r="G3695" s="5">
        <f t="shared" si="256"/>
        <v>0.20112123335669232</v>
      </c>
      <c r="H3695" s="2" t="s">
        <v>5</v>
      </c>
      <c r="I3695" s="6" t="s">
        <v>2300</v>
      </c>
      <c r="J3695" s="2" t="s">
        <v>5</v>
      </c>
      <c r="K3695" s="2" t="s">
        <v>5</v>
      </c>
      <c r="L3695" s="2" t="s">
        <v>5</v>
      </c>
      <c r="M3695" s="2" t="s">
        <v>5</v>
      </c>
      <c r="N3695" s="4">
        <v>0</v>
      </c>
    </row>
    <row r="3696" spans="1:14" x14ac:dyDescent="0.25">
      <c r="A3696" s="2" t="s">
        <v>566</v>
      </c>
      <c r="B3696" s="2" t="s">
        <v>567</v>
      </c>
      <c r="C3696" s="3">
        <v>15.25</v>
      </c>
      <c r="D3696" s="4">
        <v>244.30500000000001</v>
      </c>
      <c r="E3696" s="4">
        <v>173.85</v>
      </c>
      <c r="F3696" s="4">
        <f t="shared" si="255"/>
        <v>70.455000000000013</v>
      </c>
      <c r="G3696" s="5">
        <f t="shared" si="256"/>
        <v>0.28838951310861427</v>
      </c>
      <c r="H3696" s="2" t="s">
        <v>5</v>
      </c>
      <c r="I3696" s="6" t="s">
        <v>2300</v>
      </c>
      <c r="J3696" s="2" t="s">
        <v>5</v>
      </c>
      <c r="K3696" s="2" t="s">
        <v>5</v>
      </c>
      <c r="L3696" s="2" t="s">
        <v>5</v>
      </c>
      <c r="M3696" s="2" t="s">
        <v>5</v>
      </c>
      <c r="N3696" s="4">
        <v>0</v>
      </c>
    </row>
    <row r="3697" spans="1:14" x14ac:dyDescent="0.25">
      <c r="A3697" s="2" t="s">
        <v>566</v>
      </c>
      <c r="B3697" s="2" t="s">
        <v>567</v>
      </c>
      <c r="C3697" s="3">
        <v>6.1349999999999998</v>
      </c>
      <c r="D3697" s="4">
        <v>102.82259999999999</v>
      </c>
      <c r="E3697" s="4">
        <v>69.938999999999993</v>
      </c>
      <c r="F3697" s="4">
        <f t="shared" si="255"/>
        <v>32.883600000000001</v>
      </c>
      <c r="G3697" s="5">
        <f t="shared" si="256"/>
        <v>0.31980906921241053</v>
      </c>
      <c r="H3697" s="2" t="s">
        <v>5</v>
      </c>
      <c r="I3697" s="6" t="s">
        <v>2300</v>
      </c>
      <c r="J3697" s="2" t="s">
        <v>5</v>
      </c>
      <c r="K3697" s="2" t="s">
        <v>5</v>
      </c>
      <c r="L3697" s="2" t="s">
        <v>5</v>
      </c>
      <c r="M3697" s="2" t="s">
        <v>5</v>
      </c>
      <c r="N3697" s="4">
        <v>0</v>
      </c>
    </row>
    <row r="3698" spans="1:14" x14ac:dyDescent="0.25">
      <c r="A3698" s="2" t="s">
        <v>566</v>
      </c>
      <c r="B3698" s="2" t="s">
        <v>567</v>
      </c>
      <c r="C3698" s="3">
        <v>3.08</v>
      </c>
      <c r="D3698" s="4">
        <v>53.930799999999998</v>
      </c>
      <c r="E3698" s="4">
        <v>35.112000000000002</v>
      </c>
      <c r="F3698" s="4">
        <f t="shared" si="255"/>
        <v>18.818799999999996</v>
      </c>
      <c r="G3698" s="5">
        <f t="shared" si="256"/>
        <v>0.34894346087949735</v>
      </c>
      <c r="H3698" s="2" t="s">
        <v>5</v>
      </c>
      <c r="I3698" s="6" t="s">
        <v>2300</v>
      </c>
      <c r="J3698" s="2" t="s">
        <v>5</v>
      </c>
      <c r="K3698" s="2" t="s">
        <v>5</v>
      </c>
      <c r="L3698" s="2" t="s">
        <v>5</v>
      </c>
      <c r="M3698" s="2" t="s">
        <v>5</v>
      </c>
      <c r="N3698" s="4">
        <v>0</v>
      </c>
    </row>
    <row r="3699" spans="1:14" x14ac:dyDescent="0.25">
      <c r="A3699" s="2" t="s">
        <v>566</v>
      </c>
      <c r="B3699" s="2" t="s">
        <v>567</v>
      </c>
      <c r="C3699" s="3">
        <v>15.1</v>
      </c>
      <c r="D3699" s="4">
        <v>236.768</v>
      </c>
      <c r="E3699" s="4">
        <v>172.14</v>
      </c>
      <c r="F3699" s="4">
        <f t="shared" si="255"/>
        <v>64.628000000000014</v>
      </c>
      <c r="G3699" s="5">
        <f t="shared" si="256"/>
        <v>0.27295918367346944</v>
      </c>
      <c r="H3699" s="2" t="s">
        <v>5</v>
      </c>
      <c r="I3699" s="6" t="s">
        <v>2300</v>
      </c>
      <c r="J3699" s="2" t="s">
        <v>5</v>
      </c>
      <c r="K3699" s="2" t="s">
        <v>5</v>
      </c>
      <c r="L3699" s="2" t="s">
        <v>5</v>
      </c>
      <c r="M3699" s="2" t="s">
        <v>5</v>
      </c>
      <c r="N3699" s="4">
        <v>0</v>
      </c>
    </row>
    <row r="3700" spans="1:14" x14ac:dyDescent="0.25">
      <c r="A3700" s="2" t="s">
        <v>566</v>
      </c>
      <c r="B3700" s="2" t="s">
        <v>567</v>
      </c>
      <c r="C3700" s="3">
        <v>2.0179999999999998</v>
      </c>
      <c r="D3700" s="4">
        <v>35.335180000000001</v>
      </c>
      <c r="E3700" s="4">
        <v>23.005199999999999</v>
      </c>
      <c r="F3700" s="4">
        <f t="shared" si="255"/>
        <v>12.329980000000003</v>
      </c>
      <c r="G3700" s="5">
        <f t="shared" si="256"/>
        <v>0.34894346087949751</v>
      </c>
      <c r="H3700" s="2" t="s">
        <v>5</v>
      </c>
      <c r="I3700" s="6" t="s">
        <v>2300</v>
      </c>
      <c r="J3700" s="2" t="s">
        <v>5</v>
      </c>
      <c r="K3700" s="2" t="s">
        <v>5</v>
      </c>
      <c r="L3700" s="2" t="s">
        <v>5</v>
      </c>
      <c r="M3700" s="2" t="s">
        <v>5</v>
      </c>
      <c r="N3700" s="4">
        <v>0</v>
      </c>
    </row>
    <row r="3701" spans="1:14" x14ac:dyDescent="0.25">
      <c r="A3701" s="2" t="s">
        <v>566</v>
      </c>
      <c r="B3701" s="2" t="s">
        <v>567</v>
      </c>
      <c r="C3701" s="3">
        <v>15.15</v>
      </c>
      <c r="D3701" s="4">
        <v>237.55199999999999</v>
      </c>
      <c r="E3701" s="4">
        <v>172.71</v>
      </c>
      <c r="F3701" s="4">
        <f t="shared" si="255"/>
        <v>64.841999999999985</v>
      </c>
      <c r="G3701" s="5">
        <f t="shared" si="256"/>
        <v>0.27295918367346933</v>
      </c>
      <c r="H3701" s="2" t="s">
        <v>5</v>
      </c>
      <c r="I3701" s="6" t="s">
        <v>2300</v>
      </c>
      <c r="J3701" s="2" t="s">
        <v>5</v>
      </c>
      <c r="K3701" s="2" t="s">
        <v>5</v>
      </c>
      <c r="L3701" s="2" t="s">
        <v>5</v>
      </c>
      <c r="M3701" s="2" t="s">
        <v>5</v>
      </c>
      <c r="N3701" s="4">
        <v>0</v>
      </c>
    </row>
    <row r="3702" spans="1:14" x14ac:dyDescent="0.25">
      <c r="A3702" s="2" t="s">
        <v>566</v>
      </c>
      <c r="B3702" s="2" t="s">
        <v>567</v>
      </c>
      <c r="C3702" s="3">
        <v>15.25</v>
      </c>
      <c r="D3702" s="4">
        <v>246.13499999999999</v>
      </c>
      <c r="E3702" s="4">
        <v>173.85</v>
      </c>
      <c r="F3702" s="4">
        <f t="shared" si="255"/>
        <v>72.284999999999997</v>
      </c>
      <c r="G3702" s="5">
        <f t="shared" si="256"/>
        <v>0.29368029739776952</v>
      </c>
      <c r="H3702" s="2" t="s">
        <v>5</v>
      </c>
      <c r="I3702" s="6" t="s">
        <v>2300</v>
      </c>
      <c r="J3702" s="2" t="s">
        <v>5</v>
      </c>
      <c r="K3702" s="2" t="s">
        <v>5</v>
      </c>
      <c r="L3702" s="2" t="s">
        <v>5</v>
      </c>
      <c r="M3702" s="2" t="s">
        <v>5</v>
      </c>
      <c r="N3702" s="4">
        <v>0</v>
      </c>
    </row>
    <row r="3703" spans="1:14" x14ac:dyDescent="0.25">
      <c r="A3703" s="2" t="s">
        <v>566</v>
      </c>
      <c r="B3703" s="2" t="s">
        <v>567</v>
      </c>
      <c r="C3703" s="3">
        <v>22.93</v>
      </c>
      <c r="D3703" s="4">
        <v>367.33859999999999</v>
      </c>
      <c r="E3703" s="4">
        <v>261.40199999999999</v>
      </c>
      <c r="F3703" s="4">
        <f t="shared" si="255"/>
        <v>105.9366</v>
      </c>
      <c r="G3703" s="5">
        <f t="shared" si="256"/>
        <v>0.28838951310861421</v>
      </c>
      <c r="H3703" s="2" t="s">
        <v>5</v>
      </c>
      <c r="I3703" s="6" t="s">
        <v>2300</v>
      </c>
      <c r="J3703" s="2" t="s">
        <v>5</v>
      </c>
      <c r="K3703" s="2" t="s">
        <v>5</v>
      </c>
      <c r="L3703" s="2" t="s">
        <v>5</v>
      </c>
      <c r="M3703" s="2" t="s">
        <v>5</v>
      </c>
      <c r="N3703" s="4">
        <v>0</v>
      </c>
    </row>
    <row r="3704" spans="1:14" x14ac:dyDescent="0.25">
      <c r="A3704" s="2" t="s">
        <v>566</v>
      </c>
      <c r="B3704" s="2" t="s">
        <v>567</v>
      </c>
      <c r="C3704" s="3">
        <v>45.36</v>
      </c>
      <c r="D3704" s="4">
        <v>760.23360000000002</v>
      </c>
      <c r="E3704" s="4">
        <v>517.10400000000004</v>
      </c>
      <c r="F3704" s="4">
        <f t="shared" si="255"/>
        <v>243.12959999999998</v>
      </c>
      <c r="G3704" s="5">
        <f t="shared" si="256"/>
        <v>0.31980906921241048</v>
      </c>
      <c r="H3704" s="2" t="s">
        <v>5</v>
      </c>
      <c r="I3704" s="6" t="s">
        <v>2300</v>
      </c>
      <c r="J3704" s="2" t="s">
        <v>5</v>
      </c>
      <c r="K3704" s="2" t="s">
        <v>5</v>
      </c>
      <c r="L3704" s="2" t="s">
        <v>5</v>
      </c>
      <c r="M3704" s="2" t="s">
        <v>5</v>
      </c>
      <c r="N3704" s="4">
        <v>0</v>
      </c>
    </row>
    <row r="3705" spans="1:14" x14ac:dyDescent="0.25">
      <c r="A3705" s="2" t="s">
        <v>566</v>
      </c>
      <c r="B3705" s="2" t="s">
        <v>567</v>
      </c>
      <c r="C3705" s="3">
        <v>30.69</v>
      </c>
      <c r="D3705" s="4">
        <v>495.33659999999998</v>
      </c>
      <c r="E3705" s="4">
        <v>349.86599999999999</v>
      </c>
      <c r="F3705" s="4">
        <f t="shared" si="255"/>
        <v>145.47059999999999</v>
      </c>
      <c r="G3705" s="5">
        <f t="shared" si="256"/>
        <v>0.29368029739776952</v>
      </c>
      <c r="H3705" s="2" t="s">
        <v>5</v>
      </c>
      <c r="I3705" s="6" t="s">
        <v>2300</v>
      </c>
      <c r="J3705" s="2" t="s">
        <v>5</v>
      </c>
      <c r="K3705" s="2" t="s">
        <v>5</v>
      </c>
      <c r="L3705" s="2" t="s">
        <v>5</v>
      </c>
      <c r="M3705" s="2" t="s">
        <v>5</v>
      </c>
      <c r="N3705" s="4">
        <v>0</v>
      </c>
    </row>
    <row r="3706" spans="1:14" x14ac:dyDescent="0.25">
      <c r="A3706" s="2" t="s">
        <v>566</v>
      </c>
      <c r="B3706" s="2" t="s">
        <v>567</v>
      </c>
      <c r="C3706" s="3">
        <v>30.17</v>
      </c>
      <c r="D3706" s="4">
        <v>525.86310000000003</v>
      </c>
      <c r="E3706" s="4">
        <v>343.93799999999999</v>
      </c>
      <c r="F3706" s="4">
        <f t="shared" si="255"/>
        <v>181.92510000000004</v>
      </c>
      <c r="G3706" s="5">
        <f t="shared" si="256"/>
        <v>0.34595524956970747</v>
      </c>
      <c r="H3706" s="2" t="s">
        <v>5</v>
      </c>
      <c r="I3706" s="6" t="s">
        <v>2300</v>
      </c>
      <c r="J3706" s="2" t="s">
        <v>5</v>
      </c>
      <c r="K3706" s="2" t="s">
        <v>5</v>
      </c>
      <c r="L3706" s="2" t="s">
        <v>5</v>
      </c>
      <c r="M3706" s="2" t="s">
        <v>5</v>
      </c>
      <c r="N3706" s="4">
        <v>0</v>
      </c>
    </row>
    <row r="3707" spans="1:14" x14ac:dyDescent="0.25">
      <c r="A3707" s="2" t="s">
        <v>566</v>
      </c>
      <c r="B3707" s="2" t="s">
        <v>567</v>
      </c>
      <c r="C3707" s="3">
        <v>30.63</v>
      </c>
      <c r="D3707" s="4">
        <v>491.9178</v>
      </c>
      <c r="E3707" s="4">
        <v>349.18200000000002</v>
      </c>
      <c r="F3707" s="4">
        <f t="shared" si="255"/>
        <v>142.73579999999998</v>
      </c>
      <c r="G3707" s="5">
        <f t="shared" si="256"/>
        <v>0.29016189290161892</v>
      </c>
      <c r="H3707" s="2" t="s">
        <v>5</v>
      </c>
      <c r="I3707" s="6" t="s">
        <v>2300</v>
      </c>
      <c r="J3707" s="2" t="s">
        <v>5</v>
      </c>
      <c r="K3707" s="2" t="s">
        <v>5</v>
      </c>
      <c r="L3707" s="2" t="s">
        <v>5</v>
      </c>
      <c r="M3707" s="2" t="s">
        <v>5</v>
      </c>
      <c r="N3707" s="4">
        <v>0</v>
      </c>
    </row>
    <row r="3708" spans="1:14" x14ac:dyDescent="0.25">
      <c r="A3708" s="2" t="s">
        <v>566</v>
      </c>
      <c r="B3708" s="2" t="s">
        <v>567</v>
      </c>
      <c r="C3708" s="3">
        <v>10.06</v>
      </c>
      <c r="D3708" s="4">
        <v>162.36840000000001</v>
      </c>
      <c r="E3708" s="4">
        <v>114.684</v>
      </c>
      <c r="F3708" s="4">
        <f t="shared" si="255"/>
        <v>47.684400000000011</v>
      </c>
      <c r="G3708" s="5">
        <f t="shared" si="256"/>
        <v>0.29368029739776957</v>
      </c>
      <c r="H3708" s="2" t="s">
        <v>5</v>
      </c>
      <c r="I3708" s="6" t="s">
        <v>2300</v>
      </c>
      <c r="J3708" s="2" t="s">
        <v>5</v>
      </c>
      <c r="K3708" s="2" t="s">
        <v>5</v>
      </c>
      <c r="L3708" s="2" t="s">
        <v>5</v>
      </c>
      <c r="M3708" s="2" t="s">
        <v>5</v>
      </c>
      <c r="N3708" s="4">
        <v>0</v>
      </c>
    </row>
    <row r="3709" spans="1:14" x14ac:dyDescent="0.25">
      <c r="A3709" s="2" t="s">
        <v>566</v>
      </c>
      <c r="B3709" s="2" t="s">
        <v>567</v>
      </c>
      <c r="C3709" s="3">
        <v>15.27</v>
      </c>
      <c r="D3709" s="4">
        <v>247.52670000000001</v>
      </c>
      <c r="E3709" s="4">
        <v>174.078</v>
      </c>
      <c r="F3709" s="4">
        <f t="shared" si="255"/>
        <v>73.448700000000002</v>
      </c>
      <c r="G3709" s="5">
        <f t="shared" si="256"/>
        <v>0.29673041332510797</v>
      </c>
      <c r="H3709" s="2" t="s">
        <v>5</v>
      </c>
      <c r="I3709" s="6" t="s">
        <v>2300</v>
      </c>
      <c r="J3709" s="2" t="s">
        <v>5</v>
      </c>
      <c r="K3709" s="2" t="s">
        <v>5</v>
      </c>
      <c r="L3709" s="2" t="s">
        <v>5</v>
      </c>
      <c r="M3709" s="2" t="s">
        <v>5</v>
      </c>
      <c r="N3709" s="4">
        <v>0</v>
      </c>
    </row>
    <row r="3710" spans="1:14" x14ac:dyDescent="0.25">
      <c r="A3710" s="2" t="s">
        <v>566</v>
      </c>
      <c r="B3710" s="2" t="s">
        <v>567</v>
      </c>
      <c r="C3710" s="3">
        <v>89.17</v>
      </c>
      <c r="D3710" s="4">
        <v>1494.4892</v>
      </c>
      <c r="E3710" s="4">
        <v>1016.538</v>
      </c>
      <c r="F3710" s="4">
        <f t="shared" si="255"/>
        <v>477.95119999999997</v>
      </c>
      <c r="G3710" s="5">
        <f t="shared" si="256"/>
        <v>0.31980906921241048</v>
      </c>
      <c r="H3710" s="2" t="s">
        <v>5</v>
      </c>
      <c r="I3710" s="6" t="s">
        <v>2300</v>
      </c>
      <c r="J3710" s="2" t="s">
        <v>5</v>
      </c>
      <c r="K3710" s="2" t="s">
        <v>5</v>
      </c>
      <c r="L3710" s="2" t="s">
        <v>5</v>
      </c>
      <c r="M3710" s="2" t="s">
        <v>5</v>
      </c>
      <c r="N3710" s="4">
        <v>0</v>
      </c>
    </row>
    <row r="3711" spans="1:14" x14ac:dyDescent="0.25">
      <c r="A3711" s="2" t="s">
        <v>566</v>
      </c>
      <c r="B3711" s="2" t="s">
        <v>567</v>
      </c>
      <c r="C3711" s="3">
        <v>8.06</v>
      </c>
      <c r="D3711" s="4">
        <v>141.13059999999999</v>
      </c>
      <c r="E3711" s="4">
        <v>91.884</v>
      </c>
      <c r="F3711" s="4">
        <f t="shared" si="255"/>
        <v>49.246599999999987</v>
      </c>
      <c r="G3711" s="5">
        <f t="shared" si="256"/>
        <v>0.34894346087949735</v>
      </c>
      <c r="H3711" s="2" t="s">
        <v>5</v>
      </c>
      <c r="I3711" s="6" t="s">
        <v>2300</v>
      </c>
      <c r="J3711" s="2" t="s">
        <v>5</v>
      </c>
      <c r="K3711" s="2" t="s">
        <v>5</v>
      </c>
      <c r="L3711" s="2" t="s">
        <v>5</v>
      </c>
      <c r="M3711" s="2" t="s">
        <v>5</v>
      </c>
      <c r="N3711" s="4">
        <v>0</v>
      </c>
    </row>
    <row r="3712" spans="1:14" x14ac:dyDescent="0.25">
      <c r="A3712" s="2" t="s">
        <v>566</v>
      </c>
      <c r="B3712" s="2" t="s">
        <v>567</v>
      </c>
      <c r="C3712" s="3">
        <v>30.94</v>
      </c>
      <c r="D3712" s="4">
        <v>518.55439999999999</v>
      </c>
      <c r="E3712" s="4">
        <v>352.71600000000001</v>
      </c>
      <c r="F3712" s="4">
        <f t="shared" si="255"/>
        <v>165.83839999999998</v>
      </c>
      <c r="G3712" s="5">
        <f t="shared" si="256"/>
        <v>0.31980906921241048</v>
      </c>
      <c r="H3712" s="2" t="s">
        <v>5</v>
      </c>
      <c r="I3712" s="6" t="s">
        <v>2300</v>
      </c>
      <c r="J3712" s="2" t="s">
        <v>5</v>
      </c>
      <c r="K3712" s="2" t="s">
        <v>5</v>
      </c>
      <c r="L3712" s="2" t="s">
        <v>5</v>
      </c>
      <c r="M3712" s="2" t="s">
        <v>5</v>
      </c>
      <c r="N3712" s="4">
        <v>0</v>
      </c>
    </row>
    <row r="3713" spans="1:14" x14ac:dyDescent="0.25">
      <c r="A3713" s="2" t="s">
        <v>566</v>
      </c>
      <c r="B3713" s="2" t="s">
        <v>567</v>
      </c>
      <c r="C3713" s="3">
        <v>30.45</v>
      </c>
      <c r="D3713" s="4">
        <v>489.02699999999999</v>
      </c>
      <c r="E3713" s="4">
        <v>347.13</v>
      </c>
      <c r="F3713" s="4">
        <f t="shared" si="255"/>
        <v>141.89699999999999</v>
      </c>
      <c r="G3713" s="5">
        <f t="shared" si="256"/>
        <v>0.29016189290161892</v>
      </c>
      <c r="H3713" s="2" t="s">
        <v>5</v>
      </c>
      <c r="I3713" s="6" t="s">
        <v>2300</v>
      </c>
      <c r="J3713" s="2" t="s">
        <v>5</v>
      </c>
      <c r="K3713" s="2" t="s">
        <v>5</v>
      </c>
      <c r="L3713" s="2" t="s">
        <v>5</v>
      </c>
      <c r="M3713" s="2" t="s">
        <v>5</v>
      </c>
      <c r="N3713" s="4">
        <v>0</v>
      </c>
    </row>
    <row r="3714" spans="1:14" x14ac:dyDescent="0.25">
      <c r="A3714" s="2" t="s">
        <v>566</v>
      </c>
      <c r="B3714" s="2" t="s">
        <v>567</v>
      </c>
      <c r="C3714" s="3">
        <v>10.105</v>
      </c>
      <c r="D3714" s="4">
        <v>169.35980000000001</v>
      </c>
      <c r="E3714" s="4">
        <v>115.197</v>
      </c>
      <c r="F3714" s="4">
        <f t="shared" si="255"/>
        <v>54.162800000000004</v>
      </c>
      <c r="G3714" s="5">
        <f t="shared" si="256"/>
        <v>0.31980906921241053</v>
      </c>
      <c r="H3714" s="2" t="s">
        <v>5</v>
      </c>
      <c r="I3714" s="6" t="s">
        <v>2300</v>
      </c>
      <c r="J3714" s="2" t="s">
        <v>5</v>
      </c>
      <c r="K3714" s="2" t="s">
        <v>5</v>
      </c>
      <c r="L3714" s="2" t="s">
        <v>5</v>
      </c>
      <c r="M3714" s="2" t="s">
        <v>5</v>
      </c>
      <c r="N3714" s="4">
        <v>0</v>
      </c>
    </row>
    <row r="3715" spans="1:14" x14ac:dyDescent="0.25">
      <c r="A3715" s="2" t="s">
        <v>566</v>
      </c>
      <c r="B3715" s="2" t="s">
        <v>567</v>
      </c>
      <c r="C3715" s="3">
        <v>16.12</v>
      </c>
      <c r="D3715" s="4">
        <v>245.83</v>
      </c>
      <c r="E3715" s="4">
        <v>183.768</v>
      </c>
      <c r="F3715" s="4">
        <f t="shared" si="255"/>
        <v>62.062000000000012</v>
      </c>
      <c r="G3715" s="5">
        <f t="shared" si="256"/>
        <v>0.25245901639344265</v>
      </c>
      <c r="H3715" s="2" t="s">
        <v>5</v>
      </c>
      <c r="I3715" s="6" t="s">
        <v>2300</v>
      </c>
      <c r="J3715" s="2" t="s">
        <v>5</v>
      </c>
      <c r="K3715" s="2" t="s">
        <v>5</v>
      </c>
      <c r="L3715" s="2" t="s">
        <v>5</v>
      </c>
      <c r="M3715" s="2" t="s">
        <v>5</v>
      </c>
      <c r="N3715" s="4">
        <v>0</v>
      </c>
    </row>
    <row r="3716" spans="1:14" x14ac:dyDescent="0.25">
      <c r="A3716" s="2" t="s">
        <v>566</v>
      </c>
      <c r="B3716" s="2" t="s">
        <v>567</v>
      </c>
      <c r="C3716" s="3">
        <v>30.42</v>
      </c>
      <c r="D3716" s="4">
        <v>477.59399999999999</v>
      </c>
      <c r="E3716" s="4">
        <v>346.78800000000001</v>
      </c>
      <c r="F3716" s="4">
        <f t="shared" si="255"/>
        <v>130.80599999999998</v>
      </c>
      <c r="G3716" s="5">
        <f t="shared" si="256"/>
        <v>0.27388535031847133</v>
      </c>
      <c r="H3716" s="2" t="s">
        <v>5</v>
      </c>
      <c r="I3716" s="6" t="s">
        <v>2300</v>
      </c>
      <c r="J3716" s="2" t="s">
        <v>5</v>
      </c>
      <c r="K3716" s="2" t="s">
        <v>5</v>
      </c>
      <c r="L3716" s="2" t="s">
        <v>5</v>
      </c>
      <c r="M3716" s="2" t="s">
        <v>5</v>
      </c>
      <c r="N3716" s="4">
        <v>0</v>
      </c>
    </row>
    <row r="3717" spans="1:14" x14ac:dyDescent="0.25">
      <c r="A3717" s="2" t="s">
        <v>566</v>
      </c>
      <c r="B3717" s="2" t="s">
        <v>567</v>
      </c>
      <c r="C3717" s="3">
        <v>60.94</v>
      </c>
      <c r="D3717" s="4">
        <v>1029.886</v>
      </c>
      <c r="E3717" s="4">
        <v>694.71600000000001</v>
      </c>
      <c r="F3717" s="4">
        <f t="shared" si="255"/>
        <v>335.16999999999996</v>
      </c>
      <c r="G3717" s="5">
        <f t="shared" si="256"/>
        <v>0.32544378698224852</v>
      </c>
      <c r="H3717" s="2" t="s">
        <v>5</v>
      </c>
      <c r="I3717" s="6" t="s">
        <v>2300</v>
      </c>
      <c r="J3717" s="2" t="s">
        <v>5</v>
      </c>
      <c r="K3717" s="2" t="s">
        <v>5</v>
      </c>
      <c r="L3717" s="2" t="s">
        <v>5</v>
      </c>
      <c r="M3717" s="2" t="s">
        <v>5</v>
      </c>
      <c r="N3717" s="4">
        <v>0</v>
      </c>
    </row>
    <row r="3718" spans="1:14" x14ac:dyDescent="0.25">
      <c r="A3718" s="2" t="s">
        <v>566</v>
      </c>
      <c r="B3718" s="2" t="s">
        <v>567</v>
      </c>
      <c r="C3718" s="3">
        <v>1.006</v>
      </c>
      <c r="D3718" s="4">
        <v>17.61506</v>
      </c>
      <c r="E3718" s="4">
        <v>11.468400000000001</v>
      </c>
      <c r="F3718" s="4">
        <f t="shared" si="255"/>
        <v>6.1466599999999989</v>
      </c>
      <c r="G3718" s="5">
        <f t="shared" si="256"/>
        <v>0.34894346087949735</v>
      </c>
      <c r="H3718" s="2" t="s">
        <v>5</v>
      </c>
      <c r="I3718" s="6" t="s">
        <v>2300</v>
      </c>
      <c r="J3718" s="2" t="s">
        <v>5</v>
      </c>
      <c r="K3718" s="2" t="s">
        <v>5</v>
      </c>
      <c r="L3718" s="2" t="s">
        <v>5</v>
      </c>
      <c r="M3718" s="2" t="s">
        <v>5</v>
      </c>
      <c r="N3718" s="4">
        <v>0</v>
      </c>
    </row>
    <row r="3719" spans="1:14" x14ac:dyDescent="0.25">
      <c r="A3719" s="2" t="s">
        <v>566</v>
      </c>
      <c r="B3719" s="2" t="s">
        <v>567</v>
      </c>
      <c r="C3719" s="3">
        <v>6.23</v>
      </c>
      <c r="D3719" s="4">
        <v>88.902100000000004</v>
      </c>
      <c r="E3719" s="4">
        <v>71.022000000000006</v>
      </c>
      <c r="F3719" s="4">
        <f t="shared" si="255"/>
        <v>17.880099999999999</v>
      </c>
      <c r="G3719" s="5">
        <f t="shared" si="256"/>
        <v>0.20112123335669232</v>
      </c>
      <c r="H3719" s="2" t="s">
        <v>5</v>
      </c>
      <c r="I3719" s="6" t="s">
        <v>2300</v>
      </c>
      <c r="J3719" s="2" t="s">
        <v>5</v>
      </c>
      <c r="K3719" s="2" t="s">
        <v>5</v>
      </c>
      <c r="L3719" s="2" t="s">
        <v>5</v>
      </c>
      <c r="M3719" s="2" t="s">
        <v>5</v>
      </c>
      <c r="N3719" s="4">
        <v>0</v>
      </c>
    </row>
    <row r="3720" spans="1:14" x14ac:dyDescent="0.25">
      <c r="A3720" s="2" t="s">
        <v>566</v>
      </c>
      <c r="B3720" s="2" t="s">
        <v>567</v>
      </c>
      <c r="C3720" s="3">
        <v>9.0399999999999991</v>
      </c>
      <c r="D3720" s="4">
        <v>158.29040000000001</v>
      </c>
      <c r="E3720" s="4">
        <v>103.056</v>
      </c>
      <c r="F3720" s="4">
        <f t="shared" si="255"/>
        <v>55.234400000000008</v>
      </c>
      <c r="G3720" s="5">
        <f t="shared" si="256"/>
        <v>0.34894346087949746</v>
      </c>
      <c r="H3720" s="2" t="s">
        <v>5</v>
      </c>
      <c r="I3720" s="6" t="s">
        <v>2300</v>
      </c>
      <c r="J3720" s="2" t="s">
        <v>5</v>
      </c>
      <c r="K3720" s="2" t="s">
        <v>5</v>
      </c>
      <c r="L3720" s="2" t="s">
        <v>5</v>
      </c>
      <c r="M3720" s="2" t="s">
        <v>5</v>
      </c>
      <c r="N3720" s="4">
        <v>0</v>
      </c>
    </row>
    <row r="3721" spans="1:14" x14ac:dyDescent="0.25">
      <c r="A3721" s="2" t="s">
        <v>191</v>
      </c>
      <c r="B3721" s="2" t="s">
        <v>192</v>
      </c>
      <c r="C3721" s="3">
        <v>121.285</v>
      </c>
      <c r="D3721" s="4">
        <v>2123.7003500000001</v>
      </c>
      <c r="E3721" s="4">
        <v>1382.6489999999999</v>
      </c>
      <c r="F3721" s="4">
        <f t="shared" si="255"/>
        <v>741.05135000000018</v>
      </c>
      <c r="G3721" s="5">
        <f t="shared" si="256"/>
        <v>0.34894346087949751</v>
      </c>
      <c r="H3721" s="2" t="s">
        <v>5</v>
      </c>
      <c r="I3721" s="6" t="s">
        <v>2300</v>
      </c>
      <c r="J3721" s="2" t="s">
        <v>5</v>
      </c>
      <c r="K3721" s="2" t="s">
        <v>5</v>
      </c>
      <c r="L3721" s="2" t="s">
        <v>5</v>
      </c>
      <c r="M3721" s="2" t="s">
        <v>5</v>
      </c>
      <c r="N3721" s="4">
        <v>0</v>
      </c>
    </row>
    <row r="3722" spans="1:14" x14ac:dyDescent="0.25">
      <c r="A3722" s="2" t="s">
        <v>191</v>
      </c>
      <c r="B3722" s="2" t="s">
        <v>192</v>
      </c>
      <c r="C3722" s="3">
        <v>45.86</v>
      </c>
      <c r="D3722" s="4">
        <v>768.61360000000002</v>
      </c>
      <c r="E3722" s="4">
        <v>522.80399999999997</v>
      </c>
      <c r="F3722" s="4">
        <f t="shared" si="255"/>
        <v>245.80960000000005</v>
      </c>
      <c r="G3722" s="5">
        <f t="shared" si="256"/>
        <v>0.31980906921241053</v>
      </c>
      <c r="H3722" s="2" t="s">
        <v>5</v>
      </c>
      <c r="I3722" s="6" t="s">
        <v>2300</v>
      </c>
      <c r="J3722" s="2" t="s">
        <v>5</v>
      </c>
      <c r="K3722" s="2" t="s">
        <v>5</v>
      </c>
      <c r="L3722" s="2" t="s">
        <v>5</v>
      </c>
      <c r="M3722" s="2" t="s">
        <v>5</v>
      </c>
      <c r="N3722" s="4">
        <v>0</v>
      </c>
    </row>
    <row r="3723" spans="1:14" x14ac:dyDescent="0.25">
      <c r="A3723" s="2" t="s">
        <v>191</v>
      </c>
      <c r="B3723" s="2" t="s">
        <v>192</v>
      </c>
      <c r="C3723" s="3">
        <v>30.6</v>
      </c>
      <c r="D3723" s="4">
        <v>533.35799999999995</v>
      </c>
      <c r="E3723" s="4">
        <v>348.84</v>
      </c>
      <c r="F3723" s="4">
        <f t="shared" si="255"/>
        <v>184.51799999999997</v>
      </c>
      <c r="G3723" s="5">
        <f t="shared" si="256"/>
        <v>0.34595524956970736</v>
      </c>
      <c r="H3723" s="2" t="s">
        <v>5</v>
      </c>
      <c r="I3723" s="6" t="s">
        <v>2300</v>
      </c>
      <c r="J3723" s="2" t="s">
        <v>5</v>
      </c>
      <c r="K3723" s="2" t="s">
        <v>5</v>
      </c>
      <c r="L3723" s="2" t="s">
        <v>5</v>
      </c>
      <c r="M3723" s="2" t="s">
        <v>5</v>
      </c>
      <c r="N3723" s="4">
        <v>0</v>
      </c>
    </row>
    <row r="3724" spans="1:14" x14ac:dyDescent="0.25">
      <c r="A3724" s="2" t="s">
        <v>1129</v>
      </c>
      <c r="B3724" s="2" t="s">
        <v>1130</v>
      </c>
      <c r="C3724" s="3">
        <v>12</v>
      </c>
      <c r="D3724" s="4">
        <v>191.4</v>
      </c>
      <c r="E3724" s="4">
        <v>141.12</v>
      </c>
      <c r="F3724" s="4">
        <f t="shared" si="255"/>
        <v>50.28</v>
      </c>
      <c r="G3724" s="5">
        <f t="shared" si="256"/>
        <v>0.26269592476489029</v>
      </c>
      <c r="H3724" s="2" t="s">
        <v>5</v>
      </c>
      <c r="I3724" s="6" t="s">
        <v>2300</v>
      </c>
      <c r="J3724" s="2" t="s">
        <v>5</v>
      </c>
      <c r="K3724" s="2" t="s">
        <v>5</v>
      </c>
      <c r="L3724" s="2" t="s">
        <v>5</v>
      </c>
      <c r="M3724" s="2" t="s">
        <v>5</v>
      </c>
      <c r="N3724" s="4">
        <v>0</v>
      </c>
    </row>
    <row r="3725" spans="1:14" x14ac:dyDescent="0.25">
      <c r="A3725" s="2" t="s">
        <v>1129</v>
      </c>
      <c r="B3725" s="2" t="s">
        <v>1130</v>
      </c>
      <c r="C3725" s="3">
        <v>12</v>
      </c>
      <c r="D3725" s="4">
        <v>211.56</v>
      </c>
      <c r="E3725" s="4">
        <v>141.12</v>
      </c>
      <c r="F3725" s="4">
        <f t="shared" si="255"/>
        <v>70.44</v>
      </c>
      <c r="G3725" s="5">
        <f t="shared" si="256"/>
        <v>0.33295519001701646</v>
      </c>
      <c r="H3725" s="2" t="s">
        <v>5</v>
      </c>
      <c r="I3725" s="6" t="s">
        <v>2300</v>
      </c>
      <c r="J3725" s="2" t="s">
        <v>5</v>
      </c>
      <c r="K3725" s="2" t="s">
        <v>5</v>
      </c>
      <c r="L3725" s="2" t="s">
        <v>5</v>
      </c>
      <c r="M3725" s="2" t="s">
        <v>5</v>
      </c>
      <c r="N3725" s="4">
        <v>0</v>
      </c>
    </row>
    <row r="3726" spans="1:14" x14ac:dyDescent="0.25">
      <c r="A3726" s="2" t="s">
        <v>1129</v>
      </c>
      <c r="B3726" s="2" t="s">
        <v>1130</v>
      </c>
      <c r="C3726" s="3">
        <v>12</v>
      </c>
      <c r="D3726" s="4">
        <v>191.4</v>
      </c>
      <c r="E3726" s="4">
        <v>141.12</v>
      </c>
      <c r="F3726" s="4">
        <f t="shared" si="255"/>
        <v>50.28</v>
      </c>
      <c r="G3726" s="5">
        <f t="shared" si="256"/>
        <v>0.26269592476489029</v>
      </c>
      <c r="H3726" s="2" t="s">
        <v>5</v>
      </c>
      <c r="I3726" s="6" t="s">
        <v>2300</v>
      </c>
      <c r="J3726" s="2" t="s">
        <v>5</v>
      </c>
      <c r="K3726" s="2" t="s">
        <v>5</v>
      </c>
      <c r="L3726" s="2" t="s">
        <v>5</v>
      </c>
      <c r="M3726" s="2" t="s">
        <v>5</v>
      </c>
      <c r="N3726" s="4">
        <v>0</v>
      </c>
    </row>
    <row r="3727" spans="1:14" x14ac:dyDescent="0.25">
      <c r="A3727" s="2" t="s">
        <v>1129</v>
      </c>
      <c r="B3727" s="2" t="s">
        <v>1130</v>
      </c>
      <c r="C3727" s="3">
        <v>12</v>
      </c>
      <c r="D3727" s="4">
        <v>191.4</v>
      </c>
      <c r="E3727" s="4">
        <v>141.12</v>
      </c>
      <c r="F3727" s="4">
        <f t="shared" si="255"/>
        <v>50.28</v>
      </c>
      <c r="G3727" s="5">
        <f t="shared" si="256"/>
        <v>0.26269592476489029</v>
      </c>
      <c r="H3727" s="2" t="s">
        <v>5</v>
      </c>
      <c r="I3727" s="6" t="s">
        <v>2300</v>
      </c>
      <c r="J3727" s="2" t="s">
        <v>5</v>
      </c>
      <c r="K3727" s="2" t="s">
        <v>5</v>
      </c>
      <c r="L3727" s="2" t="s">
        <v>5</v>
      </c>
      <c r="M3727" s="2" t="s">
        <v>5</v>
      </c>
      <c r="N3727" s="4">
        <v>0</v>
      </c>
    </row>
    <row r="3728" spans="1:14" x14ac:dyDescent="0.25">
      <c r="A3728" s="2" t="s">
        <v>1129</v>
      </c>
      <c r="B3728" s="2" t="s">
        <v>1130</v>
      </c>
      <c r="C3728" s="3">
        <v>12</v>
      </c>
      <c r="D3728" s="4">
        <v>191.4</v>
      </c>
      <c r="E3728" s="4">
        <v>141.12</v>
      </c>
      <c r="F3728" s="4">
        <f t="shared" si="255"/>
        <v>50.28</v>
      </c>
      <c r="G3728" s="5">
        <f t="shared" si="256"/>
        <v>0.26269592476489029</v>
      </c>
      <c r="H3728" s="2" t="s">
        <v>5</v>
      </c>
      <c r="I3728" s="6" t="s">
        <v>2300</v>
      </c>
      <c r="J3728" s="2" t="s">
        <v>5</v>
      </c>
      <c r="K3728" s="2" t="s">
        <v>5</v>
      </c>
      <c r="L3728" s="2" t="s">
        <v>5</v>
      </c>
      <c r="M3728" s="2" t="s">
        <v>5</v>
      </c>
      <c r="N3728" s="4">
        <v>0</v>
      </c>
    </row>
    <row r="3729" spans="1:14" x14ac:dyDescent="0.25">
      <c r="A3729" s="2" t="s">
        <v>1129</v>
      </c>
      <c r="B3729" s="2" t="s">
        <v>1130</v>
      </c>
      <c r="C3729" s="3">
        <v>12</v>
      </c>
      <c r="D3729" s="4">
        <v>191.4</v>
      </c>
      <c r="E3729" s="4">
        <v>141.12</v>
      </c>
      <c r="F3729" s="4">
        <f t="shared" si="255"/>
        <v>50.28</v>
      </c>
      <c r="G3729" s="5">
        <f t="shared" si="256"/>
        <v>0.26269592476489029</v>
      </c>
      <c r="H3729" s="2" t="s">
        <v>5</v>
      </c>
      <c r="I3729" s="6" t="s">
        <v>2300</v>
      </c>
      <c r="J3729" s="2" t="s">
        <v>5</v>
      </c>
      <c r="K3729" s="2" t="s">
        <v>5</v>
      </c>
      <c r="L3729" s="2" t="s">
        <v>5</v>
      </c>
      <c r="M3729" s="2" t="s">
        <v>5</v>
      </c>
      <c r="N3729" s="4">
        <v>0</v>
      </c>
    </row>
    <row r="3730" spans="1:14" x14ac:dyDescent="0.25">
      <c r="A3730" s="2" t="s">
        <v>2024</v>
      </c>
      <c r="B3730" s="2" t="s">
        <v>2025</v>
      </c>
      <c r="C3730" s="3">
        <v>3.01</v>
      </c>
      <c r="D3730" s="4">
        <v>14.869400000000001</v>
      </c>
      <c r="E3730" s="4">
        <v>4.5149999999999997</v>
      </c>
      <c r="F3730" s="4">
        <f t="shared" si="255"/>
        <v>10.354400000000002</v>
      </c>
      <c r="G3730" s="5">
        <f t="shared" si="256"/>
        <v>0.69635627530364386</v>
      </c>
      <c r="H3730" s="2" t="s">
        <v>5</v>
      </c>
      <c r="I3730" s="6" t="s">
        <v>2300</v>
      </c>
      <c r="J3730" s="2" t="s">
        <v>5</v>
      </c>
      <c r="K3730" s="2" t="s">
        <v>5</v>
      </c>
      <c r="L3730" s="2" t="s">
        <v>5</v>
      </c>
      <c r="M3730" s="2" t="s">
        <v>5</v>
      </c>
      <c r="N3730" s="4">
        <v>0</v>
      </c>
    </row>
    <row r="3731" spans="1:14" x14ac:dyDescent="0.25">
      <c r="A3731" s="2" t="s">
        <v>22</v>
      </c>
      <c r="B3731" s="2" t="s">
        <v>23</v>
      </c>
      <c r="C3731" s="3">
        <v>105.23</v>
      </c>
      <c r="D3731" s="4">
        <v>1394.2974999999999</v>
      </c>
      <c r="E3731" s="4">
        <v>1157.53</v>
      </c>
      <c r="F3731" s="4">
        <f t="shared" si="255"/>
        <v>236.76749999999993</v>
      </c>
      <c r="G3731" s="5">
        <f t="shared" si="256"/>
        <v>0.16981132075471694</v>
      </c>
      <c r="H3731" s="2" t="s">
        <v>5</v>
      </c>
      <c r="I3731" s="6" t="s">
        <v>2300</v>
      </c>
      <c r="J3731" s="2" t="s">
        <v>5</v>
      </c>
      <c r="K3731" s="2" t="s">
        <v>5</v>
      </c>
      <c r="L3731" s="2" t="s">
        <v>5</v>
      </c>
      <c r="M3731" s="2" t="s">
        <v>5</v>
      </c>
      <c r="N3731" s="4">
        <v>0</v>
      </c>
    </row>
    <row r="3732" spans="1:14" x14ac:dyDescent="0.25">
      <c r="A3732" s="2" t="s">
        <v>22</v>
      </c>
      <c r="B3732" s="2" t="s">
        <v>23</v>
      </c>
      <c r="C3732" s="3">
        <v>18.12</v>
      </c>
      <c r="D3732" s="4">
        <v>231.93600000000001</v>
      </c>
      <c r="E3732" s="4">
        <v>199.32</v>
      </c>
      <c r="F3732" s="4">
        <f t="shared" si="255"/>
        <v>32.616000000000014</v>
      </c>
      <c r="G3732" s="5">
        <f t="shared" si="256"/>
        <v>0.14062500000000006</v>
      </c>
      <c r="H3732" s="2" t="s">
        <v>5</v>
      </c>
      <c r="I3732" s="6" t="s">
        <v>2300</v>
      </c>
      <c r="J3732" s="2" t="s">
        <v>5</v>
      </c>
      <c r="K3732" s="2" t="s">
        <v>5</v>
      </c>
      <c r="L3732" s="2" t="s">
        <v>5</v>
      </c>
      <c r="M3732" s="2" t="s">
        <v>5</v>
      </c>
      <c r="N3732" s="4">
        <v>0</v>
      </c>
    </row>
    <row r="3733" spans="1:14" x14ac:dyDescent="0.25">
      <c r="A3733" s="2" t="s">
        <v>22</v>
      </c>
      <c r="B3733" s="2" t="s">
        <v>23</v>
      </c>
      <c r="C3733" s="3">
        <v>20.94</v>
      </c>
      <c r="D3733" s="4">
        <v>307.81799999999998</v>
      </c>
      <c r="E3733" s="4">
        <v>230.34</v>
      </c>
      <c r="F3733" s="4">
        <f t="shared" si="255"/>
        <v>77.47799999999998</v>
      </c>
      <c r="G3733" s="5">
        <f t="shared" si="256"/>
        <v>0.25170068027210879</v>
      </c>
      <c r="H3733" s="2" t="s">
        <v>5</v>
      </c>
      <c r="I3733" s="6" t="s">
        <v>2300</v>
      </c>
      <c r="J3733" s="2" t="s">
        <v>5</v>
      </c>
      <c r="K3733" s="2" t="s">
        <v>5</v>
      </c>
      <c r="L3733" s="2" t="s">
        <v>5</v>
      </c>
      <c r="M3733" s="2" t="s">
        <v>5</v>
      </c>
      <c r="N3733" s="4">
        <v>0</v>
      </c>
    </row>
    <row r="3734" spans="1:14" x14ac:dyDescent="0.25">
      <c r="A3734" s="2" t="s">
        <v>22</v>
      </c>
      <c r="B3734" s="2" t="s">
        <v>23</v>
      </c>
      <c r="C3734" s="3">
        <v>5.73</v>
      </c>
      <c r="D3734" s="4">
        <v>83.772599999999997</v>
      </c>
      <c r="E3734" s="4">
        <v>63.03</v>
      </c>
      <c r="F3734" s="4">
        <f t="shared" si="255"/>
        <v>20.742599999999996</v>
      </c>
      <c r="G3734" s="5">
        <f t="shared" si="256"/>
        <v>0.24760601915184674</v>
      </c>
      <c r="H3734" s="2" t="s">
        <v>5</v>
      </c>
      <c r="I3734" s="6" t="s">
        <v>2300</v>
      </c>
      <c r="J3734" s="2" t="s">
        <v>5</v>
      </c>
      <c r="K3734" s="2" t="s">
        <v>5</v>
      </c>
      <c r="L3734" s="2" t="s">
        <v>5</v>
      </c>
      <c r="M3734" s="2" t="s">
        <v>5</v>
      </c>
      <c r="N3734" s="4">
        <v>0</v>
      </c>
    </row>
    <row r="3735" spans="1:14" x14ac:dyDescent="0.25">
      <c r="A3735" s="2" t="s">
        <v>22</v>
      </c>
      <c r="B3735" s="2" t="s">
        <v>23</v>
      </c>
      <c r="C3735" s="3">
        <v>20.16</v>
      </c>
      <c r="D3735" s="4">
        <v>247.96799999999999</v>
      </c>
      <c r="E3735" s="4">
        <v>221.76</v>
      </c>
      <c r="F3735" s="4">
        <f t="shared" si="255"/>
        <v>26.207999999999998</v>
      </c>
      <c r="G3735" s="5">
        <f t="shared" si="256"/>
        <v>0.1056910569105691</v>
      </c>
      <c r="H3735" s="2" t="s">
        <v>5</v>
      </c>
      <c r="I3735" s="6" t="s">
        <v>2300</v>
      </c>
      <c r="J3735" s="2" t="s">
        <v>5</v>
      </c>
      <c r="K3735" s="2" t="s">
        <v>5</v>
      </c>
      <c r="L3735" s="2" t="s">
        <v>5</v>
      </c>
      <c r="M3735" s="2" t="s">
        <v>5</v>
      </c>
      <c r="N3735" s="4">
        <v>0</v>
      </c>
    </row>
    <row r="3736" spans="1:14" x14ac:dyDescent="0.25">
      <c r="A3736" s="2" t="s">
        <v>22</v>
      </c>
      <c r="B3736" s="2" t="s">
        <v>23</v>
      </c>
      <c r="C3736" s="3">
        <v>19.12</v>
      </c>
      <c r="D3736" s="4">
        <v>292.91840000000002</v>
      </c>
      <c r="E3736" s="4">
        <v>210.32</v>
      </c>
      <c r="F3736" s="4">
        <f t="shared" si="255"/>
        <v>82.598400000000026</v>
      </c>
      <c r="G3736" s="5">
        <f t="shared" si="256"/>
        <v>0.28198433420365543</v>
      </c>
      <c r="H3736" s="2" t="s">
        <v>5</v>
      </c>
      <c r="I3736" s="6" t="s">
        <v>2300</v>
      </c>
      <c r="J3736" s="2" t="s">
        <v>5</v>
      </c>
      <c r="K3736" s="2" t="s">
        <v>5</v>
      </c>
      <c r="L3736" s="2" t="s">
        <v>5</v>
      </c>
      <c r="M3736" s="2" t="s">
        <v>5</v>
      </c>
      <c r="N3736" s="4">
        <v>0</v>
      </c>
    </row>
    <row r="3737" spans="1:14" x14ac:dyDescent="0.25">
      <c r="A3737" s="2" t="s">
        <v>22</v>
      </c>
      <c r="B3737" s="2" t="s">
        <v>23</v>
      </c>
      <c r="C3737" s="3">
        <v>14.96</v>
      </c>
      <c r="D3737" s="4">
        <v>229.18719999999999</v>
      </c>
      <c r="E3737" s="4">
        <v>164.56</v>
      </c>
      <c r="F3737" s="4">
        <f t="shared" si="255"/>
        <v>64.627199999999988</v>
      </c>
      <c r="G3737" s="5">
        <f t="shared" si="256"/>
        <v>0.28198433420365532</v>
      </c>
      <c r="H3737" s="2" t="s">
        <v>5</v>
      </c>
      <c r="I3737" s="6" t="s">
        <v>2300</v>
      </c>
      <c r="J3737" s="2" t="s">
        <v>5</v>
      </c>
      <c r="K3737" s="2" t="s">
        <v>5</v>
      </c>
      <c r="L3737" s="2" t="s">
        <v>5</v>
      </c>
      <c r="M3737" s="2" t="s">
        <v>5</v>
      </c>
      <c r="N3737" s="4">
        <v>0</v>
      </c>
    </row>
    <row r="3738" spans="1:14" x14ac:dyDescent="0.25">
      <c r="A3738" s="2" t="s">
        <v>22</v>
      </c>
      <c r="B3738" s="2" t="s">
        <v>23</v>
      </c>
      <c r="C3738" s="3">
        <v>20.16</v>
      </c>
      <c r="D3738" s="4">
        <v>272.76479999999998</v>
      </c>
      <c r="E3738" s="4">
        <v>221.76</v>
      </c>
      <c r="F3738" s="4">
        <f t="shared" si="255"/>
        <v>51.004799999999989</v>
      </c>
      <c r="G3738" s="5">
        <f t="shared" si="256"/>
        <v>0.18699186991869915</v>
      </c>
      <c r="H3738" s="2" t="s">
        <v>5</v>
      </c>
      <c r="I3738" s="6" t="s">
        <v>2300</v>
      </c>
      <c r="J3738" s="2" t="s">
        <v>5</v>
      </c>
      <c r="K3738" s="2" t="s">
        <v>5</v>
      </c>
      <c r="L3738" s="2" t="s">
        <v>5</v>
      </c>
      <c r="M3738" s="2" t="s">
        <v>5</v>
      </c>
      <c r="N3738" s="4">
        <v>0</v>
      </c>
    </row>
    <row r="3739" spans="1:14" x14ac:dyDescent="0.25">
      <c r="A3739" s="2" t="s">
        <v>22</v>
      </c>
      <c r="B3739" s="2" t="s">
        <v>23</v>
      </c>
      <c r="C3739" s="3">
        <v>44.96</v>
      </c>
      <c r="D3739" s="4">
        <v>553.00800000000004</v>
      </c>
      <c r="E3739" s="4">
        <v>494.56</v>
      </c>
      <c r="F3739" s="4">
        <f t="shared" si="255"/>
        <v>58.448000000000036</v>
      </c>
      <c r="G3739" s="5">
        <f t="shared" si="256"/>
        <v>0.10569105691056917</v>
      </c>
      <c r="H3739" s="2" t="s">
        <v>5</v>
      </c>
      <c r="I3739" s="6" t="s">
        <v>2300</v>
      </c>
      <c r="J3739" s="2" t="s">
        <v>5</v>
      </c>
      <c r="K3739" s="2" t="s">
        <v>5</v>
      </c>
      <c r="L3739" s="2" t="s">
        <v>5</v>
      </c>
      <c r="M3739" s="2" t="s">
        <v>5</v>
      </c>
      <c r="N3739" s="4">
        <v>0</v>
      </c>
    </row>
    <row r="3740" spans="1:14" x14ac:dyDescent="0.25">
      <c r="A3740" s="2" t="s">
        <v>22</v>
      </c>
      <c r="B3740" s="2" t="s">
        <v>23</v>
      </c>
      <c r="C3740" s="3">
        <v>30.02</v>
      </c>
      <c r="D3740" s="4">
        <v>419.37939999999998</v>
      </c>
      <c r="E3740" s="4">
        <v>330.22</v>
      </c>
      <c r="F3740" s="4">
        <f t="shared" si="255"/>
        <v>89.159399999999948</v>
      </c>
      <c r="G3740" s="5">
        <f t="shared" si="256"/>
        <v>0.21259842519685029</v>
      </c>
      <c r="H3740" s="2" t="s">
        <v>5</v>
      </c>
      <c r="I3740" s="6" t="s">
        <v>2300</v>
      </c>
      <c r="J3740" s="2" t="s">
        <v>5</v>
      </c>
      <c r="K3740" s="2" t="s">
        <v>5</v>
      </c>
      <c r="L3740" s="2" t="s">
        <v>5</v>
      </c>
      <c r="M3740" s="2" t="s">
        <v>5</v>
      </c>
      <c r="N3740" s="4">
        <v>0</v>
      </c>
    </row>
    <row r="3741" spans="1:14" x14ac:dyDescent="0.25">
      <c r="A3741" s="2" t="s">
        <v>22</v>
      </c>
      <c r="B3741" s="2" t="s">
        <v>23</v>
      </c>
      <c r="C3741" s="3">
        <v>42.55</v>
      </c>
      <c r="D3741" s="4">
        <v>625.48500000000001</v>
      </c>
      <c r="E3741" s="4">
        <v>468.05</v>
      </c>
      <c r="F3741" s="4">
        <f t="shared" si="255"/>
        <v>157.435</v>
      </c>
      <c r="G3741" s="5">
        <f t="shared" si="256"/>
        <v>0.25170068027210885</v>
      </c>
      <c r="H3741" s="2" t="s">
        <v>5</v>
      </c>
      <c r="I3741" s="6" t="s">
        <v>2300</v>
      </c>
      <c r="J3741" s="2" t="s">
        <v>5</v>
      </c>
      <c r="K3741" s="2" t="s">
        <v>5</v>
      </c>
      <c r="L3741" s="2" t="s">
        <v>5</v>
      </c>
      <c r="M3741" s="2" t="s">
        <v>5</v>
      </c>
      <c r="N3741" s="4">
        <v>0</v>
      </c>
    </row>
    <row r="3742" spans="1:14" x14ac:dyDescent="0.25">
      <c r="A3742" s="2" t="s">
        <v>22</v>
      </c>
      <c r="B3742" s="2" t="s">
        <v>23</v>
      </c>
      <c r="C3742" s="3">
        <v>42.65</v>
      </c>
      <c r="D3742" s="4">
        <v>526.72749999999996</v>
      </c>
      <c r="E3742" s="4">
        <v>469.15</v>
      </c>
      <c r="F3742" s="4">
        <f t="shared" si="255"/>
        <v>57.577499999999986</v>
      </c>
      <c r="G3742" s="5">
        <f t="shared" si="256"/>
        <v>0.10931174089068824</v>
      </c>
      <c r="H3742" s="2" t="s">
        <v>5</v>
      </c>
      <c r="I3742" s="6" t="s">
        <v>2300</v>
      </c>
      <c r="J3742" s="2" t="s">
        <v>5</v>
      </c>
      <c r="K3742" s="2" t="s">
        <v>5</v>
      </c>
      <c r="L3742" s="2" t="s">
        <v>5</v>
      </c>
      <c r="M3742" s="2" t="s">
        <v>5</v>
      </c>
      <c r="N3742" s="4">
        <v>0</v>
      </c>
    </row>
    <row r="3743" spans="1:14" x14ac:dyDescent="0.25">
      <c r="A3743" s="2" t="s">
        <v>22</v>
      </c>
      <c r="B3743" s="2" t="s">
        <v>23</v>
      </c>
      <c r="C3743" s="3">
        <v>87.35</v>
      </c>
      <c r="D3743" s="4">
        <v>1121.5740000000001</v>
      </c>
      <c r="E3743" s="4">
        <v>960.85</v>
      </c>
      <c r="F3743" s="4">
        <f t="shared" si="255"/>
        <v>160.72400000000005</v>
      </c>
      <c r="G3743" s="5">
        <f t="shared" si="256"/>
        <v>0.1433021806853583</v>
      </c>
      <c r="H3743" s="2" t="s">
        <v>5</v>
      </c>
      <c r="I3743" s="6" t="s">
        <v>2300</v>
      </c>
      <c r="J3743" s="2" t="s">
        <v>5</v>
      </c>
      <c r="K3743" s="2" t="s">
        <v>5</v>
      </c>
      <c r="L3743" s="2" t="s">
        <v>5</v>
      </c>
      <c r="M3743" s="2" t="s">
        <v>5</v>
      </c>
      <c r="N3743" s="4">
        <v>0</v>
      </c>
    </row>
    <row r="3744" spans="1:14" x14ac:dyDescent="0.25">
      <c r="A3744" s="2" t="s">
        <v>22</v>
      </c>
      <c r="B3744" s="2" t="s">
        <v>23</v>
      </c>
      <c r="C3744" s="3">
        <v>102.51</v>
      </c>
      <c r="D3744" s="4">
        <v>1386.9603</v>
      </c>
      <c r="E3744" s="4">
        <v>1127.6099999999999</v>
      </c>
      <c r="F3744" s="4">
        <f t="shared" si="255"/>
        <v>259.35030000000006</v>
      </c>
      <c r="G3744" s="5">
        <f t="shared" si="256"/>
        <v>0.18699186991869923</v>
      </c>
      <c r="H3744" s="2" t="s">
        <v>5</v>
      </c>
      <c r="I3744" s="6" t="s">
        <v>2300</v>
      </c>
      <c r="J3744" s="2" t="s">
        <v>5</v>
      </c>
      <c r="K3744" s="2" t="s">
        <v>5</v>
      </c>
      <c r="L3744" s="2" t="s">
        <v>5</v>
      </c>
      <c r="M3744" s="2" t="s">
        <v>5</v>
      </c>
      <c r="N3744" s="4">
        <v>0</v>
      </c>
    </row>
    <row r="3745" spans="1:14" x14ac:dyDescent="0.25">
      <c r="A3745" s="2" t="s">
        <v>22</v>
      </c>
      <c r="B3745" s="2" t="s">
        <v>23</v>
      </c>
      <c r="C3745" s="3">
        <v>10.4</v>
      </c>
      <c r="D3745" s="4">
        <v>159.328</v>
      </c>
      <c r="E3745" s="4">
        <v>114.4</v>
      </c>
      <c r="F3745" s="4">
        <f t="shared" ref="F3745:F3808" si="257">D3745-E3745</f>
        <v>44.927999999999997</v>
      </c>
      <c r="G3745" s="5">
        <f t="shared" ref="G3745:G3808" si="258">IF(((D3745)=0),0,(D3745-E3745)/ D3745)</f>
        <v>0.28198433420365532</v>
      </c>
      <c r="H3745" s="2" t="s">
        <v>5</v>
      </c>
      <c r="I3745" s="6" t="s">
        <v>2300</v>
      </c>
      <c r="J3745" s="2" t="s">
        <v>5</v>
      </c>
      <c r="K3745" s="2" t="s">
        <v>5</v>
      </c>
      <c r="L3745" s="2" t="s">
        <v>5</v>
      </c>
      <c r="M3745" s="2" t="s">
        <v>5</v>
      </c>
      <c r="N3745" s="4">
        <v>0</v>
      </c>
    </row>
    <row r="3746" spans="1:14" x14ac:dyDescent="0.25">
      <c r="A3746" s="2" t="s">
        <v>22</v>
      </c>
      <c r="B3746" s="2" t="s">
        <v>23</v>
      </c>
      <c r="C3746" s="3">
        <v>60.88</v>
      </c>
      <c r="D3746" s="4">
        <v>781.69920000000002</v>
      </c>
      <c r="E3746" s="4">
        <v>669.68</v>
      </c>
      <c r="F3746" s="4">
        <f t="shared" si="257"/>
        <v>112.01920000000007</v>
      </c>
      <c r="G3746" s="5">
        <f t="shared" si="258"/>
        <v>0.14330218068535833</v>
      </c>
      <c r="H3746" s="2" t="s">
        <v>5</v>
      </c>
      <c r="I3746" s="6" t="s">
        <v>2300</v>
      </c>
      <c r="J3746" s="2" t="s">
        <v>5</v>
      </c>
      <c r="K3746" s="2" t="s">
        <v>5</v>
      </c>
      <c r="L3746" s="2" t="s">
        <v>5</v>
      </c>
      <c r="M3746" s="2" t="s">
        <v>5</v>
      </c>
      <c r="N3746" s="4">
        <v>0</v>
      </c>
    </row>
    <row r="3747" spans="1:14" x14ac:dyDescent="0.25">
      <c r="A3747" s="2" t="s">
        <v>22</v>
      </c>
      <c r="B3747" s="2" t="s">
        <v>23</v>
      </c>
      <c r="C3747" s="3">
        <v>31.35</v>
      </c>
      <c r="D3747" s="4">
        <v>439.52699999999999</v>
      </c>
      <c r="E3747" s="4">
        <v>344.85</v>
      </c>
      <c r="F3747" s="4">
        <f t="shared" si="257"/>
        <v>94.676999999999964</v>
      </c>
      <c r="G3747" s="5">
        <f t="shared" si="258"/>
        <v>0.21540656205420819</v>
      </c>
      <c r="H3747" s="2" t="s">
        <v>5</v>
      </c>
      <c r="I3747" s="6" t="s">
        <v>2300</v>
      </c>
      <c r="J3747" s="2" t="s">
        <v>5</v>
      </c>
      <c r="K3747" s="2" t="s">
        <v>5</v>
      </c>
      <c r="L3747" s="2" t="s">
        <v>5</v>
      </c>
      <c r="M3747" s="2" t="s">
        <v>5</v>
      </c>
      <c r="N3747" s="4">
        <v>0</v>
      </c>
    </row>
    <row r="3748" spans="1:14" x14ac:dyDescent="0.25">
      <c r="A3748" s="2" t="s">
        <v>22</v>
      </c>
      <c r="B3748" s="2" t="s">
        <v>23</v>
      </c>
      <c r="C3748" s="3">
        <v>29.44</v>
      </c>
      <c r="D3748" s="4">
        <v>451.02080000000001</v>
      </c>
      <c r="E3748" s="4">
        <v>323.83999999999997</v>
      </c>
      <c r="F3748" s="4">
        <f t="shared" si="257"/>
        <v>127.18080000000003</v>
      </c>
      <c r="G3748" s="5">
        <f t="shared" si="258"/>
        <v>0.28198433420365543</v>
      </c>
      <c r="H3748" s="2" t="s">
        <v>5</v>
      </c>
      <c r="I3748" s="6" t="s">
        <v>2300</v>
      </c>
      <c r="J3748" s="2" t="s">
        <v>5</v>
      </c>
      <c r="K3748" s="2" t="s">
        <v>5</v>
      </c>
      <c r="L3748" s="2" t="s">
        <v>5</v>
      </c>
      <c r="M3748" s="2" t="s">
        <v>5</v>
      </c>
      <c r="N3748" s="4">
        <v>0</v>
      </c>
    </row>
    <row r="3749" spans="1:14" x14ac:dyDescent="0.25">
      <c r="A3749" s="2" t="s">
        <v>22</v>
      </c>
      <c r="B3749" s="2" t="s">
        <v>23</v>
      </c>
      <c r="C3749" s="3">
        <v>28.34</v>
      </c>
      <c r="D3749" s="4">
        <v>383.4402</v>
      </c>
      <c r="E3749" s="4">
        <v>311.74</v>
      </c>
      <c r="F3749" s="4">
        <f t="shared" si="257"/>
        <v>71.700199999999995</v>
      </c>
      <c r="G3749" s="5">
        <f t="shared" si="258"/>
        <v>0.18699186991869918</v>
      </c>
      <c r="H3749" s="2" t="s">
        <v>5</v>
      </c>
      <c r="I3749" s="6" t="s">
        <v>2300</v>
      </c>
      <c r="J3749" s="2" t="s">
        <v>5</v>
      </c>
      <c r="K3749" s="2" t="s">
        <v>5</v>
      </c>
      <c r="L3749" s="2" t="s">
        <v>5</v>
      </c>
      <c r="M3749" s="2" t="s">
        <v>5</v>
      </c>
      <c r="N3749" s="4">
        <v>0</v>
      </c>
    </row>
    <row r="3750" spans="1:14" x14ac:dyDescent="0.25">
      <c r="A3750" s="2" t="s">
        <v>22</v>
      </c>
      <c r="B3750" s="2" t="s">
        <v>23</v>
      </c>
      <c r="C3750" s="3">
        <v>4.3099999999999996</v>
      </c>
      <c r="D3750" s="4">
        <v>66.029200000000003</v>
      </c>
      <c r="E3750" s="4">
        <v>47.41</v>
      </c>
      <c r="F3750" s="4">
        <f t="shared" si="257"/>
        <v>18.619200000000006</v>
      </c>
      <c r="G3750" s="5">
        <f t="shared" si="258"/>
        <v>0.28198433420365543</v>
      </c>
      <c r="H3750" s="2" t="s">
        <v>5</v>
      </c>
      <c r="I3750" s="6" t="s">
        <v>2300</v>
      </c>
      <c r="J3750" s="2" t="s">
        <v>5</v>
      </c>
      <c r="K3750" s="2" t="s">
        <v>5</v>
      </c>
      <c r="L3750" s="2" t="s">
        <v>5</v>
      </c>
      <c r="M3750" s="2" t="s">
        <v>5</v>
      </c>
      <c r="N3750" s="4">
        <v>0</v>
      </c>
    </row>
    <row r="3751" spans="1:14" x14ac:dyDescent="0.25">
      <c r="A3751" s="2" t="s">
        <v>22</v>
      </c>
      <c r="B3751" s="2" t="s">
        <v>23</v>
      </c>
      <c r="C3751" s="3">
        <v>46.35</v>
      </c>
      <c r="D3751" s="4">
        <v>621.09</v>
      </c>
      <c r="E3751" s="4">
        <v>509.85</v>
      </c>
      <c r="F3751" s="4">
        <f t="shared" si="257"/>
        <v>111.24000000000001</v>
      </c>
      <c r="G3751" s="5">
        <f t="shared" si="258"/>
        <v>0.17910447761194032</v>
      </c>
      <c r="H3751" s="2" t="s">
        <v>5</v>
      </c>
      <c r="I3751" s="6" t="s">
        <v>2300</v>
      </c>
      <c r="J3751" s="2" t="s">
        <v>5</v>
      </c>
      <c r="K3751" s="2" t="s">
        <v>5</v>
      </c>
      <c r="L3751" s="2" t="s">
        <v>5</v>
      </c>
      <c r="M3751" s="2" t="s">
        <v>5</v>
      </c>
      <c r="N3751" s="4">
        <v>0</v>
      </c>
    </row>
    <row r="3752" spans="1:14" x14ac:dyDescent="0.25">
      <c r="A3752" s="2" t="s">
        <v>22</v>
      </c>
      <c r="B3752" s="2" t="s">
        <v>23</v>
      </c>
      <c r="C3752" s="3">
        <v>48.83</v>
      </c>
      <c r="D3752" s="4">
        <v>682.15509999999995</v>
      </c>
      <c r="E3752" s="4">
        <v>537.13</v>
      </c>
      <c r="F3752" s="4">
        <f t="shared" si="257"/>
        <v>145.02509999999995</v>
      </c>
      <c r="G3752" s="5">
        <f t="shared" si="258"/>
        <v>0.21259842519685035</v>
      </c>
      <c r="H3752" s="2" t="s">
        <v>5</v>
      </c>
      <c r="I3752" s="6" t="s">
        <v>2300</v>
      </c>
      <c r="J3752" s="2" t="s">
        <v>5</v>
      </c>
      <c r="K3752" s="2" t="s">
        <v>5</v>
      </c>
      <c r="L3752" s="2" t="s">
        <v>5</v>
      </c>
      <c r="M3752" s="2" t="s">
        <v>5</v>
      </c>
      <c r="N3752" s="4">
        <v>0</v>
      </c>
    </row>
    <row r="3753" spans="1:14" x14ac:dyDescent="0.25">
      <c r="A3753" s="2" t="s">
        <v>22</v>
      </c>
      <c r="B3753" s="2" t="s">
        <v>23</v>
      </c>
      <c r="C3753" s="3">
        <v>19</v>
      </c>
      <c r="D3753" s="4">
        <v>243.2</v>
      </c>
      <c r="E3753" s="4">
        <v>209</v>
      </c>
      <c r="F3753" s="4">
        <f t="shared" si="257"/>
        <v>34.199999999999989</v>
      </c>
      <c r="G3753" s="5">
        <f t="shared" si="258"/>
        <v>0.14062499999999997</v>
      </c>
      <c r="H3753" s="2" t="s">
        <v>5</v>
      </c>
      <c r="I3753" s="6" t="s">
        <v>2300</v>
      </c>
      <c r="J3753" s="2" t="s">
        <v>5</v>
      </c>
      <c r="K3753" s="2" t="s">
        <v>5</v>
      </c>
      <c r="L3753" s="2" t="s">
        <v>5</v>
      </c>
      <c r="M3753" s="2" t="s">
        <v>5</v>
      </c>
      <c r="N3753" s="4">
        <v>0</v>
      </c>
    </row>
    <row r="3754" spans="1:14" x14ac:dyDescent="0.25">
      <c r="A3754" s="2" t="s">
        <v>22</v>
      </c>
      <c r="B3754" s="2" t="s">
        <v>23</v>
      </c>
      <c r="C3754" s="3">
        <v>5.44</v>
      </c>
      <c r="D3754" s="4">
        <v>79.532799999999995</v>
      </c>
      <c r="E3754" s="4">
        <v>59.84</v>
      </c>
      <c r="F3754" s="4">
        <f t="shared" si="257"/>
        <v>19.692799999999991</v>
      </c>
      <c r="G3754" s="5">
        <f t="shared" si="258"/>
        <v>0.24760601915184668</v>
      </c>
      <c r="H3754" s="2" t="s">
        <v>5</v>
      </c>
      <c r="I3754" s="6" t="s">
        <v>2300</v>
      </c>
      <c r="J3754" s="2" t="s">
        <v>5</v>
      </c>
      <c r="K3754" s="2" t="s">
        <v>5</v>
      </c>
      <c r="L3754" s="2" t="s">
        <v>5</v>
      </c>
      <c r="M3754" s="2" t="s">
        <v>5</v>
      </c>
      <c r="N3754" s="4">
        <v>0</v>
      </c>
    </row>
    <row r="3755" spans="1:14" x14ac:dyDescent="0.25">
      <c r="A3755" s="2" t="s">
        <v>22</v>
      </c>
      <c r="B3755" s="2" t="s">
        <v>23</v>
      </c>
      <c r="C3755" s="3">
        <v>143.1</v>
      </c>
      <c r="D3755" s="4">
        <v>1936.143</v>
      </c>
      <c r="E3755" s="4">
        <v>1574.1</v>
      </c>
      <c r="F3755" s="4">
        <f t="shared" si="257"/>
        <v>362.04300000000012</v>
      </c>
      <c r="G3755" s="5">
        <f t="shared" si="258"/>
        <v>0.18699186991869923</v>
      </c>
      <c r="H3755" s="2" t="s">
        <v>5</v>
      </c>
      <c r="I3755" s="6" t="s">
        <v>2300</v>
      </c>
      <c r="J3755" s="2" t="s">
        <v>5</v>
      </c>
      <c r="K3755" s="2" t="s">
        <v>5</v>
      </c>
      <c r="L3755" s="2" t="s">
        <v>5</v>
      </c>
      <c r="M3755" s="2" t="s">
        <v>5</v>
      </c>
      <c r="N3755" s="4">
        <v>0</v>
      </c>
    </row>
    <row r="3756" spans="1:14" x14ac:dyDescent="0.25">
      <c r="A3756" s="2" t="s">
        <v>22</v>
      </c>
      <c r="B3756" s="2" t="s">
        <v>23</v>
      </c>
      <c r="C3756" s="3">
        <v>38.799999999999997</v>
      </c>
      <c r="D3756" s="4">
        <v>594.41600000000005</v>
      </c>
      <c r="E3756" s="4">
        <v>426.8</v>
      </c>
      <c r="F3756" s="4">
        <f t="shared" si="257"/>
        <v>167.61600000000004</v>
      </c>
      <c r="G3756" s="5">
        <f t="shared" si="258"/>
        <v>0.28198433420365537</v>
      </c>
      <c r="H3756" s="2" t="s">
        <v>5</v>
      </c>
      <c r="I3756" s="6" t="s">
        <v>2300</v>
      </c>
      <c r="J3756" s="2" t="s">
        <v>5</v>
      </c>
      <c r="K3756" s="2" t="s">
        <v>5</v>
      </c>
      <c r="L3756" s="2" t="s">
        <v>5</v>
      </c>
      <c r="M3756" s="2" t="s">
        <v>5</v>
      </c>
      <c r="N3756" s="4">
        <v>0</v>
      </c>
    </row>
    <row r="3757" spans="1:14" x14ac:dyDescent="0.25">
      <c r="A3757" s="2" t="s">
        <v>22</v>
      </c>
      <c r="B3757" s="2" t="s">
        <v>23</v>
      </c>
      <c r="C3757" s="3">
        <v>6.16</v>
      </c>
      <c r="D3757" s="4">
        <v>94.371200000000002</v>
      </c>
      <c r="E3757" s="4">
        <v>67.760000000000005</v>
      </c>
      <c r="F3757" s="4">
        <f t="shared" si="257"/>
        <v>26.611199999999997</v>
      </c>
      <c r="G3757" s="5">
        <f t="shared" si="258"/>
        <v>0.28198433420365532</v>
      </c>
      <c r="H3757" s="2" t="s">
        <v>5</v>
      </c>
      <c r="I3757" s="6" t="s">
        <v>2300</v>
      </c>
      <c r="J3757" s="2" t="s">
        <v>5</v>
      </c>
      <c r="K3757" s="2" t="s">
        <v>5</v>
      </c>
      <c r="L3757" s="2" t="s">
        <v>5</v>
      </c>
      <c r="M3757" s="2" t="s">
        <v>5</v>
      </c>
      <c r="N3757" s="4">
        <v>0</v>
      </c>
    </row>
    <row r="3758" spans="1:14" x14ac:dyDescent="0.25">
      <c r="A3758" s="2" t="s">
        <v>22</v>
      </c>
      <c r="B3758" s="2" t="s">
        <v>23</v>
      </c>
      <c r="C3758" s="3">
        <v>14.52</v>
      </c>
      <c r="D3758" s="4">
        <v>222.44640000000001</v>
      </c>
      <c r="E3758" s="4">
        <v>159.72</v>
      </c>
      <c r="F3758" s="4">
        <f t="shared" si="257"/>
        <v>62.726400000000012</v>
      </c>
      <c r="G3758" s="5">
        <f t="shared" si="258"/>
        <v>0.28198433420365537</v>
      </c>
      <c r="H3758" s="2" t="s">
        <v>5</v>
      </c>
      <c r="I3758" s="6" t="s">
        <v>2300</v>
      </c>
      <c r="J3758" s="2" t="s">
        <v>5</v>
      </c>
      <c r="K3758" s="2" t="s">
        <v>5</v>
      </c>
      <c r="L3758" s="2" t="s">
        <v>5</v>
      </c>
      <c r="M3758" s="2" t="s">
        <v>5</v>
      </c>
      <c r="N3758" s="4">
        <v>0</v>
      </c>
    </row>
    <row r="3759" spans="1:14" x14ac:dyDescent="0.25">
      <c r="A3759" s="2" t="s">
        <v>22</v>
      </c>
      <c r="B3759" s="2" t="s">
        <v>23</v>
      </c>
      <c r="C3759" s="3">
        <v>15.02</v>
      </c>
      <c r="D3759" s="4">
        <v>230.10640000000001</v>
      </c>
      <c r="E3759" s="4">
        <v>165.22</v>
      </c>
      <c r="F3759" s="4">
        <f t="shared" si="257"/>
        <v>64.886400000000009</v>
      </c>
      <c r="G3759" s="5">
        <f t="shared" si="258"/>
        <v>0.28198433420365537</v>
      </c>
      <c r="H3759" s="2" t="s">
        <v>5</v>
      </c>
      <c r="I3759" s="6" t="s">
        <v>2300</v>
      </c>
      <c r="J3759" s="2" t="s">
        <v>5</v>
      </c>
      <c r="K3759" s="2" t="s">
        <v>5</v>
      </c>
      <c r="L3759" s="2" t="s">
        <v>5</v>
      </c>
      <c r="M3759" s="2" t="s">
        <v>5</v>
      </c>
      <c r="N3759" s="4">
        <v>0</v>
      </c>
    </row>
    <row r="3760" spans="1:14" x14ac:dyDescent="0.25">
      <c r="A3760" s="2" t="s">
        <v>22</v>
      </c>
      <c r="B3760" s="2" t="s">
        <v>23</v>
      </c>
      <c r="C3760" s="3">
        <v>20.07</v>
      </c>
      <c r="D3760" s="4">
        <v>307.47239999999999</v>
      </c>
      <c r="E3760" s="4">
        <v>220.77</v>
      </c>
      <c r="F3760" s="4">
        <f t="shared" si="257"/>
        <v>86.702399999999983</v>
      </c>
      <c r="G3760" s="5">
        <f t="shared" si="258"/>
        <v>0.28198433420365532</v>
      </c>
      <c r="H3760" s="2" t="s">
        <v>5</v>
      </c>
      <c r="I3760" s="6" t="s">
        <v>2300</v>
      </c>
      <c r="J3760" s="2" t="s">
        <v>5</v>
      </c>
      <c r="K3760" s="2" t="s">
        <v>5</v>
      </c>
      <c r="L3760" s="2" t="s">
        <v>5</v>
      </c>
      <c r="M3760" s="2" t="s">
        <v>5</v>
      </c>
      <c r="N3760" s="4">
        <v>0</v>
      </c>
    </row>
    <row r="3761" spans="1:14" x14ac:dyDescent="0.25">
      <c r="A3761" s="2" t="s">
        <v>22</v>
      </c>
      <c r="B3761" s="2" t="s">
        <v>23</v>
      </c>
      <c r="C3761" s="3">
        <v>10.31</v>
      </c>
      <c r="D3761" s="4">
        <v>157.94919999999999</v>
      </c>
      <c r="E3761" s="4">
        <v>113.41</v>
      </c>
      <c r="F3761" s="4">
        <f t="shared" si="257"/>
        <v>44.539199999999994</v>
      </c>
      <c r="G3761" s="5">
        <f t="shared" si="258"/>
        <v>0.28198433420365532</v>
      </c>
      <c r="H3761" s="2" t="s">
        <v>5</v>
      </c>
      <c r="I3761" s="6" t="s">
        <v>2300</v>
      </c>
      <c r="J3761" s="2" t="s">
        <v>5</v>
      </c>
      <c r="K3761" s="2" t="s">
        <v>5</v>
      </c>
      <c r="L3761" s="2" t="s">
        <v>5</v>
      </c>
      <c r="M3761" s="2" t="s">
        <v>5</v>
      </c>
      <c r="N3761" s="4">
        <v>0</v>
      </c>
    </row>
    <row r="3762" spans="1:14" x14ac:dyDescent="0.25">
      <c r="A3762" s="2" t="s">
        <v>29</v>
      </c>
      <c r="B3762" s="2" t="s">
        <v>30</v>
      </c>
      <c r="C3762" s="3">
        <v>15.359</v>
      </c>
      <c r="D3762" s="4">
        <v>235.29988</v>
      </c>
      <c r="E3762" s="4">
        <v>153.59</v>
      </c>
      <c r="F3762" s="4">
        <f t="shared" si="257"/>
        <v>81.709879999999998</v>
      </c>
      <c r="G3762" s="5">
        <f t="shared" si="258"/>
        <v>0.3472584856396867</v>
      </c>
      <c r="H3762" s="2" t="s">
        <v>5</v>
      </c>
      <c r="I3762" s="6" t="s">
        <v>2300</v>
      </c>
      <c r="J3762" s="2" t="s">
        <v>5</v>
      </c>
      <c r="K3762" s="2" t="s">
        <v>5</v>
      </c>
      <c r="L3762" s="2" t="s">
        <v>5</v>
      </c>
      <c r="M3762" s="2" t="s">
        <v>5</v>
      </c>
      <c r="N3762" s="4">
        <v>0</v>
      </c>
    </row>
    <row r="3763" spans="1:14" x14ac:dyDescent="0.25">
      <c r="A3763" s="2" t="s">
        <v>29</v>
      </c>
      <c r="B3763" s="2" t="s">
        <v>30</v>
      </c>
      <c r="C3763" s="3">
        <v>6.1139999999999999</v>
      </c>
      <c r="D3763" s="4">
        <v>93.666480000000007</v>
      </c>
      <c r="E3763" s="4">
        <v>61.14</v>
      </c>
      <c r="F3763" s="4">
        <f t="shared" si="257"/>
        <v>32.526480000000006</v>
      </c>
      <c r="G3763" s="5">
        <f t="shared" si="258"/>
        <v>0.34725848563968675</v>
      </c>
      <c r="H3763" s="2" t="s">
        <v>5</v>
      </c>
      <c r="I3763" s="6" t="s">
        <v>2300</v>
      </c>
      <c r="J3763" s="2" t="s">
        <v>5</v>
      </c>
      <c r="K3763" s="2" t="s">
        <v>5</v>
      </c>
      <c r="L3763" s="2" t="s">
        <v>5</v>
      </c>
      <c r="M3763" s="2" t="s">
        <v>5</v>
      </c>
      <c r="N3763" s="4">
        <v>0</v>
      </c>
    </row>
    <row r="3764" spans="1:14" x14ac:dyDescent="0.25">
      <c r="A3764" s="2" t="s">
        <v>29</v>
      </c>
      <c r="B3764" s="2" t="s">
        <v>30</v>
      </c>
      <c r="C3764" s="3">
        <v>12.03</v>
      </c>
      <c r="D3764" s="4">
        <v>150.375</v>
      </c>
      <c r="E3764" s="4">
        <v>120.3</v>
      </c>
      <c r="F3764" s="4">
        <f t="shared" si="257"/>
        <v>30.075000000000003</v>
      </c>
      <c r="G3764" s="5">
        <f t="shared" si="258"/>
        <v>0.2</v>
      </c>
      <c r="H3764" s="2" t="s">
        <v>5</v>
      </c>
      <c r="I3764" s="6" t="s">
        <v>2300</v>
      </c>
      <c r="J3764" s="2" t="s">
        <v>5</v>
      </c>
      <c r="K3764" s="2" t="s">
        <v>5</v>
      </c>
      <c r="L3764" s="2" t="s">
        <v>5</v>
      </c>
      <c r="M3764" s="2" t="s">
        <v>5</v>
      </c>
      <c r="N3764" s="4">
        <v>0</v>
      </c>
    </row>
    <row r="3765" spans="1:14" x14ac:dyDescent="0.25">
      <c r="A3765" s="2" t="s">
        <v>29</v>
      </c>
      <c r="B3765" s="2" t="s">
        <v>30</v>
      </c>
      <c r="C3765" s="3">
        <v>4</v>
      </c>
      <c r="D3765" s="4">
        <v>61.28</v>
      </c>
      <c r="E3765" s="4">
        <v>40</v>
      </c>
      <c r="F3765" s="4">
        <f t="shared" si="257"/>
        <v>21.28</v>
      </c>
      <c r="G3765" s="5">
        <f t="shared" si="258"/>
        <v>0.3472584856396867</v>
      </c>
      <c r="H3765" s="2" t="s">
        <v>5</v>
      </c>
      <c r="I3765" s="6" t="s">
        <v>2300</v>
      </c>
      <c r="J3765" s="2" t="s">
        <v>5</v>
      </c>
      <c r="K3765" s="2" t="s">
        <v>5</v>
      </c>
      <c r="L3765" s="2" t="s">
        <v>5</v>
      </c>
      <c r="M3765" s="2" t="s">
        <v>5</v>
      </c>
      <c r="N3765" s="4">
        <v>0</v>
      </c>
    </row>
    <row r="3766" spans="1:14" x14ac:dyDescent="0.25">
      <c r="A3766" s="2" t="s">
        <v>29</v>
      </c>
      <c r="B3766" s="2" t="s">
        <v>30</v>
      </c>
      <c r="C3766" s="3">
        <v>10.15</v>
      </c>
      <c r="D3766" s="4">
        <v>150.22</v>
      </c>
      <c r="E3766" s="4">
        <v>101.5</v>
      </c>
      <c r="F3766" s="4">
        <f t="shared" si="257"/>
        <v>48.72</v>
      </c>
      <c r="G3766" s="5">
        <f t="shared" si="258"/>
        <v>0.32432432432432434</v>
      </c>
      <c r="H3766" s="2" t="s">
        <v>5</v>
      </c>
      <c r="I3766" s="6" t="s">
        <v>2300</v>
      </c>
      <c r="J3766" s="2" t="s">
        <v>5</v>
      </c>
      <c r="K3766" s="2" t="s">
        <v>5</v>
      </c>
      <c r="L3766" s="2" t="s">
        <v>5</v>
      </c>
      <c r="M3766" s="2" t="s">
        <v>5</v>
      </c>
      <c r="N3766" s="4">
        <v>0</v>
      </c>
    </row>
    <row r="3767" spans="1:14" x14ac:dyDescent="0.25">
      <c r="A3767" s="2" t="s">
        <v>29</v>
      </c>
      <c r="B3767" s="2" t="s">
        <v>30</v>
      </c>
      <c r="C3767" s="3">
        <v>28.105</v>
      </c>
      <c r="D3767" s="4">
        <v>364.24079999999998</v>
      </c>
      <c r="E3767" s="4">
        <v>281.05</v>
      </c>
      <c r="F3767" s="4">
        <f t="shared" si="257"/>
        <v>83.190799999999967</v>
      </c>
      <c r="G3767" s="5">
        <f t="shared" si="258"/>
        <v>0.22839506172839499</v>
      </c>
      <c r="H3767" s="2" t="s">
        <v>5</v>
      </c>
      <c r="I3767" s="6" t="s">
        <v>2300</v>
      </c>
      <c r="J3767" s="2" t="s">
        <v>5</v>
      </c>
      <c r="K3767" s="2" t="s">
        <v>5</v>
      </c>
      <c r="L3767" s="2" t="s">
        <v>5</v>
      </c>
      <c r="M3767" s="2" t="s">
        <v>5</v>
      </c>
      <c r="N3767" s="4">
        <v>0</v>
      </c>
    </row>
    <row r="3768" spans="1:14" x14ac:dyDescent="0.25">
      <c r="A3768" s="2" t="s">
        <v>29</v>
      </c>
      <c r="B3768" s="2" t="s">
        <v>30</v>
      </c>
      <c r="C3768" s="3">
        <v>6.19</v>
      </c>
      <c r="D3768" s="4">
        <v>90.745400000000004</v>
      </c>
      <c r="E3768" s="4">
        <v>61.9</v>
      </c>
      <c r="F3768" s="4">
        <f t="shared" si="257"/>
        <v>28.845400000000005</v>
      </c>
      <c r="G3768" s="5">
        <f t="shared" si="258"/>
        <v>0.31787175989085953</v>
      </c>
      <c r="H3768" s="2" t="s">
        <v>5</v>
      </c>
      <c r="I3768" s="6" t="s">
        <v>2300</v>
      </c>
      <c r="J3768" s="2" t="s">
        <v>5</v>
      </c>
      <c r="K3768" s="2" t="s">
        <v>5</v>
      </c>
      <c r="L3768" s="2" t="s">
        <v>5</v>
      </c>
      <c r="M3768" s="2" t="s">
        <v>5</v>
      </c>
      <c r="N3768" s="4">
        <v>0</v>
      </c>
    </row>
    <row r="3769" spans="1:14" x14ac:dyDescent="0.25">
      <c r="A3769" s="2" t="s">
        <v>29</v>
      </c>
      <c r="B3769" s="2" t="s">
        <v>30</v>
      </c>
      <c r="C3769" s="3">
        <v>5.07</v>
      </c>
      <c r="D3769" s="4">
        <v>77.672399999999996</v>
      </c>
      <c r="E3769" s="4">
        <v>50.7</v>
      </c>
      <c r="F3769" s="4">
        <f t="shared" si="257"/>
        <v>26.972399999999993</v>
      </c>
      <c r="G3769" s="5">
        <f t="shared" si="258"/>
        <v>0.34725848563968659</v>
      </c>
      <c r="H3769" s="2" t="s">
        <v>5</v>
      </c>
      <c r="I3769" s="6" t="s">
        <v>2300</v>
      </c>
      <c r="J3769" s="2" t="s">
        <v>5</v>
      </c>
      <c r="K3769" s="2" t="s">
        <v>5</v>
      </c>
      <c r="L3769" s="2" t="s">
        <v>5</v>
      </c>
      <c r="M3769" s="2" t="s">
        <v>5</v>
      </c>
      <c r="N3769" s="4">
        <v>0</v>
      </c>
    </row>
    <row r="3770" spans="1:14" x14ac:dyDescent="0.25">
      <c r="A3770" s="2" t="s">
        <v>29</v>
      </c>
      <c r="B3770" s="2" t="s">
        <v>30</v>
      </c>
      <c r="C3770" s="3">
        <v>10.15</v>
      </c>
      <c r="D3770" s="4">
        <v>155.49799999999999</v>
      </c>
      <c r="E3770" s="4">
        <v>101.5</v>
      </c>
      <c r="F3770" s="4">
        <f t="shared" si="257"/>
        <v>53.99799999999999</v>
      </c>
      <c r="G3770" s="5">
        <f t="shared" si="258"/>
        <v>0.34725848563968664</v>
      </c>
      <c r="H3770" s="2" t="s">
        <v>5</v>
      </c>
      <c r="I3770" s="6" t="s">
        <v>2300</v>
      </c>
      <c r="J3770" s="2" t="s">
        <v>5</v>
      </c>
      <c r="K3770" s="2" t="s">
        <v>5</v>
      </c>
      <c r="L3770" s="2" t="s">
        <v>5</v>
      </c>
      <c r="M3770" s="2" t="s">
        <v>5</v>
      </c>
      <c r="N3770" s="4">
        <v>0</v>
      </c>
    </row>
    <row r="3771" spans="1:14" x14ac:dyDescent="0.25">
      <c r="A3771" s="2" t="s">
        <v>29</v>
      </c>
      <c r="B3771" s="2" t="s">
        <v>30</v>
      </c>
      <c r="C3771" s="3">
        <v>10</v>
      </c>
      <c r="D3771" s="4">
        <v>153.19999999999999</v>
      </c>
      <c r="E3771" s="4">
        <v>100</v>
      </c>
      <c r="F3771" s="4">
        <f t="shared" si="257"/>
        <v>53.199999999999989</v>
      </c>
      <c r="G3771" s="5">
        <f t="shared" si="258"/>
        <v>0.34725848563968664</v>
      </c>
      <c r="H3771" s="2" t="s">
        <v>5</v>
      </c>
      <c r="I3771" s="6" t="s">
        <v>2300</v>
      </c>
      <c r="J3771" s="2" t="s">
        <v>5</v>
      </c>
      <c r="K3771" s="2" t="s">
        <v>5</v>
      </c>
      <c r="L3771" s="2" t="s">
        <v>5</v>
      </c>
      <c r="M3771" s="2" t="s">
        <v>5</v>
      </c>
      <c r="N3771" s="4">
        <v>0</v>
      </c>
    </row>
    <row r="3772" spans="1:14" x14ac:dyDescent="0.25">
      <c r="A3772" s="2" t="s">
        <v>29</v>
      </c>
      <c r="B3772" s="2" t="s">
        <v>30</v>
      </c>
      <c r="C3772" s="3">
        <v>6.1150000000000002</v>
      </c>
      <c r="D3772" s="4">
        <v>93.681799999999996</v>
      </c>
      <c r="E3772" s="4">
        <v>61.15</v>
      </c>
      <c r="F3772" s="4">
        <f t="shared" si="257"/>
        <v>32.531799999999997</v>
      </c>
      <c r="G3772" s="5">
        <f t="shared" si="258"/>
        <v>0.34725848563968664</v>
      </c>
      <c r="H3772" s="2" t="s">
        <v>5</v>
      </c>
      <c r="I3772" s="6" t="s">
        <v>2300</v>
      </c>
      <c r="J3772" s="2" t="s">
        <v>5</v>
      </c>
      <c r="K3772" s="2" t="s">
        <v>5</v>
      </c>
      <c r="L3772" s="2" t="s">
        <v>5</v>
      </c>
      <c r="M3772" s="2" t="s">
        <v>5</v>
      </c>
      <c r="N3772" s="4">
        <v>0</v>
      </c>
    </row>
    <row r="3773" spans="1:14" x14ac:dyDescent="0.25">
      <c r="A3773" s="2" t="s">
        <v>29</v>
      </c>
      <c r="B3773" s="2" t="s">
        <v>30</v>
      </c>
      <c r="C3773" s="3">
        <v>2</v>
      </c>
      <c r="D3773" s="4">
        <v>29.32</v>
      </c>
      <c r="E3773" s="4">
        <v>20</v>
      </c>
      <c r="F3773" s="4">
        <f t="shared" si="257"/>
        <v>9.32</v>
      </c>
      <c r="G3773" s="5">
        <f t="shared" si="258"/>
        <v>0.31787175989085947</v>
      </c>
      <c r="H3773" s="2" t="s">
        <v>5</v>
      </c>
      <c r="I3773" s="6" t="s">
        <v>2300</v>
      </c>
      <c r="J3773" s="2" t="s">
        <v>5</v>
      </c>
      <c r="K3773" s="2" t="s">
        <v>5</v>
      </c>
      <c r="L3773" s="2" t="s">
        <v>5</v>
      </c>
      <c r="M3773" s="2" t="s">
        <v>5</v>
      </c>
      <c r="N3773" s="4">
        <v>0</v>
      </c>
    </row>
    <row r="3774" spans="1:14" x14ac:dyDescent="0.25">
      <c r="A3774" s="2" t="s">
        <v>29</v>
      </c>
      <c r="B3774" s="2" t="s">
        <v>30</v>
      </c>
      <c r="C3774" s="3">
        <v>8.16</v>
      </c>
      <c r="D3774" s="4">
        <v>125.0112</v>
      </c>
      <c r="E3774" s="4">
        <v>81.599999999999994</v>
      </c>
      <c r="F3774" s="4">
        <f t="shared" si="257"/>
        <v>43.411200000000008</v>
      </c>
      <c r="G3774" s="5">
        <f t="shared" si="258"/>
        <v>0.34725848563968675</v>
      </c>
      <c r="H3774" s="2" t="s">
        <v>5</v>
      </c>
      <c r="I3774" s="6" t="s">
        <v>2300</v>
      </c>
      <c r="J3774" s="2" t="s">
        <v>5</v>
      </c>
      <c r="K3774" s="2" t="s">
        <v>5</v>
      </c>
      <c r="L3774" s="2" t="s">
        <v>5</v>
      </c>
      <c r="M3774" s="2" t="s">
        <v>5</v>
      </c>
      <c r="N3774" s="4">
        <v>0</v>
      </c>
    </row>
    <row r="3775" spans="1:14" x14ac:dyDescent="0.25">
      <c r="A3775" s="2" t="s">
        <v>29</v>
      </c>
      <c r="B3775" s="2" t="s">
        <v>30</v>
      </c>
      <c r="C3775" s="3">
        <v>28.97</v>
      </c>
      <c r="D3775" s="4">
        <v>365.02199999999999</v>
      </c>
      <c r="E3775" s="4">
        <v>289.7</v>
      </c>
      <c r="F3775" s="4">
        <f t="shared" si="257"/>
        <v>75.322000000000003</v>
      </c>
      <c r="G3775" s="5">
        <f t="shared" si="258"/>
        <v>0.20634920634920637</v>
      </c>
      <c r="H3775" s="2" t="s">
        <v>5</v>
      </c>
      <c r="I3775" s="6" t="s">
        <v>2300</v>
      </c>
      <c r="J3775" s="2" t="s">
        <v>5</v>
      </c>
      <c r="K3775" s="2" t="s">
        <v>5</v>
      </c>
      <c r="L3775" s="2" t="s">
        <v>5</v>
      </c>
      <c r="M3775" s="2" t="s">
        <v>5</v>
      </c>
      <c r="N3775" s="4">
        <v>0</v>
      </c>
    </row>
    <row r="3776" spans="1:14" x14ac:dyDescent="0.25">
      <c r="A3776" s="2" t="s">
        <v>29</v>
      </c>
      <c r="B3776" s="2" t="s">
        <v>30</v>
      </c>
      <c r="C3776" s="3">
        <v>14.9</v>
      </c>
      <c r="D3776" s="4">
        <v>190.72</v>
      </c>
      <c r="E3776" s="4">
        <v>149</v>
      </c>
      <c r="F3776" s="4">
        <f t="shared" si="257"/>
        <v>41.72</v>
      </c>
      <c r="G3776" s="5">
        <f t="shared" si="258"/>
        <v>0.21875</v>
      </c>
      <c r="H3776" s="2" t="s">
        <v>5</v>
      </c>
      <c r="I3776" s="6" t="s">
        <v>2300</v>
      </c>
      <c r="J3776" s="2" t="s">
        <v>5</v>
      </c>
      <c r="K3776" s="2" t="s">
        <v>5</v>
      </c>
      <c r="L3776" s="2" t="s">
        <v>5</v>
      </c>
      <c r="M3776" s="2" t="s">
        <v>5</v>
      </c>
      <c r="N3776" s="4">
        <v>0</v>
      </c>
    </row>
    <row r="3777" spans="1:14" x14ac:dyDescent="0.25">
      <c r="A3777" s="2" t="s">
        <v>29</v>
      </c>
      <c r="B3777" s="2" t="s">
        <v>30</v>
      </c>
      <c r="C3777" s="3">
        <v>14.285</v>
      </c>
      <c r="D3777" s="4">
        <v>218.84620000000001</v>
      </c>
      <c r="E3777" s="4">
        <v>142.85</v>
      </c>
      <c r="F3777" s="4">
        <f t="shared" si="257"/>
        <v>75.996200000000016</v>
      </c>
      <c r="G3777" s="5">
        <f t="shared" si="258"/>
        <v>0.34725848563968675</v>
      </c>
      <c r="H3777" s="2" t="s">
        <v>5</v>
      </c>
      <c r="I3777" s="6" t="s">
        <v>2300</v>
      </c>
      <c r="J3777" s="2" t="s">
        <v>5</v>
      </c>
      <c r="K3777" s="2" t="s">
        <v>5</v>
      </c>
      <c r="L3777" s="2" t="s">
        <v>5</v>
      </c>
      <c r="M3777" s="2" t="s">
        <v>5</v>
      </c>
      <c r="N3777" s="4">
        <v>0</v>
      </c>
    </row>
    <row r="3778" spans="1:14" x14ac:dyDescent="0.25">
      <c r="A3778" s="2" t="s">
        <v>29</v>
      </c>
      <c r="B3778" s="2" t="s">
        <v>30</v>
      </c>
      <c r="C3778" s="3">
        <v>20.41</v>
      </c>
      <c r="D3778" s="4">
        <v>287.57690000000002</v>
      </c>
      <c r="E3778" s="4">
        <v>204.1</v>
      </c>
      <c r="F3778" s="4">
        <f t="shared" si="257"/>
        <v>83.476900000000029</v>
      </c>
      <c r="G3778" s="5">
        <f t="shared" si="258"/>
        <v>0.29027679205110013</v>
      </c>
      <c r="H3778" s="2" t="s">
        <v>5</v>
      </c>
      <c r="I3778" s="6" t="s">
        <v>2300</v>
      </c>
      <c r="J3778" s="2" t="s">
        <v>5</v>
      </c>
      <c r="K3778" s="2" t="s">
        <v>5</v>
      </c>
      <c r="L3778" s="2" t="s">
        <v>5</v>
      </c>
      <c r="M3778" s="2" t="s">
        <v>5</v>
      </c>
      <c r="N3778" s="4">
        <v>0</v>
      </c>
    </row>
    <row r="3779" spans="1:14" x14ac:dyDescent="0.25">
      <c r="A3779" s="2" t="s">
        <v>29</v>
      </c>
      <c r="B3779" s="2" t="s">
        <v>30</v>
      </c>
      <c r="C3779" s="3">
        <v>30.54</v>
      </c>
      <c r="D3779" s="4">
        <v>384.80399999999997</v>
      </c>
      <c r="E3779" s="4">
        <v>305.39999999999998</v>
      </c>
      <c r="F3779" s="4">
        <f t="shared" si="257"/>
        <v>79.403999999999996</v>
      </c>
      <c r="G3779" s="5">
        <f t="shared" si="258"/>
        <v>0.20634920634920637</v>
      </c>
      <c r="H3779" s="2" t="s">
        <v>5</v>
      </c>
      <c r="I3779" s="6" t="s">
        <v>2300</v>
      </c>
      <c r="J3779" s="2" t="s">
        <v>5</v>
      </c>
      <c r="K3779" s="2" t="s">
        <v>5</v>
      </c>
      <c r="L3779" s="2" t="s">
        <v>5</v>
      </c>
      <c r="M3779" s="2" t="s">
        <v>5</v>
      </c>
      <c r="N3779" s="4">
        <v>0</v>
      </c>
    </row>
    <row r="3780" spans="1:14" x14ac:dyDescent="0.25">
      <c r="A3780" s="2" t="s">
        <v>29</v>
      </c>
      <c r="B3780" s="2" t="s">
        <v>30</v>
      </c>
      <c r="C3780" s="3">
        <v>20.385000000000002</v>
      </c>
      <c r="D3780" s="4">
        <v>260.928</v>
      </c>
      <c r="E3780" s="4">
        <v>203.85</v>
      </c>
      <c r="F3780" s="4">
        <f t="shared" si="257"/>
        <v>57.078000000000003</v>
      </c>
      <c r="G3780" s="5">
        <f t="shared" si="258"/>
        <v>0.21875</v>
      </c>
      <c r="H3780" s="2" t="s">
        <v>5</v>
      </c>
      <c r="I3780" s="6" t="s">
        <v>2300</v>
      </c>
      <c r="J3780" s="2" t="s">
        <v>5</v>
      </c>
      <c r="K3780" s="2" t="s">
        <v>5</v>
      </c>
      <c r="L3780" s="2" t="s">
        <v>5</v>
      </c>
      <c r="M3780" s="2" t="s">
        <v>5</v>
      </c>
      <c r="N3780" s="4">
        <v>0</v>
      </c>
    </row>
    <row r="3781" spans="1:14" x14ac:dyDescent="0.25">
      <c r="A3781" s="2" t="s">
        <v>29</v>
      </c>
      <c r="B3781" s="2" t="s">
        <v>30</v>
      </c>
      <c r="C3781" s="3">
        <v>2.0219999999999998</v>
      </c>
      <c r="D3781" s="4">
        <v>30.977039999999999</v>
      </c>
      <c r="E3781" s="4">
        <v>20.22</v>
      </c>
      <c r="F3781" s="4">
        <f t="shared" si="257"/>
        <v>10.75704</v>
      </c>
      <c r="G3781" s="5">
        <f t="shared" si="258"/>
        <v>0.3472584856396867</v>
      </c>
      <c r="H3781" s="2" t="s">
        <v>5</v>
      </c>
      <c r="I3781" s="6" t="s">
        <v>2300</v>
      </c>
      <c r="J3781" s="2" t="s">
        <v>5</v>
      </c>
      <c r="K3781" s="2" t="s">
        <v>5</v>
      </c>
      <c r="L3781" s="2" t="s">
        <v>5</v>
      </c>
      <c r="M3781" s="2" t="s">
        <v>5</v>
      </c>
      <c r="N3781" s="4">
        <v>0</v>
      </c>
    </row>
    <row r="3782" spans="1:14" x14ac:dyDescent="0.25">
      <c r="A3782" s="2" t="s">
        <v>29</v>
      </c>
      <c r="B3782" s="2" t="s">
        <v>30</v>
      </c>
      <c r="C3782" s="3">
        <v>4.18</v>
      </c>
      <c r="D3782" s="4">
        <v>64.037599999999998</v>
      </c>
      <c r="E3782" s="4">
        <v>41.8</v>
      </c>
      <c r="F3782" s="4">
        <f t="shared" si="257"/>
        <v>22.2376</v>
      </c>
      <c r="G3782" s="5">
        <f t="shared" si="258"/>
        <v>0.3472584856396867</v>
      </c>
      <c r="H3782" s="2" t="s">
        <v>5</v>
      </c>
      <c r="I3782" s="6" t="s">
        <v>2300</v>
      </c>
      <c r="J3782" s="2" t="s">
        <v>5</v>
      </c>
      <c r="K3782" s="2" t="s">
        <v>5</v>
      </c>
      <c r="L3782" s="2" t="s">
        <v>5</v>
      </c>
      <c r="M3782" s="2" t="s">
        <v>5</v>
      </c>
      <c r="N3782" s="4">
        <v>0</v>
      </c>
    </row>
    <row r="3783" spans="1:14" x14ac:dyDescent="0.25">
      <c r="A3783" s="2" t="s">
        <v>29</v>
      </c>
      <c r="B3783" s="2" t="s">
        <v>30</v>
      </c>
      <c r="C3783" s="3">
        <v>2.0880000000000001</v>
      </c>
      <c r="D3783" s="4">
        <v>31.988160000000001</v>
      </c>
      <c r="E3783" s="4">
        <v>20.88</v>
      </c>
      <c r="F3783" s="4">
        <f t="shared" si="257"/>
        <v>11.108160000000002</v>
      </c>
      <c r="G3783" s="5">
        <f t="shared" si="258"/>
        <v>0.34725848563968675</v>
      </c>
      <c r="H3783" s="2" t="s">
        <v>5</v>
      </c>
      <c r="I3783" s="6" t="s">
        <v>2300</v>
      </c>
      <c r="J3783" s="2" t="s">
        <v>5</v>
      </c>
      <c r="K3783" s="2" t="s">
        <v>5</v>
      </c>
      <c r="L3783" s="2" t="s">
        <v>5</v>
      </c>
      <c r="M3783" s="2" t="s">
        <v>5</v>
      </c>
      <c r="N3783" s="4">
        <v>0</v>
      </c>
    </row>
    <row r="3784" spans="1:14" x14ac:dyDescent="0.25">
      <c r="A3784" s="2" t="s">
        <v>29</v>
      </c>
      <c r="B3784" s="2" t="s">
        <v>30</v>
      </c>
      <c r="C3784" s="3">
        <v>4.1340000000000003</v>
      </c>
      <c r="D3784" s="4">
        <v>63.332880000000003</v>
      </c>
      <c r="E3784" s="4">
        <v>41.34</v>
      </c>
      <c r="F3784" s="4">
        <f t="shared" si="257"/>
        <v>21.99288</v>
      </c>
      <c r="G3784" s="5">
        <f t="shared" si="258"/>
        <v>0.34725848563968664</v>
      </c>
      <c r="H3784" s="2" t="s">
        <v>5</v>
      </c>
      <c r="I3784" s="6" t="s">
        <v>2300</v>
      </c>
      <c r="J3784" s="2" t="s">
        <v>5</v>
      </c>
      <c r="K3784" s="2" t="s">
        <v>5</v>
      </c>
      <c r="L3784" s="2" t="s">
        <v>5</v>
      </c>
      <c r="M3784" s="2" t="s">
        <v>5</v>
      </c>
      <c r="N3784" s="4">
        <v>0</v>
      </c>
    </row>
    <row r="3785" spans="1:14" x14ac:dyDescent="0.25">
      <c r="A3785" s="2" t="s">
        <v>29</v>
      </c>
      <c r="B3785" s="2" t="s">
        <v>30</v>
      </c>
      <c r="C3785" s="3">
        <v>6.25</v>
      </c>
      <c r="D3785" s="4">
        <v>105.625</v>
      </c>
      <c r="E3785" s="4">
        <v>62.5</v>
      </c>
      <c r="F3785" s="4">
        <f t="shared" si="257"/>
        <v>43.125</v>
      </c>
      <c r="G3785" s="5">
        <f t="shared" si="258"/>
        <v>0.40828402366863903</v>
      </c>
      <c r="H3785" s="2" t="s">
        <v>5</v>
      </c>
      <c r="I3785" s="6" t="s">
        <v>2300</v>
      </c>
      <c r="J3785" s="2" t="s">
        <v>5</v>
      </c>
      <c r="K3785" s="2" t="s">
        <v>5</v>
      </c>
      <c r="L3785" s="2" t="s">
        <v>5</v>
      </c>
      <c r="M3785" s="2" t="s">
        <v>5</v>
      </c>
      <c r="N3785" s="4">
        <v>0</v>
      </c>
    </row>
    <row r="3786" spans="1:14" x14ac:dyDescent="0.25">
      <c r="A3786" s="2" t="s">
        <v>29</v>
      </c>
      <c r="B3786" s="2" t="s">
        <v>30</v>
      </c>
      <c r="C3786" s="3">
        <v>10.795</v>
      </c>
      <c r="D3786" s="4">
        <v>139.9032</v>
      </c>
      <c r="E3786" s="4">
        <v>107.95</v>
      </c>
      <c r="F3786" s="4">
        <f t="shared" si="257"/>
        <v>31.953199999999995</v>
      </c>
      <c r="G3786" s="5">
        <f t="shared" si="258"/>
        <v>0.22839506172839502</v>
      </c>
      <c r="H3786" s="2" t="s">
        <v>5</v>
      </c>
      <c r="I3786" s="6" t="s">
        <v>2300</v>
      </c>
      <c r="J3786" s="2" t="s">
        <v>5</v>
      </c>
      <c r="K3786" s="2" t="s">
        <v>5</v>
      </c>
      <c r="L3786" s="2" t="s">
        <v>5</v>
      </c>
      <c r="M3786" s="2" t="s">
        <v>5</v>
      </c>
      <c r="N3786" s="4">
        <v>0</v>
      </c>
    </row>
    <row r="3787" spans="1:14" x14ac:dyDescent="0.25">
      <c r="A3787" s="2" t="s">
        <v>29</v>
      </c>
      <c r="B3787" s="2" t="s">
        <v>30</v>
      </c>
      <c r="C3787" s="3">
        <v>30.34</v>
      </c>
      <c r="D3787" s="4">
        <v>382.28399999999999</v>
      </c>
      <c r="E3787" s="4">
        <v>303.39999999999998</v>
      </c>
      <c r="F3787" s="4">
        <f t="shared" si="257"/>
        <v>78.884000000000015</v>
      </c>
      <c r="G3787" s="5">
        <f t="shared" si="258"/>
        <v>0.20634920634920639</v>
      </c>
      <c r="H3787" s="2" t="s">
        <v>5</v>
      </c>
      <c r="I3787" s="6" t="s">
        <v>2300</v>
      </c>
      <c r="J3787" s="2" t="s">
        <v>5</v>
      </c>
      <c r="K3787" s="2" t="s">
        <v>5</v>
      </c>
      <c r="L3787" s="2" t="s">
        <v>5</v>
      </c>
      <c r="M3787" s="2" t="s">
        <v>5</v>
      </c>
      <c r="N3787" s="4">
        <v>0</v>
      </c>
    </row>
    <row r="3788" spans="1:14" x14ac:dyDescent="0.25">
      <c r="A3788" s="2" t="s">
        <v>29</v>
      </c>
      <c r="B3788" s="2" t="s">
        <v>30</v>
      </c>
      <c r="C3788" s="3">
        <v>8.0749999999999993</v>
      </c>
      <c r="D3788" s="4">
        <v>123.709</v>
      </c>
      <c r="E3788" s="4">
        <v>80.75</v>
      </c>
      <c r="F3788" s="4">
        <f t="shared" si="257"/>
        <v>42.959000000000003</v>
      </c>
      <c r="G3788" s="5">
        <f t="shared" si="258"/>
        <v>0.3472584856396867</v>
      </c>
      <c r="H3788" s="2" t="s">
        <v>5</v>
      </c>
      <c r="I3788" s="6" t="s">
        <v>2300</v>
      </c>
      <c r="J3788" s="2" t="s">
        <v>5</v>
      </c>
      <c r="K3788" s="2" t="s">
        <v>5</v>
      </c>
      <c r="L3788" s="2" t="s">
        <v>5</v>
      </c>
      <c r="M3788" s="2" t="s">
        <v>5</v>
      </c>
      <c r="N3788" s="4">
        <v>0</v>
      </c>
    </row>
    <row r="3789" spans="1:14" x14ac:dyDescent="0.25">
      <c r="A3789" s="2" t="s">
        <v>29</v>
      </c>
      <c r="B3789" s="2" t="s">
        <v>30</v>
      </c>
      <c r="C3789" s="3">
        <v>3.02</v>
      </c>
      <c r="D3789" s="4">
        <v>46.266399999999997</v>
      </c>
      <c r="E3789" s="4">
        <v>30.2</v>
      </c>
      <c r="F3789" s="4">
        <f t="shared" si="257"/>
        <v>16.066399999999998</v>
      </c>
      <c r="G3789" s="5">
        <f t="shared" si="258"/>
        <v>0.34725848563968664</v>
      </c>
      <c r="H3789" s="2" t="s">
        <v>5</v>
      </c>
      <c r="I3789" s="6" t="s">
        <v>2300</v>
      </c>
      <c r="J3789" s="2" t="s">
        <v>5</v>
      </c>
      <c r="K3789" s="2" t="s">
        <v>5</v>
      </c>
      <c r="L3789" s="2" t="s">
        <v>5</v>
      </c>
      <c r="M3789" s="2" t="s">
        <v>5</v>
      </c>
      <c r="N3789" s="4">
        <v>0</v>
      </c>
    </row>
    <row r="3790" spans="1:14" x14ac:dyDescent="0.25">
      <c r="A3790" s="2" t="s">
        <v>29</v>
      </c>
      <c r="B3790" s="2" t="s">
        <v>30</v>
      </c>
      <c r="C3790" s="3">
        <v>4.1319999999999997</v>
      </c>
      <c r="D3790" s="4">
        <v>63.302239999999998</v>
      </c>
      <c r="E3790" s="4">
        <v>41.32</v>
      </c>
      <c r="F3790" s="4">
        <f t="shared" si="257"/>
        <v>21.982239999999997</v>
      </c>
      <c r="G3790" s="5">
        <f t="shared" si="258"/>
        <v>0.34725848563968664</v>
      </c>
      <c r="H3790" s="2" t="s">
        <v>5</v>
      </c>
      <c r="I3790" s="6" t="s">
        <v>2300</v>
      </c>
      <c r="J3790" s="2" t="s">
        <v>5</v>
      </c>
      <c r="K3790" s="2" t="s">
        <v>5</v>
      </c>
      <c r="L3790" s="2" t="s">
        <v>5</v>
      </c>
      <c r="M3790" s="2" t="s">
        <v>5</v>
      </c>
      <c r="N3790" s="4">
        <v>0</v>
      </c>
    </row>
    <row r="3791" spans="1:14" x14ac:dyDescent="0.25">
      <c r="A3791" s="2" t="s">
        <v>29</v>
      </c>
      <c r="B3791" s="2" t="s">
        <v>30</v>
      </c>
      <c r="C3791" s="3">
        <v>453.94</v>
      </c>
      <c r="D3791" s="4">
        <v>5424.5829999999996</v>
      </c>
      <c r="E3791" s="4">
        <v>4539.3999999999996</v>
      </c>
      <c r="F3791" s="4">
        <f t="shared" si="257"/>
        <v>885.18299999999999</v>
      </c>
      <c r="G3791" s="5">
        <f t="shared" si="258"/>
        <v>0.16317991631799164</v>
      </c>
      <c r="H3791" s="2" t="s">
        <v>5</v>
      </c>
      <c r="I3791" s="6" t="s">
        <v>2300</v>
      </c>
      <c r="J3791" s="2" t="s">
        <v>5</v>
      </c>
      <c r="K3791" s="2" t="s">
        <v>5</v>
      </c>
      <c r="L3791" s="2" t="s">
        <v>5</v>
      </c>
      <c r="M3791" s="2" t="s">
        <v>5</v>
      </c>
      <c r="N3791" s="4">
        <v>0</v>
      </c>
    </row>
    <row r="3792" spans="1:14" x14ac:dyDescent="0.25">
      <c r="A3792" s="2" t="s">
        <v>29</v>
      </c>
      <c r="B3792" s="2" t="s">
        <v>30</v>
      </c>
      <c r="C3792" s="3">
        <v>2.04</v>
      </c>
      <c r="D3792" s="4">
        <v>31.252800000000001</v>
      </c>
      <c r="E3792" s="4">
        <v>20.399999999999999</v>
      </c>
      <c r="F3792" s="4">
        <f t="shared" si="257"/>
        <v>10.852800000000002</v>
      </c>
      <c r="G3792" s="5">
        <f t="shared" si="258"/>
        <v>0.34725848563968675</v>
      </c>
      <c r="H3792" s="2" t="s">
        <v>5</v>
      </c>
      <c r="I3792" s="6" t="s">
        <v>2300</v>
      </c>
      <c r="J3792" s="2" t="s">
        <v>5</v>
      </c>
      <c r="K3792" s="2" t="s">
        <v>5</v>
      </c>
      <c r="L3792" s="2" t="s">
        <v>5</v>
      </c>
      <c r="M3792" s="2" t="s">
        <v>5</v>
      </c>
      <c r="N3792" s="4">
        <v>0</v>
      </c>
    </row>
    <row r="3793" spans="1:14" x14ac:dyDescent="0.25">
      <c r="A3793" s="2" t="s">
        <v>29</v>
      </c>
      <c r="B3793" s="2" t="s">
        <v>30</v>
      </c>
      <c r="C3793" s="3">
        <v>8.09</v>
      </c>
      <c r="D3793" s="4">
        <v>123.9388</v>
      </c>
      <c r="E3793" s="4">
        <v>80.900000000000006</v>
      </c>
      <c r="F3793" s="4">
        <f t="shared" si="257"/>
        <v>43.038799999999995</v>
      </c>
      <c r="G3793" s="5">
        <f t="shared" si="258"/>
        <v>0.34725848563968664</v>
      </c>
      <c r="H3793" s="2" t="s">
        <v>5</v>
      </c>
      <c r="I3793" s="6" t="s">
        <v>2300</v>
      </c>
      <c r="J3793" s="2" t="s">
        <v>5</v>
      </c>
      <c r="K3793" s="2" t="s">
        <v>5</v>
      </c>
      <c r="L3793" s="2" t="s">
        <v>5</v>
      </c>
      <c r="M3793" s="2" t="s">
        <v>5</v>
      </c>
      <c r="N3793" s="4">
        <v>0</v>
      </c>
    </row>
    <row r="3794" spans="1:14" x14ac:dyDescent="0.25">
      <c r="A3794" s="2" t="s">
        <v>29</v>
      </c>
      <c r="B3794" s="2" t="s">
        <v>30</v>
      </c>
      <c r="C3794" s="3">
        <v>15.2</v>
      </c>
      <c r="D3794" s="4">
        <v>181.64</v>
      </c>
      <c r="E3794" s="4">
        <v>152</v>
      </c>
      <c r="F3794" s="4">
        <f t="shared" si="257"/>
        <v>29.639999999999986</v>
      </c>
      <c r="G3794" s="5">
        <f t="shared" si="258"/>
        <v>0.16317991631799156</v>
      </c>
      <c r="H3794" s="2" t="s">
        <v>5</v>
      </c>
      <c r="I3794" s="6" t="s">
        <v>2300</v>
      </c>
      <c r="J3794" s="2" t="s">
        <v>5</v>
      </c>
      <c r="K3794" s="2" t="s">
        <v>5</v>
      </c>
      <c r="L3794" s="2" t="s">
        <v>5</v>
      </c>
      <c r="M3794" s="2" t="s">
        <v>5</v>
      </c>
      <c r="N3794" s="4">
        <v>0</v>
      </c>
    </row>
    <row r="3795" spans="1:14" x14ac:dyDescent="0.25">
      <c r="A3795" s="2" t="s">
        <v>29</v>
      </c>
      <c r="B3795" s="2" t="s">
        <v>30</v>
      </c>
      <c r="C3795" s="3">
        <v>13.425000000000001</v>
      </c>
      <c r="D3795" s="4">
        <v>169.155</v>
      </c>
      <c r="E3795" s="4">
        <v>134.25</v>
      </c>
      <c r="F3795" s="4">
        <f t="shared" si="257"/>
        <v>34.905000000000001</v>
      </c>
      <c r="G3795" s="5">
        <f t="shared" si="258"/>
        <v>0.20634920634920637</v>
      </c>
      <c r="H3795" s="2" t="s">
        <v>5</v>
      </c>
      <c r="I3795" s="6" t="s">
        <v>2300</v>
      </c>
      <c r="J3795" s="2" t="s">
        <v>5</v>
      </c>
      <c r="K3795" s="2" t="s">
        <v>5</v>
      </c>
      <c r="L3795" s="2" t="s">
        <v>5</v>
      </c>
      <c r="M3795" s="2" t="s">
        <v>5</v>
      </c>
      <c r="N3795" s="4">
        <v>0</v>
      </c>
    </row>
    <row r="3796" spans="1:14" x14ac:dyDescent="0.25">
      <c r="A3796" s="2" t="s">
        <v>29</v>
      </c>
      <c r="B3796" s="2" t="s">
        <v>30</v>
      </c>
      <c r="C3796" s="3">
        <v>12.77</v>
      </c>
      <c r="D3796" s="4">
        <v>158.60339999999999</v>
      </c>
      <c r="E3796" s="4">
        <v>127.7</v>
      </c>
      <c r="F3796" s="4">
        <f t="shared" si="257"/>
        <v>30.903399999999991</v>
      </c>
      <c r="G3796" s="5">
        <f t="shared" si="258"/>
        <v>0.19484702093397741</v>
      </c>
      <c r="H3796" s="2" t="s">
        <v>5</v>
      </c>
      <c r="I3796" s="6" t="s">
        <v>2300</v>
      </c>
      <c r="J3796" s="2" t="s">
        <v>5</v>
      </c>
      <c r="K3796" s="2" t="s">
        <v>5</v>
      </c>
      <c r="L3796" s="2" t="s">
        <v>5</v>
      </c>
      <c r="M3796" s="2" t="s">
        <v>5</v>
      </c>
      <c r="N3796" s="4">
        <v>0</v>
      </c>
    </row>
    <row r="3797" spans="1:14" x14ac:dyDescent="0.25">
      <c r="A3797" s="2" t="s">
        <v>29</v>
      </c>
      <c r="B3797" s="2" t="s">
        <v>30</v>
      </c>
      <c r="C3797" s="3">
        <v>61.325000000000003</v>
      </c>
      <c r="D3797" s="4">
        <v>784.96</v>
      </c>
      <c r="E3797" s="4">
        <v>613.25</v>
      </c>
      <c r="F3797" s="4">
        <f t="shared" si="257"/>
        <v>171.71000000000004</v>
      </c>
      <c r="G3797" s="5">
        <f t="shared" si="258"/>
        <v>0.21875000000000003</v>
      </c>
      <c r="H3797" s="2" t="s">
        <v>5</v>
      </c>
      <c r="I3797" s="6" t="s">
        <v>2300</v>
      </c>
      <c r="J3797" s="2" t="s">
        <v>5</v>
      </c>
      <c r="K3797" s="2" t="s">
        <v>5</v>
      </c>
      <c r="L3797" s="2" t="s">
        <v>5</v>
      </c>
      <c r="M3797" s="2" t="s">
        <v>5</v>
      </c>
      <c r="N3797" s="4">
        <v>0</v>
      </c>
    </row>
    <row r="3798" spans="1:14" x14ac:dyDescent="0.25">
      <c r="A3798" s="2" t="s">
        <v>29</v>
      </c>
      <c r="B3798" s="2" t="s">
        <v>30</v>
      </c>
      <c r="C3798" s="3">
        <v>36.96</v>
      </c>
      <c r="D3798" s="4">
        <v>566.22720000000004</v>
      </c>
      <c r="E3798" s="4">
        <v>369.6</v>
      </c>
      <c r="F3798" s="4">
        <f t="shared" si="257"/>
        <v>196.62720000000002</v>
      </c>
      <c r="G3798" s="5">
        <f t="shared" si="258"/>
        <v>0.3472584856396867</v>
      </c>
      <c r="H3798" s="2" t="s">
        <v>5</v>
      </c>
      <c r="I3798" s="6" t="s">
        <v>2300</v>
      </c>
      <c r="J3798" s="2" t="s">
        <v>5</v>
      </c>
      <c r="K3798" s="2" t="s">
        <v>5</v>
      </c>
      <c r="L3798" s="2" t="s">
        <v>5</v>
      </c>
      <c r="M3798" s="2" t="s">
        <v>5</v>
      </c>
      <c r="N3798" s="4">
        <v>0</v>
      </c>
    </row>
    <row r="3799" spans="1:14" x14ac:dyDescent="0.25">
      <c r="A3799" s="2" t="s">
        <v>29</v>
      </c>
      <c r="B3799" s="2" t="s">
        <v>30</v>
      </c>
      <c r="C3799" s="3">
        <v>15.21</v>
      </c>
      <c r="D3799" s="4">
        <v>185.40989999999999</v>
      </c>
      <c r="E3799" s="4">
        <v>152.1</v>
      </c>
      <c r="F3799" s="4">
        <f t="shared" si="257"/>
        <v>33.309899999999999</v>
      </c>
      <c r="G3799" s="5">
        <f t="shared" si="258"/>
        <v>0.17965545529122232</v>
      </c>
      <c r="H3799" s="2" t="s">
        <v>5</v>
      </c>
      <c r="I3799" s="6" t="s">
        <v>2300</v>
      </c>
      <c r="J3799" s="2" t="s">
        <v>5</v>
      </c>
      <c r="K3799" s="2" t="s">
        <v>5</v>
      </c>
      <c r="L3799" s="2" t="s">
        <v>5</v>
      </c>
      <c r="M3799" s="2" t="s">
        <v>5</v>
      </c>
      <c r="N3799" s="4">
        <v>0</v>
      </c>
    </row>
    <row r="3800" spans="1:14" x14ac:dyDescent="0.25">
      <c r="A3800" s="2" t="s">
        <v>29</v>
      </c>
      <c r="B3800" s="2" t="s">
        <v>30</v>
      </c>
      <c r="C3800" s="3">
        <v>4.0540000000000003</v>
      </c>
      <c r="D3800" s="4">
        <v>62.107280000000003</v>
      </c>
      <c r="E3800" s="4">
        <v>40.54</v>
      </c>
      <c r="F3800" s="4">
        <f t="shared" si="257"/>
        <v>21.567280000000004</v>
      </c>
      <c r="G3800" s="5">
        <f t="shared" si="258"/>
        <v>0.34725848563968675</v>
      </c>
      <c r="H3800" s="2" t="s">
        <v>5</v>
      </c>
      <c r="I3800" s="6" t="s">
        <v>2300</v>
      </c>
      <c r="J3800" s="2" t="s">
        <v>5</v>
      </c>
      <c r="K3800" s="2" t="s">
        <v>5</v>
      </c>
      <c r="L3800" s="2" t="s">
        <v>5</v>
      </c>
      <c r="M3800" s="2" t="s">
        <v>5</v>
      </c>
      <c r="N3800" s="4">
        <v>0</v>
      </c>
    </row>
    <row r="3801" spans="1:14" x14ac:dyDescent="0.25">
      <c r="A3801" s="2" t="s">
        <v>29</v>
      </c>
      <c r="B3801" s="2" t="s">
        <v>30</v>
      </c>
      <c r="C3801" s="3">
        <v>10.25</v>
      </c>
      <c r="D3801" s="4">
        <v>126.17749999999999</v>
      </c>
      <c r="E3801" s="4">
        <v>102.5</v>
      </c>
      <c r="F3801" s="4">
        <f t="shared" si="257"/>
        <v>23.677499999999995</v>
      </c>
      <c r="G3801" s="5">
        <f t="shared" si="258"/>
        <v>0.18765231519090167</v>
      </c>
      <c r="H3801" s="2" t="s">
        <v>5</v>
      </c>
      <c r="I3801" s="6" t="s">
        <v>2300</v>
      </c>
      <c r="J3801" s="2" t="s">
        <v>5</v>
      </c>
      <c r="K3801" s="2" t="s">
        <v>5</v>
      </c>
      <c r="L3801" s="2" t="s">
        <v>5</v>
      </c>
      <c r="M3801" s="2" t="s">
        <v>5</v>
      </c>
      <c r="N3801" s="4">
        <v>0</v>
      </c>
    </row>
    <row r="3802" spans="1:14" x14ac:dyDescent="0.25">
      <c r="A3802" s="2" t="s">
        <v>29</v>
      </c>
      <c r="B3802" s="2" t="s">
        <v>30</v>
      </c>
      <c r="C3802" s="3">
        <v>6.15</v>
      </c>
      <c r="D3802" s="4">
        <v>94.218000000000004</v>
      </c>
      <c r="E3802" s="4">
        <v>61.5</v>
      </c>
      <c r="F3802" s="4">
        <f t="shared" si="257"/>
        <v>32.718000000000004</v>
      </c>
      <c r="G3802" s="5">
        <f t="shared" si="258"/>
        <v>0.3472584856396867</v>
      </c>
      <c r="H3802" s="2" t="s">
        <v>5</v>
      </c>
      <c r="I3802" s="6" t="s">
        <v>2300</v>
      </c>
      <c r="J3802" s="2" t="s">
        <v>5</v>
      </c>
      <c r="K3802" s="2" t="s">
        <v>5</v>
      </c>
      <c r="L3802" s="2" t="s">
        <v>5</v>
      </c>
      <c r="M3802" s="2" t="s">
        <v>5</v>
      </c>
      <c r="N3802" s="4">
        <v>0</v>
      </c>
    </row>
    <row r="3803" spans="1:14" x14ac:dyDescent="0.25">
      <c r="A3803" s="2" t="s">
        <v>29</v>
      </c>
      <c r="B3803" s="2" t="s">
        <v>30</v>
      </c>
      <c r="C3803" s="3">
        <v>6.0960000000000001</v>
      </c>
      <c r="D3803" s="4">
        <v>93.390720000000002</v>
      </c>
      <c r="E3803" s="4">
        <v>60.96</v>
      </c>
      <c r="F3803" s="4">
        <f t="shared" si="257"/>
        <v>32.430720000000001</v>
      </c>
      <c r="G3803" s="5">
        <f t="shared" si="258"/>
        <v>0.3472584856396867</v>
      </c>
      <c r="H3803" s="2" t="s">
        <v>5</v>
      </c>
      <c r="I3803" s="6" t="s">
        <v>2300</v>
      </c>
      <c r="J3803" s="2" t="s">
        <v>5</v>
      </c>
      <c r="K3803" s="2" t="s">
        <v>5</v>
      </c>
      <c r="L3803" s="2" t="s">
        <v>5</v>
      </c>
      <c r="M3803" s="2" t="s">
        <v>5</v>
      </c>
      <c r="N3803" s="4">
        <v>0</v>
      </c>
    </row>
    <row r="3804" spans="1:14" x14ac:dyDescent="0.25">
      <c r="A3804" s="2" t="s">
        <v>29</v>
      </c>
      <c r="B3804" s="2" t="s">
        <v>30</v>
      </c>
      <c r="C3804" s="3">
        <v>15.34</v>
      </c>
      <c r="D3804" s="4">
        <v>194.66460000000001</v>
      </c>
      <c r="E3804" s="4">
        <v>153.4</v>
      </c>
      <c r="F3804" s="4">
        <f t="shared" si="257"/>
        <v>41.264600000000002</v>
      </c>
      <c r="G3804" s="5">
        <f t="shared" si="258"/>
        <v>0.2119779353821907</v>
      </c>
      <c r="H3804" s="2" t="s">
        <v>5</v>
      </c>
      <c r="I3804" s="6" t="s">
        <v>2300</v>
      </c>
      <c r="J3804" s="2" t="s">
        <v>5</v>
      </c>
      <c r="K3804" s="2" t="s">
        <v>5</v>
      </c>
      <c r="L3804" s="2" t="s">
        <v>5</v>
      </c>
      <c r="M3804" s="2" t="s">
        <v>5</v>
      </c>
      <c r="N3804" s="4">
        <v>0</v>
      </c>
    </row>
    <row r="3805" spans="1:14" x14ac:dyDescent="0.25">
      <c r="A3805" s="2" t="s">
        <v>29</v>
      </c>
      <c r="B3805" s="2" t="s">
        <v>30</v>
      </c>
      <c r="C3805" s="3">
        <v>30.88</v>
      </c>
      <c r="D3805" s="4">
        <v>396.49919999999997</v>
      </c>
      <c r="E3805" s="4">
        <v>308.8</v>
      </c>
      <c r="F3805" s="4">
        <f t="shared" si="257"/>
        <v>87.699199999999962</v>
      </c>
      <c r="G3805" s="5">
        <f t="shared" si="258"/>
        <v>0.22118380062305287</v>
      </c>
      <c r="H3805" s="2" t="s">
        <v>5</v>
      </c>
      <c r="I3805" s="6" t="s">
        <v>2300</v>
      </c>
      <c r="J3805" s="2" t="s">
        <v>5</v>
      </c>
      <c r="K3805" s="2" t="s">
        <v>5</v>
      </c>
      <c r="L3805" s="2" t="s">
        <v>5</v>
      </c>
      <c r="M3805" s="2" t="s">
        <v>5</v>
      </c>
      <c r="N3805" s="4">
        <v>0</v>
      </c>
    </row>
    <row r="3806" spans="1:14" x14ac:dyDescent="0.25">
      <c r="A3806" s="2" t="s">
        <v>29</v>
      </c>
      <c r="B3806" s="2" t="s">
        <v>30</v>
      </c>
      <c r="C3806" s="3">
        <v>4.07</v>
      </c>
      <c r="D3806" s="4">
        <v>62.352400000000003</v>
      </c>
      <c r="E3806" s="4">
        <v>40.700000000000003</v>
      </c>
      <c r="F3806" s="4">
        <f t="shared" si="257"/>
        <v>21.6524</v>
      </c>
      <c r="G3806" s="5">
        <f t="shared" si="258"/>
        <v>0.34725848563968664</v>
      </c>
      <c r="H3806" s="2" t="s">
        <v>5</v>
      </c>
      <c r="I3806" s="6" t="s">
        <v>2300</v>
      </c>
      <c r="J3806" s="2" t="s">
        <v>5</v>
      </c>
      <c r="K3806" s="2" t="s">
        <v>5</v>
      </c>
      <c r="L3806" s="2" t="s">
        <v>5</v>
      </c>
      <c r="M3806" s="2" t="s">
        <v>5</v>
      </c>
      <c r="N3806" s="4">
        <v>0</v>
      </c>
    </row>
    <row r="3807" spans="1:14" x14ac:dyDescent="0.25">
      <c r="A3807" s="2" t="s">
        <v>29</v>
      </c>
      <c r="B3807" s="2" t="s">
        <v>30</v>
      </c>
      <c r="C3807" s="3">
        <v>10.039999999999999</v>
      </c>
      <c r="D3807" s="4">
        <v>127.4076</v>
      </c>
      <c r="E3807" s="4">
        <v>100.4</v>
      </c>
      <c r="F3807" s="4">
        <f t="shared" si="257"/>
        <v>27.007599999999996</v>
      </c>
      <c r="G3807" s="5">
        <f t="shared" si="258"/>
        <v>0.21197793538219067</v>
      </c>
      <c r="H3807" s="2" t="s">
        <v>5</v>
      </c>
      <c r="I3807" s="6" t="s">
        <v>2300</v>
      </c>
      <c r="J3807" s="2" t="s">
        <v>5</v>
      </c>
      <c r="K3807" s="2" t="s">
        <v>5</v>
      </c>
      <c r="L3807" s="2" t="s">
        <v>5</v>
      </c>
      <c r="M3807" s="2" t="s">
        <v>5</v>
      </c>
      <c r="N3807" s="4">
        <v>0</v>
      </c>
    </row>
    <row r="3808" spans="1:14" x14ac:dyDescent="0.25">
      <c r="A3808" s="2" t="s">
        <v>29</v>
      </c>
      <c r="B3808" s="2" t="s">
        <v>30</v>
      </c>
      <c r="C3808" s="3">
        <v>18.73</v>
      </c>
      <c r="D3808" s="4">
        <v>286.9436</v>
      </c>
      <c r="E3808" s="4">
        <v>187.3</v>
      </c>
      <c r="F3808" s="4">
        <f t="shared" si="257"/>
        <v>99.643599999999992</v>
      </c>
      <c r="G3808" s="5">
        <f t="shared" si="258"/>
        <v>0.34725848563968664</v>
      </c>
      <c r="H3808" s="2" t="s">
        <v>5</v>
      </c>
      <c r="I3808" s="6" t="s">
        <v>2300</v>
      </c>
      <c r="J3808" s="2" t="s">
        <v>5</v>
      </c>
      <c r="K3808" s="2" t="s">
        <v>5</v>
      </c>
      <c r="L3808" s="2" t="s">
        <v>5</v>
      </c>
      <c r="M3808" s="2" t="s">
        <v>5</v>
      </c>
      <c r="N3808" s="4">
        <v>0</v>
      </c>
    </row>
    <row r="3809" spans="1:14" x14ac:dyDescent="0.25">
      <c r="A3809" s="2" t="s">
        <v>29</v>
      </c>
      <c r="B3809" s="2" t="s">
        <v>30</v>
      </c>
      <c r="C3809" s="3">
        <v>18.440000000000001</v>
      </c>
      <c r="D3809" s="4">
        <v>282.50080000000003</v>
      </c>
      <c r="E3809" s="4">
        <v>184.4</v>
      </c>
      <c r="F3809" s="4">
        <f t="shared" ref="F3809:F3872" si="259">D3809-E3809</f>
        <v>98.100800000000021</v>
      </c>
      <c r="G3809" s="5">
        <f t="shared" ref="G3809:G3872" si="260">IF(((D3809)=0),0,(D3809-E3809)/ D3809)</f>
        <v>0.3472584856396867</v>
      </c>
      <c r="H3809" s="2" t="s">
        <v>5</v>
      </c>
      <c r="I3809" s="6" t="s">
        <v>2300</v>
      </c>
      <c r="J3809" s="2" t="s">
        <v>5</v>
      </c>
      <c r="K3809" s="2" t="s">
        <v>5</v>
      </c>
      <c r="L3809" s="2" t="s">
        <v>5</v>
      </c>
      <c r="M3809" s="2" t="s">
        <v>5</v>
      </c>
      <c r="N3809" s="4">
        <v>0</v>
      </c>
    </row>
    <row r="3810" spans="1:14" x14ac:dyDescent="0.25">
      <c r="A3810" s="2" t="s">
        <v>29</v>
      </c>
      <c r="B3810" s="2" t="s">
        <v>30</v>
      </c>
      <c r="C3810" s="3">
        <v>15.11</v>
      </c>
      <c r="D3810" s="4">
        <v>221.51259999999999</v>
      </c>
      <c r="E3810" s="4">
        <v>151.1</v>
      </c>
      <c r="F3810" s="4">
        <f t="shared" si="259"/>
        <v>70.412599999999998</v>
      </c>
      <c r="G3810" s="5">
        <f t="shared" si="260"/>
        <v>0.31787175989085947</v>
      </c>
      <c r="H3810" s="2" t="s">
        <v>5</v>
      </c>
      <c r="I3810" s="6" t="s">
        <v>2300</v>
      </c>
      <c r="J3810" s="2" t="s">
        <v>5</v>
      </c>
      <c r="K3810" s="2" t="s">
        <v>5</v>
      </c>
      <c r="L3810" s="2" t="s">
        <v>5</v>
      </c>
      <c r="M3810" s="2" t="s">
        <v>5</v>
      </c>
      <c r="N3810" s="4">
        <v>0</v>
      </c>
    </row>
    <row r="3811" spans="1:14" x14ac:dyDescent="0.25">
      <c r="A3811" s="2" t="s">
        <v>29</v>
      </c>
      <c r="B3811" s="2" t="s">
        <v>30</v>
      </c>
      <c r="C3811" s="3">
        <v>4.0999999999999996</v>
      </c>
      <c r="D3811" s="4">
        <v>62.811999999999998</v>
      </c>
      <c r="E3811" s="4">
        <v>41</v>
      </c>
      <c r="F3811" s="4">
        <f t="shared" si="259"/>
        <v>21.811999999999998</v>
      </c>
      <c r="G3811" s="5">
        <f t="shared" si="260"/>
        <v>0.34725848563968664</v>
      </c>
      <c r="H3811" s="2" t="s">
        <v>5</v>
      </c>
      <c r="I3811" s="6" t="s">
        <v>2300</v>
      </c>
      <c r="J3811" s="2" t="s">
        <v>5</v>
      </c>
      <c r="K3811" s="2" t="s">
        <v>5</v>
      </c>
      <c r="L3811" s="2" t="s">
        <v>5</v>
      </c>
      <c r="M3811" s="2" t="s">
        <v>5</v>
      </c>
      <c r="N3811" s="4">
        <v>0</v>
      </c>
    </row>
    <row r="3812" spans="1:14" x14ac:dyDescent="0.25">
      <c r="A3812" s="2" t="s">
        <v>29</v>
      </c>
      <c r="B3812" s="2" t="s">
        <v>30</v>
      </c>
      <c r="C3812" s="3">
        <v>10.17</v>
      </c>
      <c r="D3812" s="4">
        <v>125.1927</v>
      </c>
      <c r="E3812" s="4">
        <v>101.7</v>
      </c>
      <c r="F3812" s="4">
        <f t="shared" si="259"/>
        <v>23.492699999999999</v>
      </c>
      <c r="G3812" s="5">
        <f t="shared" si="260"/>
        <v>0.1876523151909017</v>
      </c>
      <c r="H3812" s="2" t="s">
        <v>5</v>
      </c>
      <c r="I3812" s="6" t="s">
        <v>2300</v>
      </c>
      <c r="J3812" s="2" t="s">
        <v>5</v>
      </c>
      <c r="K3812" s="2" t="s">
        <v>5</v>
      </c>
      <c r="L3812" s="2" t="s">
        <v>5</v>
      </c>
      <c r="M3812" s="2" t="s">
        <v>5</v>
      </c>
      <c r="N3812" s="4">
        <v>0</v>
      </c>
    </row>
    <row r="3813" spans="1:14" x14ac:dyDescent="0.25">
      <c r="A3813" s="2" t="s">
        <v>29</v>
      </c>
      <c r="B3813" s="2" t="s">
        <v>30</v>
      </c>
      <c r="C3813" s="3">
        <v>15.7</v>
      </c>
      <c r="D3813" s="4">
        <v>202.53</v>
      </c>
      <c r="E3813" s="4">
        <v>157</v>
      </c>
      <c r="F3813" s="4">
        <f t="shared" si="259"/>
        <v>45.53</v>
      </c>
      <c r="G3813" s="5">
        <f t="shared" si="260"/>
        <v>0.22480620155038761</v>
      </c>
      <c r="H3813" s="2" t="s">
        <v>5</v>
      </c>
      <c r="I3813" s="6" t="s">
        <v>2300</v>
      </c>
      <c r="J3813" s="2" t="s">
        <v>5</v>
      </c>
      <c r="K3813" s="2" t="s">
        <v>5</v>
      </c>
      <c r="L3813" s="2" t="s">
        <v>5</v>
      </c>
      <c r="M3813" s="2" t="s">
        <v>5</v>
      </c>
      <c r="N3813" s="4">
        <v>0</v>
      </c>
    </row>
    <row r="3814" spans="1:14" x14ac:dyDescent="0.25">
      <c r="A3814" s="2" t="s">
        <v>29</v>
      </c>
      <c r="B3814" s="2" t="s">
        <v>30</v>
      </c>
      <c r="C3814" s="3">
        <v>4.0999999999999996</v>
      </c>
      <c r="D3814" s="4">
        <v>62.811999999999998</v>
      </c>
      <c r="E3814" s="4">
        <v>41</v>
      </c>
      <c r="F3814" s="4">
        <f t="shared" si="259"/>
        <v>21.811999999999998</v>
      </c>
      <c r="G3814" s="5">
        <f t="shared" si="260"/>
        <v>0.34725848563968664</v>
      </c>
      <c r="H3814" s="2" t="s">
        <v>5</v>
      </c>
      <c r="I3814" s="6" t="s">
        <v>2300</v>
      </c>
      <c r="J3814" s="2" t="s">
        <v>5</v>
      </c>
      <c r="K3814" s="2" t="s">
        <v>5</v>
      </c>
      <c r="L3814" s="2" t="s">
        <v>5</v>
      </c>
      <c r="M3814" s="2" t="s">
        <v>5</v>
      </c>
      <c r="N3814" s="4">
        <v>0</v>
      </c>
    </row>
    <row r="3815" spans="1:14" x14ac:dyDescent="0.25">
      <c r="A3815" s="2" t="s">
        <v>29</v>
      </c>
      <c r="B3815" s="2" t="s">
        <v>30</v>
      </c>
      <c r="C3815" s="3">
        <v>4.07</v>
      </c>
      <c r="D3815" s="4">
        <v>62.352400000000003</v>
      </c>
      <c r="E3815" s="4">
        <v>40.700000000000003</v>
      </c>
      <c r="F3815" s="4">
        <f t="shared" si="259"/>
        <v>21.6524</v>
      </c>
      <c r="G3815" s="5">
        <f t="shared" si="260"/>
        <v>0.34725848563968664</v>
      </c>
      <c r="H3815" s="2" t="s">
        <v>5</v>
      </c>
      <c r="I3815" s="6" t="s">
        <v>2300</v>
      </c>
      <c r="J3815" s="2" t="s">
        <v>5</v>
      </c>
      <c r="K3815" s="2" t="s">
        <v>5</v>
      </c>
      <c r="L3815" s="2" t="s">
        <v>5</v>
      </c>
      <c r="M3815" s="2" t="s">
        <v>5</v>
      </c>
      <c r="N3815" s="4">
        <v>0</v>
      </c>
    </row>
    <row r="3816" spans="1:14" x14ac:dyDescent="0.25">
      <c r="A3816" s="2" t="s">
        <v>29</v>
      </c>
      <c r="B3816" s="2" t="s">
        <v>30</v>
      </c>
      <c r="C3816" s="3">
        <v>28.065000000000001</v>
      </c>
      <c r="D3816" s="4">
        <v>362.0385</v>
      </c>
      <c r="E3816" s="4">
        <v>280.64999999999998</v>
      </c>
      <c r="F3816" s="4">
        <f t="shared" si="259"/>
        <v>81.388500000000022</v>
      </c>
      <c r="G3816" s="5">
        <f t="shared" si="260"/>
        <v>0.22480620155038766</v>
      </c>
      <c r="H3816" s="2" t="s">
        <v>5</v>
      </c>
      <c r="I3816" s="6" t="s">
        <v>2300</v>
      </c>
      <c r="J3816" s="2" t="s">
        <v>5</v>
      </c>
      <c r="K3816" s="2" t="s">
        <v>5</v>
      </c>
      <c r="L3816" s="2" t="s">
        <v>5</v>
      </c>
      <c r="M3816" s="2" t="s">
        <v>5</v>
      </c>
      <c r="N3816" s="4">
        <v>0</v>
      </c>
    </row>
    <row r="3817" spans="1:14" x14ac:dyDescent="0.25">
      <c r="A3817" s="2" t="s">
        <v>29</v>
      </c>
      <c r="B3817" s="2" t="s">
        <v>30</v>
      </c>
      <c r="C3817" s="3">
        <v>10.18</v>
      </c>
      <c r="D3817" s="4">
        <v>155.95760000000001</v>
      </c>
      <c r="E3817" s="4">
        <v>101.8</v>
      </c>
      <c r="F3817" s="4">
        <f t="shared" si="259"/>
        <v>54.157600000000016</v>
      </c>
      <c r="G3817" s="5">
        <f t="shared" si="260"/>
        <v>0.34725848563968675</v>
      </c>
      <c r="H3817" s="2" t="s">
        <v>5</v>
      </c>
      <c r="I3817" s="6" t="s">
        <v>2300</v>
      </c>
      <c r="J3817" s="2" t="s">
        <v>5</v>
      </c>
      <c r="K3817" s="2" t="s">
        <v>5</v>
      </c>
      <c r="L3817" s="2" t="s">
        <v>5</v>
      </c>
      <c r="M3817" s="2" t="s">
        <v>5</v>
      </c>
      <c r="N3817" s="4">
        <v>0</v>
      </c>
    </row>
    <row r="3818" spans="1:14" x14ac:dyDescent="0.25">
      <c r="A3818" s="2" t="s">
        <v>29</v>
      </c>
      <c r="B3818" s="2" t="s">
        <v>30</v>
      </c>
      <c r="C3818" s="3">
        <v>48.23</v>
      </c>
      <c r="D3818" s="4">
        <v>602.875</v>
      </c>
      <c r="E3818" s="4">
        <v>482.3</v>
      </c>
      <c r="F3818" s="4">
        <f t="shared" si="259"/>
        <v>120.57499999999999</v>
      </c>
      <c r="G3818" s="5">
        <f t="shared" si="260"/>
        <v>0.19999999999999998</v>
      </c>
      <c r="H3818" s="2" t="s">
        <v>5</v>
      </c>
      <c r="I3818" s="6" t="s">
        <v>2300</v>
      </c>
      <c r="J3818" s="2" t="s">
        <v>5</v>
      </c>
      <c r="K3818" s="2" t="s">
        <v>5</v>
      </c>
      <c r="L3818" s="2" t="s">
        <v>5</v>
      </c>
      <c r="M3818" s="2" t="s">
        <v>5</v>
      </c>
      <c r="N3818" s="4">
        <v>0</v>
      </c>
    </row>
    <row r="3819" spans="1:14" x14ac:dyDescent="0.25">
      <c r="A3819" s="2" t="s">
        <v>680</v>
      </c>
      <c r="B3819" s="2" t="s">
        <v>681</v>
      </c>
      <c r="C3819" s="3">
        <v>11.08</v>
      </c>
      <c r="D3819" s="4">
        <v>77.892399999999995</v>
      </c>
      <c r="E3819" s="4">
        <v>29.916</v>
      </c>
      <c r="F3819" s="4">
        <f t="shared" si="259"/>
        <v>47.976399999999998</v>
      </c>
      <c r="G3819" s="5">
        <f t="shared" si="260"/>
        <v>0.61593172119487916</v>
      </c>
      <c r="H3819" s="2" t="s">
        <v>5</v>
      </c>
      <c r="I3819" s="6" t="s">
        <v>2300</v>
      </c>
      <c r="J3819" s="2" t="s">
        <v>5</v>
      </c>
      <c r="K3819" s="2" t="s">
        <v>5</v>
      </c>
      <c r="L3819" s="2" t="s">
        <v>5</v>
      </c>
      <c r="M3819" s="2" t="s">
        <v>5</v>
      </c>
      <c r="N3819" s="4">
        <v>0</v>
      </c>
    </row>
    <row r="3820" spans="1:14" x14ac:dyDescent="0.25">
      <c r="A3820" s="2" t="s">
        <v>680</v>
      </c>
      <c r="B3820" s="2" t="s">
        <v>681</v>
      </c>
      <c r="C3820" s="3">
        <v>12.37</v>
      </c>
      <c r="D3820" s="4">
        <v>86.961100000000002</v>
      </c>
      <c r="E3820" s="4">
        <v>33.399000000000001</v>
      </c>
      <c r="F3820" s="4">
        <f t="shared" si="259"/>
        <v>53.562100000000001</v>
      </c>
      <c r="G3820" s="5">
        <f t="shared" si="260"/>
        <v>0.61593172119487904</v>
      </c>
      <c r="H3820" s="2" t="s">
        <v>5</v>
      </c>
      <c r="I3820" s="6" t="s">
        <v>2300</v>
      </c>
      <c r="J3820" s="2" t="s">
        <v>5</v>
      </c>
      <c r="K3820" s="2" t="s">
        <v>5</v>
      </c>
      <c r="L3820" s="2" t="s">
        <v>5</v>
      </c>
      <c r="M3820" s="2" t="s">
        <v>5</v>
      </c>
      <c r="N3820" s="4">
        <v>0</v>
      </c>
    </row>
    <row r="3821" spans="1:14" x14ac:dyDescent="0.25">
      <c r="A3821" s="2" t="s">
        <v>680</v>
      </c>
      <c r="B3821" s="2" t="s">
        <v>681</v>
      </c>
      <c r="C3821" s="3">
        <v>10.9</v>
      </c>
      <c r="D3821" s="4">
        <v>76.626999999999995</v>
      </c>
      <c r="E3821" s="4">
        <v>29.43</v>
      </c>
      <c r="F3821" s="4">
        <f t="shared" si="259"/>
        <v>47.196999999999996</v>
      </c>
      <c r="G3821" s="5">
        <f t="shared" si="260"/>
        <v>0.61593172119487904</v>
      </c>
      <c r="H3821" s="2" t="s">
        <v>5</v>
      </c>
      <c r="I3821" s="6" t="s">
        <v>2300</v>
      </c>
      <c r="J3821" s="2" t="s">
        <v>5</v>
      </c>
      <c r="K3821" s="2" t="s">
        <v>5</v>
      </c>
      <c r="L3821" s="2" t="s">
        <v>5</v>
      </c>
      <c r="M3821" s="2" t="s">
        <v>5</v>
      </c>
      <c r="N3821" s="4">
        <v>0</v>
      </c>
    </row>
    <row r="3822" spans="1:14" x14ac:dyDescent="0.25">
      <c r="A3822" s="2" t="s">
        <v>658</v>
      </c>
      <c r="B3822" s="2" t="s">
        <v>659</v>
      </c>
      <c r="C3822" s="3">
        <v>32.4</v>
      </c>
      <c r="D3822" s="4">
        <v>305.85599999999999</v>
      </c>
      <c r="E3822" s="4">
        <v>178.2</v>
      </c>
      <c r="F3822" s="4">
        <f t="shared" si="259"/>
        <v>127.65600000000001</v>
      </c>
      <c r="G3822" s="5">
        <f t="shared" si="260"/>
        <v>0.41737288135593226</v>
      </c>
      <c r="H3822" s="2" t="s">
        <v>5</v>
      </c>
      <c r="I3822" s="6" t="s">
        <v>2300</v>
      </c>
      <c r="J3822" s="2" t="s">
        <v>5</v>
      </c>
      <c r="K3822" s="2" t="s">
        <v>5</v>
      </c>
      <c r="L3822" s="2" t="s">
        <v>5</v>
      </c>
      <c r="M3822" s="2" t="s">
        <v>5</v>
      </c>
      <c r="N3822" s="4">
        <v>0</v>
      </c>
    </row>
    <row r="3823" spans="1:14" x14ac:dyDescent="0.25">
      <c r="A3823" s="2" t="s">
        <v>658</v>
      </c>
      <c r="B3823" s="2" t="s">
        <v>659</v>
      </c>
      <c r="C3823" s="3">
        <v>79.3</v>
      </c>
      <c r="D3823" s="4">
        <v>1096.7190000000001</v>
      </c>
      <c r="E3823" s="4">
        <v>436.15</v>
      </c>
      <c r="F3823" s="4">
        <f t="shared" si="259"/>
        <v>660.56900000000007</v>
      </c>
      <c r="G3823" s="5">
        <f t="shared" si="260"/>
        <v>0.6023138105567607</v>
      </c>
      <c r="H3823" s="2" t="s">
        <v>5</v>
      </c>
      <c r="I3823" s="6" t="s">
        <v>2300</v>
      </c>
      <c r="J3823" s="2" t="s">
        <v>5</v>
      </c>
      <c r="K3823" s="2" t="s">
        <v>5</v>
      </c>
      <c r="L3823" s="2" t="s">
        <v>5</v>
      </c>
      <c r="M3823" s="2" t="s">
        <v>5</v>
      </c>
      <c r="N3823" s="4">
        <v>0</v>
      </c>
    </row>
    <row r="3824" spans="1:14" x14ac:dyDescent="0.25">
      <c r="A3824" s="2" t="s">
        <v>658</v>
      </c>
      <c r="B3824" s="2" t="s">
        <v>659</v>
      </c>
      <c r="C3824" s="3">
        <v>7.7</v>
      </c>
      <c r="D3824" s="4">
        <v>134.75</v>
      </c>
      <c r="E3824" s="4">
        <v>42.35</v>
      </c>
      <c r="F3824" s="4">
        <f t="shared" si="259"/>
        <v>92.4</v>
      </c>
      <c r="G3824" s="5">
        <f t="shared" si="260"/>
        <v>0.68571428571428572</v>
      </c>
      <c r="H3824" s="2" t="s">
        <v>5</v>
      </c>
      <c r="I3824" s="6" t="s">
        <v>2300</v>
      </c>
      <c r="J3824" s="2" t="s">
        <v>5</v>
      </c>
      <c r="K3824" s="2" t="s">
        <v>5</v>
      </c>
      <c r="L3824" s="2" t="s">
        <v>5</v>
      </c>
      <c r="M3824" s="2" t="s">
        <v>5</v>
      </c>
      <c r="N3824" s="4">
        <v>0</v>
      </c>
    </row>
    <row r="3825" spans="1:14" x14ac:dyDescent="0.25">
      <c r="A3825" s="2" t="s">
        <v>1075</v>
      </c>
      <c r="B3825" s="2" t="s">
        <v>1076</v>
      </c>
      <c r="C3825" s="3">
        <v>15</v>
      </c>
      <c r="D3825" s="4">
        <v>425.4</v>
      </c>
      <c r="E3825" s="4">
        <v>286.95</v>
      </c>
      <c r="F3825" s="4">
        <f t="shared" si="259"/>
        <v>138.44999999999999</v>
      </c>
      <c r="G3825" s="5">
        <f t="shared" si="260"/>
        <v>0.32545839210155147</v>
      </c>
      <c r="H3825" s="2" t="s">
        <v>5</v>
      </c>
      <c r="I3825" s="6" t="s">
        <v>2300</v>
      </c>
      <c r="J3825" s="2" t="s">
        <v>5</v>
      </c>
      <c r="K3825" s="2" t="s">
        <v>5</v>
      </c>
      <c r="L3825" s="2" t="s">
        <v>5</v>
      </c>
      <c r="M3825" s="2" t="s">
        <v>5</v>
      </c>
      <c r="N3825" s="4">
        <v>0</v>
      </c>
    </row>
    <row r="3826" spans="1:14" x14ac:dyDescent="0.25">
      <c r="A3826" s="2" t="s">
        <v>1075</v>
      </c>
      <c r="B3826" s="2" t="s">
        <v>1076</v>
      </c>
      <c r="C3826" s="3">
        <v>10</v>
      </c>
      <c r="D3826" s="4">
        <v>283.60000000000002</v>
      </c>
      <c r="E3826" s="4">
        <v>191.3</v>
      </c>
      <c r="F3826" s="4">
        <f t="shared" si="259"/>
        <v>92.300000000000011</v>
      </c>
      <c r="G3826" s="5">
        <f t="shared" si="260"/>
        <v>0.32545839210155147</v>
      </c>
      <c r="H3826" s="2" t="s">
        <v>5</v>
      </c>
      <c r="I3826" s="6" t="s">
        <v>2300</v>
      </c>
      <c r="J3826" s="2" t="s">
        <v>5</v>
      </c>
      <c r="K3826" s="2" t="s">
        <v>5</v>
      </c>
      <c r="L3826" s="2" t="s">
        <v>5</v>
      </c>
      <c r="M3826" s="2" t="s">
        <v>5</v>
      </c>
      <c r="N3826" s="4">
        <v>0</v>
      </c>
    </row>
    <row r="3827" spans="1:14" x14ac:dyDescent="0.25">
      <c r="A3827" s="2" t="s">
        <v>1075</v>
      </c>
      <c r="B3827" s="2" t="s">
        <v>1076</v>
      </c>
      <c r="C3827" s="3">
        <v>1</v>
      </c>
      <c r="D3827" s="4">
        <v>26.63</v>
      </c>
      <c r="E3827" s="4">
        <v>19.13</v>
      </c>
      <c r="F3827" s="4">
        <f t="shared" si="259"/>
        <v>7.5</v>
      </c>
      <c r="G3827" s="5">
        <f t="shared" si="260"/>
        <v>0.2816372512204281</v>
      </c>
      <c r="H3827" s="2" t="s">
        <v>5</v>
      </c>
      <c r="I3827" s="6" t="s">
        <v>2300</v>
      </c>
      <c r="J3827" s="2" t="s">
        <v>5</v>
      </c>
      <c r="K3827" s="2" t="s">
        <v>5</v>
      </c>
      <c r="L3827" s="2" t="s">
        <v>5</v>
      </c>
      <c r="M3827" s="2" t="s">
        <v>5</v>
      </c>
      <c r="N3827" s="4">
        <v>0</v>
      </c>
    </row>
    <row r="3828" spans="1:14" x14ac:dyDescent="0.25">
      <c r="A3828" s="2" t="s">
        <v>1075</v>
      </c>
      <c r="B3828" s="2" t="s">
        <v>1076</v>
      </c>
      <c r="C3828" s="3">
        <v>10</v>
      </c>
      <c r="D3828" s="4">
        <v>283.60000000000002</v>
      </c>
      <c r="E3828" s="4">
        <v>191.3</v>
      </c>
      <c r="F3828" s="4">
        <f t="shared" si="259"/>
        <v>92.300000000000011</v>
      </c>
      <c r="G3828" s="5">
        <f t="shared" si="260"/>
        <v>0.32545839210155147</v>
      </c>
      <c r="H3828" s="2" t="s">
        <v>5</v>
      </c>
      <c r="I3828" s="6" t="s">
        <v>2300</v>
      </c>
      <c r="J3828" s="2" t="s">
        <v>5</v>
      </c>
      <c r="K3828" s="2" t="s">
        <v>5</v>
      </c>
      <c r="L3828" s="2" t="s">
        <v>5</v>
      </c>
      <c r="M3828" s="2" t="s">
        <v>5</v>
      </c>
      <c r="N3828" s="4">
        <v>0</v>
      </c>
    </row>
    <row r="3829" spans="1:14" x14ac:dyDescent="0.25">
      <c r="A3829" s="2" t="s">
        <v>1075</v>
      </c>
      <c r="B3829" s="2" t="s">
        <v>1076</v>
      </c>
      <c r="C3829" s="3">
        <v>10</v>
      </c>
      <c r="D3829" s="4">
        <v>283.60000000000002</v>
      </c>
      <c r="E3829" s="4">
        <v>191.3</v>
      </c>
      <c r="F3829" s="4">
        <f t="shared" si="259"/>
        <v>92.300000000000011</v>
      </c>
      <c r="G3829" s="5">
        <f t="shared" si="260"/>
        <v>0.32545839210155147</v>
      </c>
      <c r="H3829" s="2" t="s">
        <v>5</v>
      </c>
      <c r="I3829" s="6" t="s">
        <v>2300</v>
      </c>
      <c r="J3829" s="2" t="s">
        <v>5</v>
      </c>
      <c r="K3829" s="2" t="s">
        <v>5</v>
      </c>
      <c r="L3829" s="2" t="s">
        <v>5</v>
      </c>
      <c r="M3829" s="2" t="s">
        <v>5</v>
      </c>
      <c r="N3829" s="4">
        <v>0</v>
      </c>
    </row>
    <row r="3830" spans="1:14" x14ac:dyDescent="0.25">
      <c r="A3830" s="2" t="s">
        <v>1075</v>
      </c>
      <c r="B3830" s="2" t="s">
        <v>1076</v>
      </c>
      <c r="C3830" s="3">
        <v>5</v>
      </c>
      <c r="D3830" s="4">
        <v>141.80000000000001</v>
      </c>
      <c r="E3830" s="4">
        <v>95.65</v>
      </c>
      <c r="F3830" s="4">
        <f t="shared" si="259"/>
        <v>46.150000000000006</v>
      </c>
      <c r="G3830" s="5">
        <f t="shared" si="260"/>
        <v>0.32545839210155147</v>
      </c>
      <c r="H3830" s="2" t="s">
        <v>5</v>
      </c>
      <c r="I3830" s="6" t="s">
        <v>2300</v>
      </c>
      <c r="J3830" s="2" t="s">
        <v>5</v>
      </c>
      <c r="K3830" s="2" t="s">
        <v>5</v>
      </c>
      <c r="L3830" s="2" t="s">
        <v>5</v>
      </c>
      <c r="M3830" s="2" t="s">
        <v>5</v>
      </c>
      <c r="N3830" s="4">
        <v>0</v>
      </c>
    </row>
    <row r="3831" spans="1:14" x14ac:dyDescent="0.25">
      <c r="A3831" s="2" t="s">
        <v>1075</v>
      </c>
      <c r="B3831" s="2" t="s">
        <v>1076</v>
      </c>
      <c r="C3831" s="3">
        <v>5</v>
      </c>
      <c r="D3831" s="4">
        <v>141.80000000000001</v>
      </c>
      <c r="E3831" s="4">
        <v>95.65</v>
      </c>
      <c r="F3831" s="4">
        <f t="shared" si="259"/>
        <v>46.150000000000006</v>
      </c>
      <c r="G3831" s="5">
        <f t="shared" si="260"/>
        <v>0.32545839210155147</v>
      </c>
      <c r="H3831" s="2" t="s">
        <v>5</v>
      </c>
      <c r="I3831" s="6" t="s">
        <v>2300</v>
      </c>
      <c r="J3831" s="2" t="s">
        <v>5</v>
      </c>
      <c r="K3831" s="2" t="s">
        <v>5</v>
      </c>
      <c r="L3831" s="2" t="s">
        <v>5</v>
      </c>
      <c r="M3831" s="2" t="s">
        <v>5</v>
      </c>
      <c r="N3831" s="4">
        <v>0</v>
      </c>
    </row>
    <row r="3832" spans="1:14" x14ac:dyDescent="0.25">
      <c r="A3832" s="2" t="s">
        <v>1075</v>
      </c>
      <c r="B3832" s="2" t="s">
        <v>1076</v>
      </c>
      <c r="C3832" s="3">
        <v>5</v>
      </c>
      <c r="D3832" s="4">
        <v>141.80000000000001</v>
      </c>
      <c r="E3832" s="4">
        <v>95.65</v>
      </c>
      <c r="F3832" s="4">
        <f t="shared" si="259"/>
        <v>46.150000000000006</v>
      </c>
      <c r="G3832" s="5">
        <f t="shared" si="260"/>
        <v>0.32545839210155147</v>
      </c>
      <c r="H3832" s="2" t="s">
        <v>5</v>
      </c>
      <c r="I3832" s="6" t="s">
        <v>2300</v>
      </c>
      <c r="J3832" s="2" t="s">
        <v>5</v>
      </c>
      <c r="K3832" s="2" t="s">
        <v>5</v>
      </c>
      <c r="L3832" s="2" t="s">
        <v>5</v>
      </c>
      <c r="M3832" s="2" t="s">
        <v>5</v>
      </c>
      <c r="N3832" s="4">
        <v>0</v>
      </c>
    </row>
    <row r="3833" spans="1:14" x14ac:dyDescent="0.25">
      <c r="A3833" s="2" t="s">
        <v>1075</v>
      </c>
      <c r="B3833" s="2" t="s">
        <v>1076</v>
      </c>
      <c r="C3833" s="3">
        <v>5</v>
      </c>
      <c r="D3833" s="4">
        <v>141.80000000000001</v>
      </c>
      <c r="E3833" s="4">
        <v>95.65</v>
      </c>
      <c r="F3833" s="4">
        <f t="shared" si="259"/>
        <v>46.150000000000006</v>
      </c>
      <c r="G3833" s="5">
        <f t="shared" si="260"/>
        <v>0.32545839210155147</v>
      </c>
      <c r="H3833" s="2" t="s">
        <v>5</v>
      </c>
      <c r="I3833" s="6" t="s">
        <v>2300</v>
      </c>
      <c r="J3833" s="2" t="s">
        <v>5</v>
      </c>
      <c r="K3833" s="2" t="s">
        <v>5</v>
      </c>
      <c r="L3833" s="2" t="s">
        <v>5</v>
      </c>
      <c r="M3833" s="2" t="s">
        <v>5</v>
      </c>
      <c r="N3833" s="4">
        <v>0</v>
      </c>
    </row>
    <row r="3834" spans="1:14" x14ac:dyDescent="0.25">
      <c r="A3834" s="2" t="s">
        <v>1075</v>
      </c>
      <c r="B3834" s="2" t="s">
        <v>1076</v>
      </c>
      <c r="C3834" s="3">
        <v>-1</v>
      </c>
      <c r="D3834" s="4">
        <v>-28.36</v>
      </c>
      <c r="E3834" s="4">
        <v>-19.13</v>
      </c>
      <c r="F3834" s="4">
        <f t="shared" si="259"/>
        <v>-9.23</v>
      </c>
      <c r="G3834" s="5">
        <f t="shared" si="260"/>
        <v>0.32545839210155153</v>
      </c>
      <c r="H3834" s="2" t="s">
        <v>5</v>
      </c>
      <c r="I3834" s="6" t="s">
        <v>2300</v>
      </c>
      <c r="J3834" s="2" t="s">
        <v>5</v>
      </c>
      <c r="K3834" s="2" t="s">
        <v>5</v>
      </c>
      <c r="L3834" s="2" t="s">
        <v>5</v>
      </c>
      <c r="M3834" s="2" t="s">
        <v>5</v>
      </c>
      <c r="N3834" s="4">
        <v>0</v>
      </c>
    </row>
    <row r="3835" spans="1:14" x14ac:dyDescent="0.25">
      <c r="A3835" s="2" t="s">
        <v>1077</v>
      </c>
      <c r="B3835" s="2" t="s">
        <v>1078</v>
      </c>
      <c r="C3835" s="3">
        <v>5</v>
      </c>
      <c r="D3835" s="4">
        <v>112.3</v>
      </c>
      <c r="E3835" s="4">
        <v>75.75</v>
      </c>
      <c r="F3835" s="4">
        <f t="shared" si="259"/>
        <v>36.549999999999997</v>
      </c>
      <c r="G3835" s="5">
        <f t="shared" si="260"/>
        <v>0.32546749777382011</v>
      </c>
      <c r="H3835" s="2" t="s">
        <v>5</v>
      </c>
      <c r="I3835" s="6" t="s">
        <v>2300</v>
      </c>
      <c r="J3835" s="2" t="s">
        <v>5</v>
      </c>
      <c r="K3835" s="2" t="s">
        <v>5</v>
      </c>
      <c r="L3835" s="2" t="s">
        <v>5</v>
      </c>
      <c r="M3835" s="2" t="s">
        <v>5</v>
      </c>
      <c r="N3835" s="4">
        <v>0</v>
      </c>
    </row>
    <row r="3836" spans="1:14" x14ac:dyDescent="0.25">
      <c r="A3836" s="2" t="s">
        <v>1077</v>
      </c>
      <c r="B3836" s="2" t="s">
        <v>1078</v>
      </c>
      <c r="C3836" s="3">
        <v>7</v>
      </c>
      <c r="D3836" s="4">
        <v>157.22</v>
      </c>
      <c r="E3836" s="4">
        <v>106.05</v>
      </c>
      <c r="F3836" s="4">
        <f t="shared" si="259"/>
        <v>51.17</v>
      </c>
      <c r="G3836" s="5">
        <f t="shared" si="260"/>
        <v>0.32546749777382011</v>
      </c>
      <c r="H3836" s="2" t="s">
        <v>5</v>
      </c>
      <c r="I3836" s="6" t="s">
        <v>2300</v>
      </c>
      <c r="J3836" s="2" t="s">
        <v>5</v>
      </c>
      <c r="K3836" s="2" t="s">
        <v>5</v>
      </c>
      <c r="L3836" s="2" t="s">
        <v>5</v>
      </c>
      <c r="M3836" s="2" t="s">
        <v>5</v>
      </c>
      <c r="N3836" s="4">
        <v>0</v>
      </c>
    </row>
    <row r="3837" spans="1:14" x14ac:dyDescent="0.25">
      <c r="A3837" s="2" t="s">
        <v>1077</v>
      </c>
      <c r="B3837" s="2" t="s">
        <v>1078</v>
      </c>
      <c r="C3837" s="3">
        <v>8</v>
      </c>
      <c r="D3837" s="4">
        <v>179.68</v>
      </c>
      <c r="E3837" s="4">
        <v>121.2</v>
      </c>
      <c r="F3837" s="4">
        <f t="shared" si="259"/>
        <v>58.480000000000004</v>
      </c>
      <c r="G3837" s="5">
        <f t="shared" si="260"/>
        <v>0.32546749777382011</v>
      </c>
      <c r="H3837" s="2" t="s">
        <v>5</v>
      </c>
      <c r="I3837" s="6" t="s">
        <v>2300</v>
      </c>
      <c r="J3837" s="2" t="s">
        <v>5</v>
      </c>
      <c r="K3837" s="2" t="s">
        <v>5</v>
      </c>
      <c r="L3837" s="2" t="s">
        <v>5</v>
      </c>
      <c r="M3837" s="2" t="s">
        <v>5</v>
      </c>
      <c r="N3837" s="4">
        <v>0</v>
      </c>
    </row>
    <row r="3838" spans="1:14" x14ac:dyDescent="0.25">
      <c r="A3838" s="2" t="s">
        <v>1077</v>
      </c>
      <c r="B3838" s="2" t="s">
        <v>1078</v>
      </c>
      <c r="C3838" s="3">
        <v>6</v>
      </c>
      <c r="D3838" s="4">
        <v>134.76</v>
      </c>
      <c r="E3838" s="4">
        <v>90.9</v>
      </c>
      <c r="F3838" s="4">
        <f t="shared" si="259"/>
        <v>43.859999999999985</v>
      </c>
      <c r="G3838" s="5">
        <f t="shared" si="260"/>
        <v>0.32546749777382006</v>
      </c>
      <c r="H3838" s="2" t="s">
        <v>5</v>
      </c>
      <c r="I3838" s="6" t="s">
        <v>2300</v>
      </c>
      <c r="J3838" s="2" t="s">
        <v>5</v>
      </c>
      <c r="K3838" s="2" t="s">
        <v>5</v>
      </c>
      <c r="L3838" s="2" t="s">
        <v>5</v>
      </c>
      <c r="M3838" s="2" t="s">
        <v>5</v>
      </c>
      <c r="N3838" s="4">
        <v>0</v>
      </c>
    </row>
    <row r="3839" spans="1:14" x14ac:dyDescent="0.25">
      <c r="A3839" s="2" t="s">
        <v>1077</v>
      </c>
      <c r="B3839" s="2" t="s">
        <v>1078</v>
      </c>
      <c r="C3839" s="3">
        <v>9</v>
      </c>
      <c r="D3839" s="4">
        <v>202.14</v>
      </c>
      <c r="E3839" s="4">
        <v>136.35</v>
      </c>
      <c r="F3839" s="4">
        <f t="shared" si="259"/>
        <v>65.789999999999992</v>
      </c>
      <c r="G3839" s="5">
        <f t="shared" si="260"/>
        <v>0.32546749777382011</v>
      </c>
      <c r="H3839" s="2" t="s">
        <v>5</v>
      </c>
      <c r="I3839" s="6" t="s">
        <v>2300</v>
      </c>
      <c r="J3839" s="2" t="s">
        <v>5</v>
      </c>
      <c r="K3839" s="2" t="s">
        <v>5</v>
      </c>
      <c r="L3839" s="2" t="s">
        <v>5</v>
      </c>
      <c r="M3839" s="2" t="s">
        <v>5</v>
      </c>
      <c r="N3839" s="4">
        <v>0</v>
      </c>
    </row>
    <row r="3840" spans="1:14" x14ac:dyDescent="0.25">
      <c r="A3840" s="2" t="s">
        <v>1077</v>
      </c>
      <c r="B3840" s="2" t="s">
        <v>1078</v>
      </c>
      <c r="C3840" s="3">
        <v>7</v>
      </c>
      <c r="D3840" s="4">
        <v>157.22</v>
      </c>
      <c r="E3840" s="4">
        <v>106.05</v>
      </c>
      <c r="F3840" s="4">
        <f t="shared" si="259"/>
        <v>51.17</v>
      </c>
      <c r="G3840" s="5">
        <f t="shared" si="260"/>
        <v>0.32546749777382011</v>
      </c>
      <c r="H3840" s="2" t="s">
        <v>5</v>
      </c>
      <c r="I3840" s="6" t="s">
        <v>2300</v>
      </c>
      <c r="J3840" s="2" t="s">
        <v>5</v>
      </c>
      <c r="K3840" s="2" t="s">
        <v>5</v>
      </c>
      <c r="L3840" s="2" t="s">
        <v>5</v>
      </c>
      <c r="M3840" s="2" t="s">
        <v>5</v>
      </c>
      <c r="N3840" s="4">
        <v>0</v>
      </c>
    </row>
    <row r="3841" spans="1:14" x14ac:dyDescent="0.25">
      <c r="A3841" s="2" t="s">
        <v>1077</v>
      </c>
      <c r="B3841" s="2" t="s">
        <v>1078</v>
      </c>
      <c r="C3841" s="3">
        <v>9</v>
      </c>
      <c r="D3841" s="4">
        <v>202.14</v>
      </c>
      <c r="E3841" s="4">
        <v>136.35</v>
      </c>
      <c r="F3841" s="4">
        <f t="shared" si="259"/>
        <v>65.789999999999992</v>
      </c>
      <c r="G3841" s="5">
        <f t="shared" si="260"/>
        <v>0.32546749777382011</v>
      </c>
      <c r="H3841" s="2" t="s">
        <v>5</v>
      </c>
      <c r="I3841" s="6" t="s">
        <v>2300</v>
      </c>
      <c r="J3841" s="2" t="s">
        <v>5</v>
      </c>
      <c r="K3841" s="2" t="s">
        <v>5</v>
      </c>
      <c r="L3841" s="2" t="s">
        <v>5</v>
      </c>
      <c r="M3841" s="2" t="s">
        <v>5</v>
      </c>
      <c r="N3841" s="4">
        <v>0</v>
      </c>
    </row>
    <row r="3842" spans="1:14" x14ac:dyDescent="0.25">
      <c r="A3842" s="2" t="s">
        <v>1077</v>
      </c>
      <c r="B3842" s="2" t="s">
        <v>1078</v>
      </c>
      <c r="C3842" s="3">
        <v>18</v>
      </c>
      <c r="D3842" s="4">
        <v>404.28</v>
      </c>
      <c r="E3842" s="4">
        <v>272.7</v>
      </c>
      <c r="F3842" s="4">
        <f t="shared" si="259"/>
        <v>131.57999999999998</v>
      </c>
      <c r="G3842" s="5">
        <f t="shared" si="260"/>
        <v>0.32546749777382011</v>
      </c>
      <c r="H3842" s="2" t="s">
        <v>5</v>
      </c>
      <c r="I3842" s="6" t="s">
        <v>2300</v>
      </c>
      <c r="J3842" s="2" t="s">
        <v>5</v>
      </c>
      <c r="K3842" s="2" t="s">
        <v>5</v>
      </c>
      <c r="L3842" s="2" t="s">
        <v>5</v>
      </c>
      <c r="M3842" s="2" t="s">
        <v>5</v>
      </c>
      <c r="N3842" s="4">
        <v>0</v>
      </c>
    </row>
    <row r="3843" spans="1:14" x14ac:dyDescent="0.25">
      <c r="A3843" s="2" t="s">
        <v>1079</v>
      </c>
      <c r="B3843" s="2" t="s">
        <v>1080</v>
      </c>
      <c r="C3843" s="3">
        <v>5</v>
      </c>
      <c r="D3843" s="4">
        <v>376.65</v>
      </c>
      <c r="E3843" s="4">
        <v>257.5</v>
      </c>
      <c r="F3843" s="4">
        <f t="shared" si="259"/>
        <v>119.14999999999998</v>
      </c>
      <c r="G3843" s="5">
        <f t="shared" si="260"/>
        <v>0.31634143103677148</v>
      </c>
      <c r="H3843" s="2" t="s">
        <v>5</v>
      </c>
      <c r="I3843" s="6" t="s">
        <v>2300</v>
      </c>
      <c r="J3843" s="2" t="s">
        <v>5</v>
      </c>
      <c r="K3843" s="2" t="s">
        <v>5</v>
      </c>
      <c r="L3843" s="2" t="s">
        <v>5</v>
      </c>
      <c r="M3843" s="2" t="s">
        <v>5</v>
      </c>
      <c r="N3843" s="4">
        <v>0</v>
      </c>
    </row>
    <row r="3844" spans="1:14" x14ac:dyDescent="0.25">
      <c r="A3844" s="2" t="s">
        <v>1079</v>
      </c>
      <c r="B3844" s="2" t="s">
        <v>1080</v>
      </c>
      <c r="C3844" s="3">
        <v>3</v>
      </c>
      <c r="D3844" s="4">
        <v>225.99</v>
      </c>
      <c r="E3844" s="4">
        <v>154.5</v>
      </c>
      <c r="F3844" s="4">
        <f t="shared" si="259"/>
        <v>71.490000000000009</v>
      </c>
      <c r="G3844" s="5">
        <f t="shared" si="260"/>
        <v>0.31634143103677159</v>
      </c>
      <c r="H3844" s="2" t="s">
        <v>5</v>
      </c>
      <c r="I3844" s="6" t="s">
        <v>2300</v>
      </c>
      <c r="J3844" s="2" t="s">
        <v>5</v>
      </c>
      <c r="K3844" s="2" t="s">
        <v>5</v>
      </c>
      <c r="L3844" s="2" t="s">
        <v>5</v>
      </c>
      <c r="M3844" s="2" t="s">
        <v>5</v>
      </c>
      <c r="N3844" s="4">
        <v>0</v>
      </c>
    </row>
    <row r="3845" spans="1:14" x14ac:dyDescent="0.25">
      <c r="A3845" s="2" t="s">
        <v>1079</v>
      </c>
      <c r="B3845" s="2" t="s">
        <v>1080</v>
      </c>
      <c r="C3845" s="3">
        <v>3</v>
      </c>
      <c r="D3845" s="4">
        <v>225.99</v>
      </c>
      <c r="E3845" s="4">
        <v>154.5</v>
      </c>
      <c r="F3845" s="4">
        <f t="shared" si="259"/>
        <v>71.490000000000009</v>
      </c>
      <c r="G3845" s="5">
        <f t="shared" si="260"/>
        <v>0.31634143103677159</v>
      </c>
      <c r="H3845" s="2" t="s">
        <v>5</v>
      </c>
      <c r="I3845" s="6" t="s">
        <v>2300</v>
      </c>
      <c r="J3845" s="2" t="s">
        <v>5</v>
      </c>
      <c r="K3845" s="2" t="s">
        <v>5</v>
      </c>
      <c r="L3845" s="2" t="s">
        <v>5</v>
      </c>
      <c r="M3845" s="2" t="s">
        <v>5</v>
      </c>
      <c r="N3845" s="4">
        <v>0</v>
      </c>
    </row>
    <row r="3846" spans="1:14" x14ac:dyDescent="0.25">
      <c r="A3846" s="2" t="s">
        <v>1079</v>
      </c>
      <c r="B3846" s="2" t="s">
        <v>1080</v>
      </c>
      <c r="C3846" s="3">
        <v>1</v>
      </c>
      <c r="D3846" s="4">
        <v>75.33</v>
      </c>
      <c r="E3846" s="4">
        <v>51.5</v>
      </c>
      <c r="F3846" s="4">
        <f t="shared" si="259"/>
        <v>23.83</v>
      </c>
      <c r="G3846" s="5">
        <f t="shared" si="260"/>
        <v>0.31634143103677154</v>
      </c>
      <c r="H3846" s="2" t="s">
        <v>5</v>
      </c>
      <c r="I3846" s="6" t="s">
        <v>2300</v>
      </c>
      <c r="J3846" s="2" t="s">
        <v>5</v>
      </c>
      <c r="K3846" s="2" t="s">
        <v>5</v>
      </c>
      <c r="L3846" s="2" t="s">
        <v>5</v>
      </c>
      <c r="M3846" s="2" t="s">
        <v>5</v>
      </c>
      <c r="N3846" s="4">
        <v>0</v>
      </c>
    </row>
    <row r="3847" spans="1:14" x14ac:dyDescent="0.25">
      <c r="A3847" s="2" t="s">
        <v>1079</v>
      </c>
      <c r="B3847" s="2" t="s">
        <v>1080</v>
      </c>
      <c r="C3847" s="3">
        <v>5</v>
      </c>
      <c r="D3847" s="4">
        <v>376.65</v>
      </c>
      <c r="E3847" s="4">
        <v>257.5</v>
      </c>
      <c r="F3847" s="4">
        <f t="shared" si="259"/>
        <v>119.14999999999998</v>
      </c>
      <c r="G3847" s="5">
        <f t="shared" si="260"/>
        <v>0.31634143103677148</v>
      </c>
      <c r="H3847" s="2" t="s">
        <v>5</v>
      </c>
      <c r="I3847" s="6" t="s">
        <v>2300</v>
      </c>
      <c r="J3847" s="2" t="s">
        <v>5</v>
      </c>
      <c r="K3847" s="2" t="s">
        <v>5</v>
      </c>
      <c r="L3847" s="2" t="s">
        <v>5</v>
      </c>
      <c r="M3847" s="2" t="s">
        <v>5</v>
      </c>
      <c r="N3847" s="4">
        <v>0</v>
      </c>
    </row>
    <row r="3848" spans="1:14" x14ac:dyDescent="0.25">
      <c r="A3848" s="2" t="s">
        <v>1079</v>
      </c>
      <c r="B3848" s="2" t="s">
        <v>1080</v>
      </c>
      <c r="C3848" s="3">
        <v>1</v>
      </c>
      <c r="D3848" s="4">
        <v>75.33</v>
      </c>
      <c r="E3848" s="4">
        <v>51.5</v>
      </c>
      <c r="F3848" s="4">
        <f t="shared" si="259"/>
        <v>23.83</v>
      </c>
      <c r="G3848" s="5">
        <f t="shared" si="260"/>
        <v>0.31634143103677154</v>
      </c>
      <c r="H3848" s="2" t="s">
        <v>5</v>
      </c>
      <c r="I3848" s="6" t="s">
        <v>2300</v>
      </c>
      <c r="J3848" s="2" t="s">
        <v>5</v>
      </c>
      <c r="K3848" s="2" t="s">
        <v>5</v>
      </c>
      <c r="L3848" s="2" t="s">
        <v>5</v>
      </c>
      <c r="M3848" s="2" t="s">
        <v>5</v>
      </c>
      <c r="N3848" s="4">
        <v>0</v>
      </c>
    </row>
    <row r="3849" spans="1:14" x14ac:dyDescent="0.25">
      <c r="A3849" s="2" t="s">
        <v>1079</v>
      </c>
      <c r="B3849" s="2" t="s">
        <v>1080</v>
      </c>
      <c r="C3849" s="3">
        <v>2</v>
      </c>
      <c r="D3849" s="4">
        <v>150.66</v>
      </c>
      <c r="E3849" s="4">
        <v>103</v>
      </c>
      <c r="F3849" s="4">
        <f t="shared" si="259"/>
        <v>47.66</v>
      </c>
      <c r="G3849" s="5">
        <f t="shared" si="260"/>
        <v>0.31634143103677154</v>
      </c>
      <c r="H3849" s="2" t="s">
        <v>5</v>
      </c>
      <c r="I3849" s="6" t="s">
        <v>2300</v>
      </c>
      <c r="J3849" s="2" t="s">
        <v>5</v>
      </c>
      <c r="K3849" s="2" t="s">
        <v>5</v>
      </c>
      <c r="L3849" s="2" t="s">
        <v>5</v>
      </c>
      <c r="M3849" s="2" t="s">
        <v>5</v>
      </c>
      <c r="N3849" s="4">
        <v>0</v>
      </c>
    </row>
    <row r="3850" spans="1:14" x14ac:dyDescent="0.25">
      <c r="A3850" s="2" t="s">
        <v>1079</v>
      </c>
      <c r="B3850" s="2" t="s">
        <v>1080</v>
      </c>
      <c r="C3850" s="3">
        <v>4</v>
      </c>
      <c r="D3850" s="4">
        <v>301.32</v>
      </c>
      <c r="E3850" s="4">
        <v>206</v>
      </c>
      <c r="F3850" s="4">
        <f t="shared" si="259"/>
        <v>95.32</v>
      </c>
      <c r="G3850" s="5">
        <f t="shared" si="260"/>
        <v>0.31634143103677154</v>
      </c>
      <c r="H3850" s="2" t="s">
        <v>5</v>
      </c>
      <c r="I3850" s="6" t="s">
        <v>2300</v>
      </c>
      <c r="J3850" s="2" t="s">
        <v>5</v>
      </c>
      <c r="K3850" s="2" t="s">
        <v>5</v>
      </c>
      <c r="L3850" s="2" t="s">
        <v>5</v>
      </c>
      <c r="M3850" s="2" t="s">
        <v>5</v>
      </c>
      <c r="N3850" s="4">
        <v>0</v>
      </c>
    </row>
    <row r="3851" spans="1:14" x14ac:dyDescent="0.25">
      <c r="A3851" s="2" t="s">
        <v>1081</v>
      </c>
      <c r="B3851" s="2" t="s">
        <v>1082</v>
      </c>
      <c r="C3851" s="3">
        <v>1</v>
      </c>
      <c r="D3851" s="4">
        <v>51.89</v>
      </c>
      <c r="E3851" s="4">
        <v>35.5</v>
      </c>
      <c r="F3851" s="4">
        <f t="shared" si="259"/>
        <v>16.39</v>
      </c>
      <c r="G3851" s="5">
        <f t="shared" si="260"/>
        <v>0.31586047407978418</v>
      </c>
      <c r="H3851" s="2" t="s">
        <v>5</v>
      </c>
      <c r="I3851" s="6" t="s">
        <v>2300</v>
      </c>
      <c r="J3851" s="2" t="s">
        <v>5</v>
      </c>
      <c r="K3851" s="2" t="s">
        <v>5</v>
      </c>
      <c r="L3851" s="2" t="s">
        <v>5</v>
      </c>
      <c r="M3851" s="2" t="s">
        <v>5</v>
      </c>
      <c r="N3851" s="4">
        <v>0</v>
      </c>
    </row>
    <row r="3852" spans="1:14" x14ac:dyDescent="0.25">
      <c r="A3852" s="2" t="s">
        <v>1081</v>
      </c>
      <c r="B3852" s="2" t="s">
        <v>1082</v>
      </c>
      <c r="C3852" s="3">
        <v>1</v>
      </c>
      <c r="D3852" s="4">
        <v>51.89</v>
      </c>
      <c r="E3852" s="4">
        <v>35.5</v>
      </c>
      <c r="F3852" s="4">
        <f t="shared" si="259"/>
        <v>16.39</v>
      </c>
      <c r="G3852" s="5">
        <f t="shared" si="260"/>
        <v>0.31586047407978418</v>
      </c>
      <c r="H3852" s="2" t="s">
        <v>5</v>
      </c>
      <c r="I3852" s="6" t="s">
        <v>2300</v>
      </c>
      <c r="J3852" s="2" t="s">
        <v>5</v>
      </c>
      <c r="K3852" s="2" t="s">
        <v>5</v>
      </c>
      <c r="L3852" s="2" t="s">
        <v>5</v>
      </c>
      <c r="M3852" s="2" t="s">
        <v>5</v>
      </c>
      <c r="N3852" s="4">
        <v>0</v>
      </c>
    </row>
    <row r="3853" spans="1:14" x14ac:dyDescent="0.25">
      <c r="A3853" s="2" t="s">
        <v>1081</v>
      </c>
      <c r="B3853" s="2" t="s">
        <v>1082</v>
      </c>
      <c r="C3853" s="3">
        <v>2</v>
      </c>
      <c r="D3853" s="4">
        <v>103.78</v>
      </c>
      <c r="E3853" s="4">
        <v>71</v>
      </c>
      <c r="F3853" s="4">
        <f t="shared" si="259"/>
        <v>32.78</v>
      </c>
      <c r="G3853" s="5">
        <f t="shared" si="260"/>
        <v>0.31586047407978418</v>
      </c>
      <c r="H3853" s="2" t="s">
        <v>5</v>
      </c>
      <c r="I3853" s="6" t="s">
        <v>2300</v>
      </c>
      <c r="J3853" s="2" t="s">
        <v>5</v>
      </c>
      <c r="K3853" s="2" t="s">
        <v>5</v>
      </c>
      <c r="L3853" s="2" t="s">
        <v>5</v>
      </c>
      <c r="M3853" s="2" t="s">
        <v>5</v>
      </c>
      <c r="N3853" s="4">
        <v>0</v>
      </c>
    </row>
    <row r="3854" spans="1:14" x14ac:dyDescent="0.25">
      <c r="A3854" s="2" t="s">
        <v>1081</v>
      </c>
      <c r="B3854" s="2" t="s">
        <v>1082</v>
      </c>
      <c r="C3854" s="3">
        <v>1</v>
      </c>
      <c r="D3854" s="4">
        <v>51.89</v>
      </c>
      <c r="E3854" s="4">
        <v>35.5</v>
      </c>
      <c r="F3854" s="4">
        <f t="shared" si="259"/>
        <v>16.39</v>
      </c>
      <c r="G3854" s="5">
        <f t="shared" si="260"/>
        <v>0.31586047407978418</v>
      </c>
      <c r="H3854" s="2" t="s">
        <v>5</v>
      </c>
      <c r="I3854" s="6" t="s">
        <v>2300</v>
      </c>
      <c r="J3854" s="2" t="s">
        <v>5</v>
      </c>
      <c r="K3854" s="2" t="s">
        <v>5</v>
      </c>
      <c r="L3854" s="2" t="s">
        <v>5</v>
      </c>
      <c r="M3854" s="2" t="s">
        <v>5</v>
      </c>
      <c r="N3854" s="4">
        <v>0</v>
      </c>
    </row>
    <row r="3855" spans="1:14" x14ac:dyDescent="0.25">
      <c r="A3855" s="2" t="s">
        <v>1081</v>
      </c>
      <c r="B3855" s="2" t="s">
        <v>1082</v>
      </c>
      <c r="C3855" s="3">
        <v>1</v>
      </c>
      <c r="D3855" s="4">
        <v>51.89</v>
      </c>
      <c r="E3855" s="4">
        <v>35.5</v>
      </c>
      <c r="F3855" s="4">
        <f t="shared" si="259"/>
        <v>16.39</v>
      </c>
      <c r="G3855" s="5">
        <f t="shared" si="260"/>
        <v>0.31586047407978418</v>
      </c>
      <c r="H3855" s="2" t="s">
        <v>5</v>
      </c>
      <c r="I3855" s="6" t="s">
        <v>2300</v>
      </c>
      <c r="J3855" s="2" t="s">
        <v>5</v>
      </c>
      <c r="K3855" s="2" t="s">
        <v>5</v>
      </c>
      <c r="L3855" s="2" t="s">
        <v>5</v>
      </c>
      <c r="M3855" s="2" t="s">
        <v>5</v>
      </c>
      <c r="N3855" s="4">
        <v>0</v>
      </c>
    </row>
    <row r="3856" spans="1:14" x14ac:dyDescent="0.25">
      <c r="A3856" s="2" t="s">
        <v>1081</v>
      </c>
      <c r="B3856" s="2" t="s">
        <v>1082</v>
      </c>
      <c r="C3856" s="3">
        <v>3</v>
      </c>
      <c r="D3856" s="4">
        <v>155.66999999999999</v>
      </c>
      <c r="E3856" s="4">
        <v>106.5</v>
      </c>
      <c r="F3856" s="4">
        <f t="shared" si="259"/>
        <v>49.169999999999987</v>
      </c>
      <c r="G3856" s="5">
        <f t="shared" si="260"/>
        <v>0.31586047407978413</v>
      </c>
      <c r="H3856" s="2" t="s">
        <v>5</v>
      </c>
      <c r="I3856" s="6" t="s">
        <v>2300</v>
      </c>
      <c r="J3856" s="2" t="s">
        <v>5</v>
      </c>
      <c r="K3856" s="2" t="s">
        <v>5</v>
      </c>
      <c r="L3856" s="2" t="s">
        <v>5</v>
      </c>
      <c r="M3856" s="2" t="s">
        <v>5</v>
      </c>
      <c r="N3856" s="4">
        <v>0</v>
      </c>
    </row>
    <row r="3857" spans="1:14" x14ac:dyDescent="0.25">
      <c r="A3857" s="2" t="s">
        <v>1081</v>
      </c>
      <c r="B3857" s="2" t="s">
        <v>1082</v>
      </c>
      <c r="C3857" s="3">
        <v>1</v>
      </c>
      <c r="D3857" s="4">
        <v>51.89</v>
      </c>
      <c r="E3857" s="4">
        <v>35.5</v>
      </c>
      <c r="F3857" s="4">
        <f t="shared" si="259"/>
        <v>16.39</v>
      </c>
      <c r="G3857" s="5">
        <f t="shared" si="260"/>
        <v>0.31586047407978418</v>
      </c>
      <c r="H3857" s="2" t="s">
        <v>5</v>
      </c>
      <c r="I3857" s="6" t="s">
        <v>2300</v>
      </c>
      <c r="J3857" s="2" t="s">
        <v>5</v>
      </c>
      <c r="K3857" s="2" t="s">
        <v>5</v>
      </c>
      <c r="L3857" s="2" t="s">
        <v>5</v>
      </c>
      <c r="M3857" s="2" t="s">
        <v>5</v>
      </c>
      <c r="N3857" s="4">
        <v>0</v>
      </c>
    </row>
    <row r="3858" spans="1:14" x14ac:dyDescent="0.25">
      <c r="A3858" s="2" t="s">
        <v>1081</v>
      </c>
      <c r="B3858" s="2" t="s">
        <v>1082</v>
      </c>
      <c r="C3858" s="3">
        <v>2</v>
      </c>
      <c r="D3858" s="4">
        <v>103.78</v>
      </c>
      <c r="E3858" s="4">
        <v>71</v>
      </c>
      <c r="F3858" s="4">
        <f t="shared" si="259"/>
        <v>32.78</v>
      </c>
      <c r="G3858" s="5">
        <f t="shared" si="260"/>
        <v>0.31586047407978418</v>
      </c>
      <c r="H3858" s="2" t="s">
        <v>5</v>
      </c>
      <c r="I3858" s="6" t="s">
        <v>2300</v>
      </c>
      <c r="J3858" s="2" t="s">
        <v>5</v>
      </c>
      <c r="K3858" s="2" t="s">
        <v>5</v>
      </c>
      <c r="L3858" s="2" t="s">
        <v>5</v>
      </c>
      <c r="M3858" s="2" t="s">
        <v>5</v>
      </c>
      <c r="N3858" s="4">
        <v>0</v>
      </c>
    </row>
    <row r="3859" spans="1:14" x14ac:dyDescent="0.25">
      <c r="A3859" s="2" t="s">
        <v>1083</v>
      </c>
      <c r="B3859" s="2" t="s">
        <v>1084</v>
      </c>
      <c r="C3859" s="3">
        <v>1</v>
      </c>
      <c r="D3859" s="4">
        <v>120.24</v>
      </c>
      <c r="E3859" s="4">
        <v>81.099999999999994</v>
      </c>
      <c r="F3859" s="4">
        <f t="shared" si="259"/>
        <v>39.14</v>
      </c>
      <c r="G3859" s="5">
        <f t="shared" si="260"/>
        <v>0.32551563539587491</v>
      </c>
      <c r="H3859" s="2" t="s">
        <v>5</v>
      </c>
      <c r="I3859" s="6" t="s">
        <v>2300</v>
      </c>
      <c r="J3859" s="2" t="s">
        <v>5</v>
      </c>
      <c r="K3859" s="2" t="s">
        <v>5</v>
      </c>
      <c r="L3859" s="2" t="s">
        <v>5</v>
      </c>
      <c r="M3859" s="2" t="s">
        <v>5</v>
      </c>
      <c r="N3859" s="4">
        <v>0</v>
      </c>
    </row>
    <row r="3860" spans="1:14" x14ac:dyDescent="0.25">
      <c r="A3860" s="2" t="s">
        <v>1083</v>
      </c>
      <c r="B3860" s="2" t="s">
        <v>1084</v>
      </c>
      <c r="C3860" s="3">
        <v>1</v>
      </c>
      <c r="D3860" s="4">
        <v>120.24</v>
      </c>
      <c r="E3860" s="4">
        <v>81.099999999999994</v>
      </c>
      <c r="F3860" s="4">
        <f t="shared" si="259"/>
        <v>39.14</v>
      </c>
      <c r="G3860" s="5">
        <f t="shared" si="260"/>
        <v>0.32551563539587491</v>
      </c>
      <c r="H3860" s="2" t="s">
        <v>5</v>
      </c>
      <c r="I3860" s="6" t="s">
        <v>2300</v>
      </c>
      <c r="J3860" s="2" t="s">
        <v>5</v>
      </c>
      <c r="K3860" s="2" t="s">
        <v>5</v>
      </c>
      <c r="L3860" s="2" t="s">
        <v>5</v>
      </c>
      <c r="M3860" s="2" t="s">
        <v>5</v>
      </c>
      <c r="N3860" s="4">
        <v>0</v>
      </c>
    </row>
    <row r="3861" spans="1:14" x14ac:dyDescent="0.25">
      <c r="A3861" s="2" t="s">
        <v>1083</v>
      </c>
      <c r="B3861" s="2" t="s">
        <v>1084</v>
      </c>
      <c r="C3861" s="3">
        <v>1</v>
      </c>
      <c r="D3861" s="4">
        <v>120.24</v>
      </c>
      <c r="E3861" s="4">
        <v>81.099999999999994</v>
      </c>
      <c r="F3861" s="4">
        <f t="shared" si="259"/>
        <v>39.14</v>
      </c>
      <c r="G3861" s="5">
        <f t="shared" si="260"/>
        <v>0.32551563539587491</v>
      </c>
      <c r="H3861" s="2" t="s">
        <v>5</v>
      </c>
      <c r="I3861" s="6" t="s">
        <v>2300</v>
      </c>
      <c r="J3861" s="2" t="s">
        <v>5</v>
      </c>
      <c r="K3861" s="2" t="s">
        <v>5</v>
      </c>
      <c r="L3861" s="2" t="s">
        <v>5</v>
      </c>
      <c r="M3861" s="2" t="s">
        <v>5</v>
      </c>
      <c r="N3861" s="4">
        <v>0</v>
      </c>
    </row>
    <row r="3862" spans="1:14" x14ac:dyDescent="0.25">
      <c r="A3862" s="2" t="s">
        <v>1132</v>
      </c>
      <c r="B3862" s="2" t="s">
        <v>1133</v>
      </c>
      <c r="C3862" s="3">
        <v>1</v>
      </c>
      <c r="D3862" s="4">
        <v>98.44</v>
      </c>
      <c r="E3862" s="4">
        <v>66.400000000000006</v>
      </c>
      <c r="F3862" s="4">
        <f t="shared" si="259"/>
        <v>32.039999999999992</v>
      </c>
      <c r="G3862" s="5">
        <f t="shared" si="260"/>
        <v>0.32547744819179186</v>
      </c>
      <c r="H3862" s="2" t="s">
        <v>5</v>
      </c>
      <c r="I3862" s="6" t="s">
        <v>2300</v>
      </c>
      <c r="J3862" s="2" t="s">
        <v>5</v>
      </c>
      <c r="K3862" s="2" t="s">
        <v>5</v>
      </c>
      <c r="L3862" s="2" t="s">
        <v>5</v>
      </c>
      <c r="M3862" s="2" t="s">
        <v>5</v>
      </c>
      <c r="N3862" s="4">
        <v>0</v>
      </c>
    </row>
    <row r="3863" spans="1:14" x14ac:dyDescent="0.25">
      <c r="A3863" s="2" t="s">
        <v>1132</v>
      </c>
      <c r="B3863" s="2" t="s">
        <v>1133</v>
      </c>
      <c r="C3863" s="3">
        <v>1</v>
      </c>
      <c r="D3863" s="4">
        <v>98.44</v>
      </c>
      <c r="E3863" s="4">
        <v>66.400000000000006</v>
      </c>
      <c r="F3863" s="4">
        <f t="shared" si="259"/>
        <v>32.039999999999992</v>
      </c>
      <c r="G3863" s="5">
        <f t="shared" si="260"/>
        <v>0.32547744819179186</v>
      </c>
      <c r="H3863" s="2" t="s">
        <v>5</v>
      </c>
      <c r="I3863" s="6" t="s">
        <v>2300</v>
      </c>
      <c r="J3863" s="2" t="s">
        <v>5</v>
      </c>
      <c r="K3863" s="2" t="s">
        <v>5</v>
      </c>
      <c r="L3863" s="2" t="s">
        <v>5</v>
      </c>
      <c r="M3863" s="2" t="s">
        <v>5</v>
      </c>
      <c r="N3863" s="4">
        <v>0</v>
      </c>
    </row>
    <row r="3864" spans="1:14" x14ac:dyDescent="0.25">
      <c r="A3864" s="2" t="s">
        <v>1132</v>
      </c>
      <c r="B3864" s="2" t="s">
        <v>1133</v>
      </c>
      <c r="C3864" s="3">
        <v>1</v>
      </c>
      <c r="D3864" s="4">
        <v>98.44</v>
      </c>
      <c r="E3864" s="4">
        <v>66.400000000000006</v>
      </c>
      <c r="F3864" s="4">
        <f t="shared" si="259"/>
        <v>32.039999999999992</v>
      </c>
      <c r="G3864" s="5">
        <f t="shared" si="260"/>
        <v>0.32547744819179186</v>
      </c>
      <c r="H3864" s="2" t="s">
        <v>5</v>
      </c>
      <c r="I3864" s="6" t="s">
        <v>2300</v>
      </c>
      <c r="J3864" s="2" t="s">
        <v>5</v>
      </c>
      <c r="K3864" s="2" t="s">
        <v>5</v>
      </c>
      <c r="L3864" s="2" t="s">
        <v>5</v>
      </c>
      <c r="M3864" s="2" t="s">
        <v>5</v>
      </c>
      <c r="N3864" s="4">
        <v>0</v>
      </c>
    </row>
    <row r="3865" spans="1:14" x14ac:dyDescent="0.25">
      <c r="A3865" s="2" t="s">
        <v>146</v>
      </c>
      <c r="B3865" s="2" t="s">
        <v>147</v>
      </c>
      <c r="C3865" s="3">
        <v>44.45</v>
      </c>
      <c r="D3865" s="4">
        <v>616.52149999999995</v>
      </c>
      <c r="E3865" s="4">
        <v>502.28500000000003</v>
      </c>
      <c r="F3865" s="4">
        <f t="shared" si="259"/>
        <v>114.23649999999992</v>
      </c>
      <c r="G3865" s="5">
        <f t="shared" si="260"/>
        <v>0.18529199711607774</v>
      </c>
      <c r="H3865" s="2" t="s">
        <v>5</v>
      </c>
      <c r="I3865" s="6" t="s">
        <v>2300</v>
      </c>
      <c r="J3865" s="2" t="s">
        <v>5</v>
      </c>
      <c r="K3865" s="2" t="s">
        <v>5</v>
      </c>
      <c r="L3865" s="2" t="s">
        <v>5</v>
      </c>
      <c r="M3865" s="2" t="s">
        <v>5</v>
      </c>
      <c r="N3865" s="4">
        <v>0</v>
      </c>
    </row>
    <row r="3866" spans="1:14" x14ac:dyDescent="0.25">
      <c r="A3866" s="2" t="s">
        <v>146</v>
      </c>
      <c r="B3866" s="2" t="s">
        <v>147</v>
      </c>
      <c r="C3866" s="3">
        <v>66.05</v>
      </c>
      <c r="D3866" s="4">
        <v>893.65650000000005</v>
      </c>
      <c r="E3866" s="4">
        <v>746.36500000000001</v>
      </c>
      <c r="F3866" s="4">
        <f t="shared" si="259"/>
        <v>147.29150000000004</v>
      </c>
      <c r="G3866" s="5">
        <f t="shared" si="260"/>
        <v>0.16481892091648193</v>
      </c>
      <c r="H3866" s="2" t="s">
        <v>5</v>
      </c>
      <c r="I3866" s="6" t="s">
        <v>2300</v>
      </c>
      <c r="J3866" s="2" t="s">
        <v>5</v>
      </c>
      <c r="K3866" s="2" t="s">
        <v>5</v>
      </c>
      <c r="L3866" s="2" t="s">
        <v>5</v>
      </c>
      <c r="M3866" s="2" t="s">
        <v>5</v>
      </c>
      <c r="N3866" s="4">
        <v>0</v>
      </c>
    </row>
    <row r="3867" spans="1:14" x14ac:dyDescent="0.25">
      <c r="A3867" s="2" t="s">
        <v>146</v>
      </c>
      <c r="B3867" s="2" t="s">
        <v>147</v>
      </c>
      <c r="C3867" s="3">
        <v>72.42</v>
      </c>
      <c r="D3867" s="4">
        <v>1017.501</v>
      </c>
      <c r="E3867" s="4">
        <v>818.346</v>
      </c>
      <c r="F3867" s="4">
        <f t="shared" si="259"/>
        <v>199.15499999999997</v>
      </c>
      <c r="G3867" s="5">
        <f t="shared" si="260"/>
        <v>0.19572953736654802</v>
      </c>
      <c r="H3867" s="2" t="s">
        <v>5</v>
      </c>
      <c r="I3867" s="6" t="s">
        <v>2300</v>
      </c>
      <c r="J3867" s="2" t="s">
        <v>5</v>
      </c>
      <c r="K3867" s="2" t="s">
        <v>5</v>
      </c>
      <c r="L3867" s="2" t="s">
        <v>5</v>
      </c>
      <c r="M3867" s="2" t="s">
        <v>5</v>
      </c>
      <c r="N3867" s="4">
        <v>0</v>
      </c>
    </row>
    <row r="3868" spans="1:14" x14ac:dyDescent="0.25">
      <c r="A3868" s="2" t="s">
        <v>146</v>
      </c>
      <c r="B3868" s="2" t="s">
        <v>147</v>
      </c>
      <c r="C3868" s="3">
        <v>34.46</v>
      </c>
      <c r="D3868" s="4">
        <v>388.7088</v>
      </c>
      <c r="E3868" s="4">
        <v>389.39800000000002</v>
      </c>
      <c r="F3868" s="4">
        <f t="shared" si="259"/>
        <v>-0.68920000000002801</v>
      </c>
      <c r="G3868" s="5">
        <f t="shared" si="260"/>
        <v>-1.7730496453901431E-3</v>
      </c>
      <c r="H3868" s="2" t="s">
        <v>5</v>
      </c>
      <c r="I3868" s="6" t="s">
        <v>2300</v>
      </c>
      <c r="J3868" s="2" t="s">
        <v>5</v>
      </c>
      <c r="K3868" s="2" t="s">
        <v>5</v>
      </c>
      <c r="L3868" s="2" t="s">
        <v>5</v>
      </c>
      <c r="M3868" s="2" t="s">
        <v>5</v>
      </c>
      <c r="N3868" s="4">
        <v>0</v>
      </c>
    </row>
    <row r="3869" spans="1:14" x14ac:dyDescent="0.25">
      <c r="A3869" s="2" t="s">
        <v>146</v>
      </c>
      <c r="B3869" s="2" t="s">
        <v>147</v>
      </c>
      <c r="C3869" s="3">
        <v>22.45</v>
      </c>
      <c r="D3869" s="4">
        <v>343.70949999999999</v>
      </c>
      <c r="E3869" s="4">
        <v>253.685</v>
      </c>
      <c r="F3869" s="4">
        <f t="shared" si="259"/>
        <v>90.024499999999989</v>
      </c>
      <c r="G3869" s="5">
        <f t="shared" si="260"/>
        <v>0.26192031352057477</v>
      </c>
      <c r="H3869" s="2" t="s">
        <v>5</v>
      </c>
      <c r="I3869" s="6" t="s">
        <v>2300</v>
      </c>
      <c r="J3869" s="2" t="s">
        <v>5</v>
      </c>
      <c r="K3869" s="2" t="s">
        <v>5</v>
      </c>
      <c r="L3869" s="2" t="s">
        <v>5</v>
      </c>
      <c r="M3869" s="2" t="s">
        <v>5</v>
      </c>
      <c r="N3869" s="4">
        <v>0</v>
      </c>
    </row>
    <row r="3870" spans="1:14" x14ac:dyDescent="0.25">
      <c r="A3870" s="2" t="s">
        <v>146</v>
      </c>
      <c r="B3870" s="2" t="s">
        <v>147</v>
      </c>
      <c r="C3870" s="3">
        <v>65.45</v>
      </c>
      <c r="D3870" s="4">
        <v>885.5385</v>
      </c>
      <c r="E3870" s="4">
        <v>739.58500000000004</v>
      </c>
      <c r="F3870" s="4">
        <f t="shared" si="259"/>
        <v>145.95349999999996</v>
      </c>
      <c r="G3870" s="5">
        <f t="shared" si="260"/>
        <v>0.16481892091648184</v>
      </c>
      <c r="H3870" s="2" t="s">
        <v>5</v>
      </c>
      <c r="I3870" s="6" t="s">
        <v>2300</v>
      </c>
      <c r="J3870" s="2" t="s">
        <v>5</v>
      </c>
      <c r="K3870" s="2" t="s">
        <v>5</v>
      </c>
      <c r="L3870" s="2" t="s">
        <v>5</v>
      </c>
      <c r="M3870" s="2" t="s">
        <v>5</v>
      </c>
      <c r="N3870" s="4">
        <v>0</v>
      </c>
    </row>
    <row r="3871" spans="1:14" x14ac:dyDescent="0.25">
      <c r="A3871" s="2" t="s">
        <v>146</v>
      </c>
      <c r="B3871" s="2" t="s">
        <v>147</v>
      </c>
      <c r="C3871" s="3">
        <v>24.5</v>
      </c>
      <c r="D3871" s="4">
        <v>331.48500000000001</v>
      </c>
      <c r="E3871" s="4">
        <v>276.85000000000002</v>
      </c>
      <c r="F3871" s="4">
        <f t="shared" si="259"/>
        <v>54.634999999999991</v>
      </c>
      <c r="G3871" s="5">
        <f t="shared" si="260"/>
        <v>0.16481892091648187</v>
      </c>
      <c r="H3871" s="2" t="s">
        <v>5</v>
      </c>
      <c r="I3871" s="6" t="s">
        <v>2300</v>
      </c>
      <c r="J3871" s="2" t="s">
        <v>5</v>
      </c>
      <c r="K3871" s="2" t="s">
        <v>5</v>
      </c>
      <c r="L3871" s="2" t="s">
        <v>5</v>
      </c>
      <c r="M3871" s="2" t="s">
        <v>5</v>
      </c>
      <c r="N3871" s="4">
        <v>0</v>
      </c>
    </row>
    <row r="3872" spans="1:14" x14ac:dyDescent="0.25">
      <c r="A3872" s="2" t="s">
        <v>146</v>
      </c>
      <c r="B3872" s="2" t="s">
        <v>147</v>
      </c>
      <c r="C3872" s="3">
        <v>71.8</v>
      </c>
      <c r="D3872" s="4">
        <v>971.45399999999995</v>
      </c>
      <c r="E3872" s="4">
        <v>811.34</v>
      </c>
      <c r="F3872" s="4">
        <f t="shared" si="259"/>
        <v>160.11399999999992</v>
      </c>
      <c r="G3872" s="5">
        <f t="shared" si="260"/>
        <v>0.16481892091648181</v>
      </c>
      <c r="H3872" s="2" t="s">
        <v>5</v>
      </c>
      <c r="I3872" s="6" t="s">
        <v>2300</v>
      </c>
      <c r="J3872" s="2" t="s">
        <v>5</v>
      </c>
      <c r="K3872" s="2" t="s">
        <v>5</v>
      </c>
      <c r="L3872" s="2" t="s">
        <v>5</v>
      </c>
      <c r="M3872" s="2" t="s">
        <v>5</v>
      </c>
      <c r="N3872" s="4">
        <v>0</v>
      </c>
    </row>
    <row r="3873" spans="1:14" x14ac:dyDescent="0.25">
      <c r="A3873" s="2" t="s">
        <v>146</v>
      </c>
      <c r="B3873" s="2" t="s">
        <v>147</v>
      </c>
      <c r="C3873" s="3">
        <v>67.5</v>
      </c>
      <c r="D3873" s="4">
        <v>948.375</v>
      </c>
      <c r="E3873" s="4">
        <v>762.75</v>
      </c>
      <c r="F3873" s="4">
        <f t="shared" ref="F3873:F3936" si="261">D3873-E3873</f>
        <v>185.625</v>
      </c>
      <c r="G3873" s="5">
        <f t="shared" ref="G3873:G3936" si="262">IF(((D3873)=0),0,(D3873-E3873)/ D3873)</f>
        <v>0.19572953736654805</v>
      </c>
      <c r="H3873" s="2" t="s">
        <v>5</v>
      </c>
      <c r="I3873" s="6" t="s">
        <v>2300</v>
      </c>
      <c r="J3873" s="2" t="s">
        <v>5</v>
      </c>
      <c r="K3873" s="2" t="s">
        <v>5</v>
      </c>
      <c r="L3873" s="2" t="s">
        <v>5</v>
      </c>
      <c r="M3873" s="2" t="s">
        <v>5</v>
      </c>
      <c r="N3873" s="4">
        <v>0</v>
      </c>
    </row>
    <row r="3874" spans="1:14" x14ac:dyDescent="0.25">
      <c r="A3874" s="2" t="s">
        <v>146</v>
      </c>
      <c r="B3874" s="2" t="s">
        <v>147</v>
      </c>
      <c r="C3874" s="3">
        <v>16.54</v>
      </c>
      <c r="D3874" s="4">
        <v>229.40979999999999</v>
      </c>
      <c r="E3874" s="4">
        <v>186.90199999999999</v>
      </c>
      <c r="F3874" s="4">
        <f t="shared" si="261"/>
        <v>42.507800000000003</v>
      </c>
      <c r="G3874" s="5">
        <f t="shared" si="262"/>
        <v>0.18529199711607788</v>
      </c>
      <c r="H3874" s="2" t="s">
        <v>5</v>
      </c>
      <c r="I3874" s="6" t="s">
        <v>2300</v>
      </c>
      <c r="J3874" s="2" t="s">
        <v>5</v>
      </c>
      <c r="K3874" s="2" t="s">
        <v>5</v>
      </c>
      <c r="L3874" s="2" t="s">
        <v>5</v>
      </c>
      <c r="M3874" s="2" t="s">
        <v>5</v>
      </c>
      <c r="N3874" s="4">
        <v>0</v>
      </c>
    </row>
    <row r="3875" spans="1:14" x14ac:dyDescent="0.25">
      <c r="A3875" s="2" t="s">
        <v>146</v>
      </c>
      <c r="B3875" s="2" t="s">
        <v>147</v>
      </c>
      <c r="C3875" s="3">
        <v>23.75</v>
      </c>
      <c r="D3875" s="4">
        <v>331.78750000000002</v>
      </c>
      <c r="E3875" s="4">
        <v>268.375</v>
      </c>
      <c r="F3875" s="4">
        <f t="shared" si="261"/>
        <v>63.412500000000023</v>
      </c>
      <c r="G3875" s="5">
        <f t="shared" si="262"/>
        <v>0.19112383679312819</v>
      </c>
      <c r="H3875" s="2" t="s">
        <v>5</v>
      </c>
      <c r="I3875" s="6" t="s">
        <v>2300</v>
      </c>
      <c r="J3875" s="2" t="s">
        <v>5</v>
      </c>
      <c r="K3875" s="2" t="s">
        <v>5</v>
      </c>
      <c r="L3875" s="2" t="s">
        <v>5</v>
      </c>
      <c r="M3875" s="2" t="s">
        <v>5</v>
      </c>
      <c r="N3875" s="4">
        <v>0</v>
      </c>
    </row>
    <row r="3876" spans="1:14" x14ac:dyDescent="0.25">
      <c r="A3876" s="2" t="s">
        <v>146</v>
      </c>
      <c r="B3876" s="2" t="s">
        <v>147</v>
      </c>
      <c r="C3876" s="3">
        <v>8.75</v>
      </c>
      <c r="D3876" s="4">
        <v>133.96250000000001</v>
      </c>
      <c r="E3876" s="4">
        <v>98.875</v>
      </c>
      <c r="F3876" s="4">
        <f t="shared" si="261"/>
        <v>35.087500000000006</v>
      </c>
      <c r="G3876" s="5">
        <f t="shared" si="262"/>
        <v>0.26192031352057482</v>
      </c>
      <c r="H3876" s="2" t="s">
        <v>5</v>
      </c>
      <c r="I3876" s="6" t="s">
        <v>2300</v>
      </c>
      <c r="J3876" s="2" t="s">
        <v>5</v>
      </c>
      <c r="K3876" s="2" t="s">
        <v>5</v>
      </c>
      <c r="L3876" s="2" t="s">
        <v>5</v>
      </c>
      <c r="M3876" s="2" t="s">
        <v>5</v>
      </c>
      <c r="N3876" s="4">
        <v>0</v>
      </c>
    </row>
    <row r="3877" spans="1:14" x14ac:dyDescent="0.25">
      <c r="A3877" s="2" t="s">
        <v>146</v>
      </c>
      <c r="B3877" s="2" t="s">
        <v>147</v>
      </c>
      <c r="C3877" s="3">
        <v>43.64</v>
      </c>
      <c r="D3877" s="4">
        <v>609.6508</v>
      </c>
      <c r="E3877" s="4">
        <v>493.13200000000001</v>
      </c>
      <c r="F3877" s="4">
        <f t="shared" si="261"/>
        <v>116.5188</v>
      </c>
      <c r="G3877" s="5">
        <f t="shared" si="262"/>
        <v>0.19112383679312814</v>
      </c>
      <c r="H3877" s="2" t="s">
        <v>5</v>
      </c>
      <c r="I3877" s="6" t="s">
        <v>2300</v>
      </c>
      <c r="J3877" s="2" t="s">
        <v>5</v>
      </c>
      <c r="K3877" s="2" t="s">
        <v>5</v>
      </c>
      <c r="L3877" s="2" t="s">
        <v>5</v>
      </c>
      <c r="M3877" s="2" t="s">
        <v>5</v>
      </c>
      <c r="N3877" s="4">
        <v>0</v>
      </c>
    </row>
    <row r="3878" spans="1:14" x14ac:dyDescent="0.25">
      <c r="A3878" s="2" t="s">
        <v>146</v>
      </c>
      <c r="B3878" s="2" t="s">
        <v>147</v>
      </c>
      <c r="C3878" s="3">
        <v>18.88</v>
      </c>
      <c r="D3878" s="4">
        <v>287.54239999999999</v>
      </c>
      <c r="E3878" s="4">
        <v>213.34399999999999</v>
      </c>
      <c r="F3878" s="4">
        <f t="shared" si="261"/>
        <v>74.198399999999992</v>
      </c>
      <c r="G3878" s="5">
        <f t="shared" si="262"/>
        <v>0.25804333552199604</v>
      </c>
      <c r="H3878" s="2" t="s">
        <v>5</v>
      </c>
      <c r="I3878" s="6" t="s">
        <v>2300</v>
      </c>
      <c r="J3878" s="2" t="s">
        <v>5</v>
      </c>
      <c r="K3878" s="2" t="s">
        <v>5</v>
      </c>
      <c r="L3878" s="2" t="s">
        <v>5</v>
      </c>
      <c r="M3878" s="2" t="s">
        <v>5</v>
      </c>
      <c r="N3878" s="4">
        <v>0</v>
      </c>
    </row>
    <row r="3879" spans="1:14" x14ac:dyDescent="0.25">
      <c r="A3879" s="2" t="s">
        <v>146</v>
      </c>
      <c r="B3879" s="2" t="s">
        <v>147</v>
      </c>
      <c r="C3879" s="3">
        <v>5.3280000000000003</v>
      </c>
      <c r="D3879" s="4">
        <v>71.022239999999996</v>
      </c>
      <c r="E3879" s="4">
        <v>60.206400000000002</v>
      </c>
      <c r="F3879" s="4">
        <f t="shared" si="261"/>
        <v>10.815839999999994</v>
      </c>
      <c r="G3879" s="5">
        <f t="shared" si="262"/>
        <v>0.15228807201800443</v>
      </c>
      <c r="H3879" s="2" t="s">
        <v>5</v>
      </c>
      <c r="I3879" s="6" t="s">
        <v>2300</v>
      </c>
      <c r="J3879" s="2" t="s">
        <v>5</v>
      </c>
      <c r="K3879" s="2" t="s">
        <v>5</v>
      </c>
      <c r="L3879" s="2" t="s">
        <v>5</v>
      </c>
      <c r="M3879" s="2" t="s">
        <v>5</v>
      </c>
      <c r="N3879" s="4">
        <v>0</v>
      </c>
    </row>
    <row r="3880" spans="1:14" x14ac:dyDescent="0.25">
      <c r="A3880" s="2" t="s">
        <v>146</v>
      </c>
      <c r="B3880" s="2" t="s">
        <v>147</v>
      </c>
      <c r="C3880" s="3">
        <v>22.05</v>
      </c>
      <c r="D3880" s="4">
        <v>309.80250000000001</v>
      </c>
      <c r="E3880" s="4">
        <v>249.16499999999999</v>
      </c>
      <c r="F3880" s="4">
        <f t="shared" si="261"/>
        <v>60.637500000000017</v>
      </c>
      <c r="G3880" s="5">
        <f t="shared" si="262"/>
        <v>0.19572953736654808</v>
      </c>
      <c r="H3880" s="2" t="s">
        <v>5</v>
      </c>
      <c r="I3880" s="6" t="s">
        <v>2300</v>
      </c>
      <c r="J3880" s="2" t="s">
        <v>5</v>
      </c>
      <c r="K3880" s="2" t="s">
        <v>5</v>
      </c>
      <c r="L3880" s="2" t="s">
        <v>5</v>
      </c>
      <c r="M3880" s="2" t="s">
        <v>5</v>
      </c>
      <c r="N3880" s="4">
        <v>0</v>
      </c>
    </row>
    <row r="3881" spans="1:14" x14ac:dyDescent="0.25">
      <c r="A3881" s="2" t="s">
        <v>146</v>
      </c>
      <c r="B3881" s="2" t="s">
        <v>147</v>
      </c>
      <c r="C3881" s="3">
        <v>43.94</v>
      </c>
      <c r="D3881" s="4">
        <v>594.50819999999999</v>
      </c>
      <c r="E3881" s="4">
        <v>496.52199999999999</v>
      </c>
      <c r="F3881" s="4">
        <f t="shared" si="261"/>
        <v>97.986199999999997</v>
      </c>
      <c r="G3881" s="5">
        <f t="shared" si="262"/>
        <v>0.1648189209164819</v>
      </c>
      <c r="H3881" s="2" t="s">
        <v>5</v>
      </c>
      <c r="I3881" s="6" t="s">
        <v>2300</v>
      </c>
      <c r="J3881" s="2" t="s">
        <v>5</v>
      </c>
      <c r="K3881" s="2" t="s">
        <v>5</v>
      </c>
      <c r="L3881" s="2" t="s">
        <v>5</v>
      </c>
      <c r="M3881" s="2" t="s">
        <v>5</v>
      </c>
      <c r="N3881" s="4">
        <v>0</v>
      </c>
    </row>
    <row r="3882" spans="1:14" x14ac:dyDescent="0.25">
      <c r="A3882" s="2" t="s">
        <v>36</v>
      </c>
      <c r="B3882" s="2" t="s">
        <v>37</v>
      </c>
      <c r="C3882" s="3">
        <v>8</v>
      </c>
      <c r="D3882" s="4">
        <v>270.16000000000003</v>
      </c>
      <c r="E3882" s="4">
        <v>178.96</v>
      </c>
      <c r="F3882" s="4">
        <f t="shared" si="261"/>
        <v>91.200000000000017</v>
      </c>
      <c r="G3882" s="5">
        <f t="shared" si="262"/>
        <v>0.33757773171453959</v>
      </c>
      <c r="H3882" s="2" t="s">
        <v>5</v>
      </c>
      <c r="I3882" s="6" t="s">
        <v>2300</v>
      </c>
      <c r="J3882" s="2" t="s">
        <v>5</v>
      </c>
      <c r="K3882" s="2" t="s">
        <v>5</v>
      </c>
      <c r="L3882" s="2" t="s">
        <v>5</v>
      </c>
      <c r="M3882" s="2" t="s">
        <v>5</v>
      </c>
      <c r="N3882" s="4">
        <v>0</v>
      </c>
    </row>
    <row r="3883" spans="1:14" x14ac:dyDescent="0.25">
      <c r="A3883" s="2" t="s">
        <v>36</v>
      </c>
      <c r="B3883" s="2" t="s">
        <v>37</v>
      </c>
      <c r="C3883" s="3">
        <v>10</v>
      </c>
      <c r="D3883" s="4">
        <v>337.7</v>
      </c>
      <c r="E3883" s="4">
        <v>223.7</v>
      </c>
      <c r="F3883" s="4">
        <f t="shared" si="261"/>
        <v>114</v>
      </c>
      <c r="G3883" s="5">
        <f t="shared" si="262"/>
        <v>0.33757773171453953</v>
      </c>
      <c r="H3883" s="2" t="s">
        <v>5</v>
      </c>
      <c r="I3883" s="6" t="s">
        <v>2300</v>
      </c>
      <c r="J3883" s="2" t="s">
        <v>5</v>
      </c>
      <c r="K3883" s="2" t="s">
        <v>5</v>
      </c>
      <c r="L3883" s="2" t="s">
        <v>5</v>
      </c>
      <c r="M3883" s="2" t="s">
        <v>5</v>
      </c>
      <c r="N3883" s="4">
        <v>0</v>
      </c>
    </row>
    <row r="3884" spans="1:14" x14ac:dyDescent="0.25">
      <c r="A3884" s="2" t="s">
        <v>36</v>
      </c>
      <c r="B3884" s="2" t="s">
        <v>37</v>
      </c>
      <c r="C3884" s="3">
        <v>16</v>
      </c>
      <c r="D3884" s="4">
        <v>540.32000000000005</v>
      </c>
      <c r="E3884" s="4">
        <v>357.92</v>
      </c>
      <c r="F3884" s="4">
        <f t="shared" si="261"/>
        <v>182.40000000000003</v>
      </c>
      <c r="G3884" s="5">
        <f t="shared" si="262"/>
        <v>0.33757773171453959</v>
      </c>
      <c r="H3884" s="2" t="s">
        <v>5</v>
      </c>
      <c r="I3884" s="6" t="s">
        <v>2300</v>
      </c>
      <c r="J3884" s="2" t="s">
        <v>5</v>
      </c>
      <c r="K3884" s="2" t="s">
        <v>5</v>
      </c>
      <c r="L3884" s="2" t="s">
        <v>5</v>
      </c>
      <c r="M3884" s="2" t="s">
        <v>5</v>
      </c>
      <c r="N3884" s="4">
        <v>0</v>
      </c>
    </row>
    <row r="3885" spans="1:14" x14ac:dyDescent="0.25">
      <c r="A3885" s="2" t="s">
        <v>196</v>
      </c>
      <c r="B3885" s="2" t="s">
        <v>197</v>
      </c>
      <c r="C3885" s="3">
        <v>71.900000000000006</v>
      </c>
      <c r="D3885" s="4">
        <v>1653.7</v>
      </c>
      <c r="E3885" s="4">
        <v>1287.01</v>
      </c>
      <c r="F3885" s="4">
        <f t="shared" si="261"/>
        <v>366.69000000000005</v>
      </c>
      <c r="G3885" s="5">
        <f t="shared" si="262"/>
        <v>0.22173913043478263</v>
      </c>
      <c r="H3885" s="2" t="s">
        <v>5</v>
      </c>
      <c r="I3885" s="6" t="s">
        <v>2300</v>
      </c>
      <c r="J3885" s="2" t="s">
        <v>5</v>
      </c>
      <c r="K3885" s="2" t="s">
        <v>5</v>
      </c>
      <c r="L3885" s="2" t="s">
        <v>5</v>
      </c>
      <c r="M3885" s="2" t="s">
        <v>5</v>
      </c>
      <c r="N3885" s="4">
        <v>0</v>
      </c>
    </row>
    <row r="3886" spans="1:14" x14ac:dyDescent="0.25">
      <c r="A3886" s="2" t="s">
        <v>196</v>
      </c>
      <c r="B3886" s="2" t="s">
        <v>197</v>
      </c>
      <c r="C3886" s="3">
        <v>3.87</v>
      </c>
      <c r="D3886" s="4">
        <v>72.678600000000003</v>
      </c>
      <c r="E3886" s="4">
        <v>69.272999999999996</v>
      </c>
      <c r="F3886" s="4">
        <f t="shared" si="261"/>
        <v>3.4056000000000068</v>
      </c>
      <c r="G3886" s="5">
        <f t="shared" si="262"/>
        <v>4.6858359957401584E-2</v>
      </c>
      <c r="H3886" s="2" t="s">
        <v>5</v>
      </c>
      <c r="I3886" s="6" t="s">
        <v>2300</v>
      </c>
      <c r="J3886" s="2" t="s">
        <v>5</v>
      </c>
      <c r="K3886" s="2" t="s">
        <v>5</v>
      </c>
      <c r="L3886" s="2" t="s">
        <v>5</v>
      </c>
      <c r="M3886" s="2" t="s">
        <v>5</v>
      </c>
      <c r="N3886" s="4">
        <v>0</v>
      </c>
    </row>
    <row r="3887" spans="1:14" x14ac:dyDescent="0.25">
      <c r="A3887" s="2" t="s">
        <v>196</v>
      </c>
      <c r="B3887" s="2" t="s">
        <v>197</v>
      </c>
      <c r="C3887" s="3">
        <v>18.14</v>
      </c>
      <c r="D3887" s="4">
        <v>340.66919999999999</v>
      </c>
      <c r="E3887" s="4">
        <v>324.70600000000002</v>
      </c>
      <c r="F3887" s="4">
        <f t="shared" si="261"/>
        <v>15.963199999999972</v>
      </c>
      <c r="G3887" s="5">
        <f t="shared" si="262"/>
        <v>4.685835995740141E-2</v>
      </c>
      <c r="H3887" s="2" t="s">
        <v>5</v>
      </c>
      <c r="I3887" s="6" t="s">
        <v>2300</v>
      </c>
      <c r="J3887" s="2" t="s">
        <v>5</v>
      </c>
      <c r="K3887" s="2" t="s">
        <v>5</v>
      </c>
      <c r="L3887" s="2" t="s">
        <v>5</v>
      </c>
      <c r="M3887" s="2" t="s">
        <v>5</v>
      </c>
      <c r="N3887" s="4">
        <v>0</v>
      </c>
    </row>
    <row r="3888" spans="1:14" x14ac:dyDescent="0.25">
      <c r="A3888" s="2" t="s">
        <v>322</v>
      </c>
      <c r="B3888" s="2" t="s">
        <v>323</v>
      </c>
      <c r="C3888" s="3">
        <v>48.83</v>
      </c>
      <c r="D3888" s="4">
        <v>1036.1726000000001</v>
      </c>
      <c r="E3888" s="4">
        <v>561.54499999999996</v>
      </c>
      <c r="F3888" s="4">
        <f t="shared" si="261"/>
        <v>474.62760000000014</v>
      </c>
      <c r="G3888" s="5">
        <f t="shared" si="262"/>
        <v>0.45805843543826585</v>
      </c>
      <c r="H3888" s="2" t="s">
        <v>5</v>
      </c>
      <c r="I3888" s="6" t="s">
        <v>2300</v>
      </c>
      <c r="J3888" s="2" t="s">
        <v>5</v>
      </c>
      <c r="K3888" s="2" t="s">
        <v>5</v>
      </c>
      <c r="L3888" s="2" t="s">
        <v>5</v>
      </c>
      <c r="M3888" s="2" t="s">
        <v>5</v>
      </c>
      <c r="N3888" s="4">
        <v>0</v>
      </c>
    </row>
    <row r="3889" spans="1:14" x14ac:dyDescent="0.25">
      <c r="A3889" s="2" t="s">
        <v>322</v>
      </c>
      <c r="B3889" s="2" t="s">
        <v>323</v>
      </c>
      <c r="C3889" s="3">
        <v>1.78</v>
      </c>
      <c r="D3889" s="4">
        <v>38.893000000000001</v>
      </c>
      <c r="E3889" s="4">
        <v>20.47</v>
      </c>
      <c r="F3889" s="4">
        <f t="shared" si="261"/>
        <v>18.423000000000002</v>
      </c>
      <c r="G3889" s="5">
        <f t="shared" si="262"/>
        <v>0.47368421052631582</v>
      </c>
      <c r="H3889" s="2" t="s">
        <v>5</v>
      </c>
      <c r="I3889" s="6" t="s">
        <v>2300</v>
      </c>
      <c r="J3889" s="2" t="s">
        <v>5</v>
      </c>
      <c r="K3889" s="2" t="s">
        <v>5</v>
      </c>
      <c r="L3889" s="2" t="s">
        <v>5</v>
      </c>
      <c r="M3889" s="2" t="s">
        <v>5</v>
      </c>
      <c r="N3889" s="4">
        <v>0</v>
      </c>
    </row>
    <row r="3890" spans="1:14" x14ac:dyDescent="0.25">
      <c r="A3890" s="2" t="s">
        <v>797</v>
      </c>
      <c r="B3890" s="2" t="s">
        <v>798</v>
      </c>
      <c r="C3890" s="3">
        <v>15.17</v>
      </c>
      <c r="D3890" s="4">
        <v>146.9973</v>
      </c>
      <c r="E3890" s="4">
        <v>83.435000000000002</v>
      </c>
      <c r="F3890" s="4">
        <f t="shared" si="261"/>
        <v>63.562299999999993</v>
      </c>
      <c r="G3890" s="5">
        <f t="shared" si="262"/>
        <v>0.43240454076367385</v>
      </c>
      <c r="H3890" s="2" t="s">
        <v>5</v>
      </c>
      <c r="I3890" s="6" t="s">
        <v>2300</v>
      </c>
      <c r="J3890" s="2" t="s">
        <v>5</v>
      </c>
      <c r="K3890" s="2" t="s">
        <v>5</v>
      </c>
      <c r="L3890" s="2" t="s">
        <v>5</v>
      </c>
      <c r="M3890" s="2" t="s">
        <v>5</v>
      </c>
      <c r="N3890" s="4">
        <v>0</v>
      </c>
    </row>
    <row r="3891" spans="1:14" x14ac:dyDescent="0.25">
      <c r="A3891" s="2" t="s">
        <v>797</v>
      </c>
      <c r="B3891" s="2" t="s">
        <v>798</v>
      </c>
      <c r="C3891" s="3">
        <v>12.335000000000001</v>
      </c>
      <c r="D3891" s="4">
        <v>113.97539999999999</v>
      </c>
      <c r="E3891" s="4">
        <v>67.842500000000001</v>
      </c>
      <c r="F3891" s="4">
        <f t="shared" si="261"/>
        <v>46.132899999999992</v>
      </c>
      <c r="G3891" s="5">
        <f t="shared" si="262"/>
        <v>0.40476190476190471</v>
      </c>
      <c r="H3891" s="2" t="s">
        <v>5</v>
      </c>
      <c r="I3891" s="6" t="s">
        <v>2300</v>
      </c>
      <c r="J3891" s="2" t="s">
        <v>5</v>
      </c>
      <c r="K3891" s="2" t="s">
        <v>5</v>
      </c>
      <c r="L3891" s="2" t="s">
        <v>5</v>
      </c>
      <c r="M3891" s="2" t="s">
        <v>5</v>
      </c>
      <c r="N3891" s="4">
        <v>0</v>
      </c>
    </row>
    <row r="3892" spans="1:14" x14ac:dyDescent="0.25">
      <c r="A3892" s="2" t="s">
        <v>797</v>
      </c>
      <c r="B3892" s="2" t="s">
        <v>798</v>
      </c>
      <c r="C3892" s="3">
        <v>6.1349999999999998</v>
      </c>
      <c r="D3892" s="4">
        <v>58.58925</v>
      </c>
      <c r="E3892" s="4">
        <v>33.7425</v>
      </c>
      <c r="F3892" s="4">
        <f t="shared" si="261"/>
        <v>24.84675</v>
      </c>
      <c r="G3892" s="5">
        <f t="shared" si="262"/>
        <v>0.42408376963350786</v>
      </c>
      <c r="H3892" s="2" t="s">
        <v>5</v>
      </c>
      <c r="I3892" s="6" t="s">
        <v>2300</v>
      </c>
      <c r="J3892" s="2" t="s">
        <v>5</v>
      </c>
      <c r="K3892" s="2" t="s">
        <v>5</v>
      </c>
      <c r="L3892" s="2" t="s">
        <v>5</v>
      </c>
      <c r="M3892" s="2" t="s">
        <v>5</v>
      </c>
      <c r="N3892" s="4">
        <v>0</v>
      </c>
    </row>
    <row r="3893" spans="1:14" x14ac:dyDescent="0.25">
      <c r="A3893" s="2" t="s">
        <v>797</v>
      </c>
      <c r="B3893" s="2" t="s">
        <v>798</v>
      </c>
      <c r="C3893" s="3">
        <v>3.0619999999999998</v>
      </c>
      <c r="D3893" s="4">
        <v>29.242100000000001</v>
      </c>
      <c r="E3893" s="4">
        <v>16.841000000000001</v>
      </c>
      <c r="F3893" s="4">
        <f t="shared" si="261"/>
        <v>12.4011</v>
      </c>
      <c r="G3893" s="5">
        <f t="shared" si="262"/>
        <v>0.42408376963350786</v>
      </c>
      <c r="H3893" s="2" t="s">
        <v>5</v>
      </c>
      <c r="I3893" s="6" t="s">
        <v>2300</v>
      </c>
      <c r="J3893" s="2" t="s">
        <v>5</v>
      </c>
      <c r="K3893" s="2" t="s">
        <v>5</v>
      </c>
      <c r="L3893" s="2" t="s">
        <v>5</v>
      </c>
      <c r="M3893" s="2" t="s">
        <v>5</v>
      </c>
      <c r="N3893" s="4">
        <v>0</v>
      </c>
    </row>
    <row r="3894" spans="1:14" x14ac:dyDescent="0.25">
      <c r="A3894" s="2" t="s">
        <v>797</v>
      </c>
      <c r="B3894" s="2" t="s">
        <v>798</v>
      </c>
      <c r="C3894" s="3">
        <v>12.335000000000001</v>
      </c>
      <c r="D3894" s="4">
        <v>113.97539999999999</v>
      </c>
      <c r="E3894" s="4">
        <v>67.842500000000001</v>
      </c>
      <c r="F3894" s="4">
        <f t="shared" si="261"/>
        <v>46.132899999999992</v>
      </c>
      <c r="G3894" s="5">
        <f t="shared" si="262"/>
        <v>0.40476190476190471</v>
      </c>
      <c r="H3894" s="2" t="s">
        <v>5</v>
      </c>
      <c r="I3894" s="6" t="s">
        <v>2300</v>
      </c>
      <c r="J3894" s="2" t="s">
        <v>5</v>
      </c>
      <c r="K3894" s="2" t="s">
        <v>5</v>
      </c>
      <c r="L3894" s="2" t="s">
        <v>5</v>
      </c>
      <c r="M3894" s="2" t="s">
        <v>5</v>
      </c>
      <c r="N3894" s="4">
        <v>0</v>
      </c>
    </row>
    <row r="3895" spans="1:14" x14ac:dyDescent="0.25">
      <c r="A3895" s="2" t="s">
        <v>575</v>
      </c>
      <c r="B3895" s="2" t="s">
        <v>576</v>
      </c>
      <c r="C3895" s="3">
        <v>39.909999999999997</v>
      </c>
      <c r="D3895" s="4">
        <v>729.15570000000002</v>
      </c>
      <c r="E3895" s="4">
        <v>409.07749999999999</v>
      </c>
      <c r="F3895" s="4">
        <f t="shared" si="261"/>
        <v>320.07820000000004</v>
      </c>
      <c r="G3895" s="5">
        <f t="shared" si="262"/>
        <v>0.43897099069512868</v>
      </c>
      <c r="H3895" s="2" t="s">
        <v>5</v>
      </c>
      <c r="I3895" s="6" t="s">
        <v>2300</v>
      </c>
      <c r="J3895" s="2" t="s">
        <v>5</v>
      </c>
      <c r="K3895" s="2" t="s">
        <v>5</v>
      </c>
      <c r="L3895" s="2" t="s">
        <v>5</v>
      </c>
      <c r="M3895" s="2" t="s">
        <v>5</v>
      </c>
      <c r="N3895" s="4">
        <v>0</v>
      </c>
    </row>
    <row r="3896" spans="1:14" x14ac:dyDescent="0.25">
      <c r="A3896" s="2" t="s">
        <v>575</v>
      </c>
      <c r="B3896" s="2" t="s">
        <v>576</v>
      </c>
      <c r="C3896" s="3">
        <v>12.43</v>
      </c>
      <c r="D3896" s="4">
        <v>252.45330000000001</v>
      </c>
      <c r="E3896" s="4">
        <v>127.4075</v>
      </c>
      <c r="F3896" s="4">
        <f t="shared" si="261"/>
        <v>125.04580000000001</v>
      </c>
      <c r="G3896" s="5">
        <f t="shared" si="262"/>
        <v>0.49532250123092075</v>
      </c>
      <c r="H3896" s="2" t="s">
        <v>5</v>
      </c>
      <c r="I3896" s="6" t="s">
        <v>2300</v>
      </c>
      <c r="J3896" s="2" t="s">
        <v>5</v>
      </c>
      <c r="K3896" s="2" t="s">
        <v>5</v>
      </c>
      <c r="L3896" s="2" t="s">
        <v>5</v>
      </c>
      <c r="M3896" s="2" t="s">
        <v>5</v>
      </c>
      <c r="N3896" s="4">
        <v>0</v>
      </c>
    </row>
    <row r="3897" spans="1:14" x14ac:dyDescent="0.25">
      <c r="A3897" s="2" t="s">
        <v>575</v>
      </c>
      <c r="B3897" s="2" t="s">
        <v>576</v>
      </c>
      <c r="C3897" s="3">
        <v>10.75</v>
      </c>
      <c r="D3897" s="4">
        <v>228.11500000000001</v>
      </c>
      <c r="E3897" s="4">
        <v>110.1875</v>
      </c>
      <c r="F3897" s="4">
        <f t="shared" si="261"/>
        <v>117.92750000000001</v>
      </c>
      <c r="G3897" s="5">
        <f t="shared" si="262"/>
        <v>0.51696512723845434</v>
      </c>
      <c r="H3897" s="2" t="s">
        <v>5</v>
      </c>
      <c r="I3897" s="6" t="s">
        <v>2300</v>
      </c>
      <c r="J3897" s="2" t="s">
        <v>5</v>
      </c>
      <c r="K3897" s="2" t="s">
        <v>5</v>
      </c>
      <c r="L3897" s="2" t="s">
        <v>5</v>
      </c>
      <c r="M3897" s="2" t="s">
        <v>5</v>
      </c>
      <c r="N3897" s="4">
        <v>0</v>
      </c>
    </row>
    <row r="3898" spans="1:14" x14ac:dyDescent="0.25">
      <c r="A3898" s="2" t="s">
        <v>575</v>
      </c>
      <c r="B3898" s="2" t="s">
        <v>576</v>
      </c>
      <c r="C3898" s="3">
        <v>45.31</v>
      </c>
      <c r="D3898" s="4">
        <v>907.10619999999994</v>
      </c>
      <c r="E3898" s="4">
        <v>464.42750000000001</v>
      </c>
      <c r="F3898" s="4">
        <f t="shared" si="261"/>
        <v>442.67869999999994</v>
      </c>
      <c r="G3898" s="5">
        <f t="shared" si="262"/>
        <v>0.48801198801198797</v>
      </c>
      <c r="H3898" s="2" t="s">
        <v>5</v>
      </c>
      <c r="I3898" s="6" t="s">
        <v>2300</v>
      </c>
      <c r="J3898" s="2" t="s">
        <v>5</v>
      </c>
      <c r="K3898" s="2" t="s">
        <v>5</v>
      </c>
      <c r="L3898" s="2" t="s">
        <v>5</v>
      </c>
      <c r="M3898" s="2" t="s">
        <v>5</v>
      </c>
      <c r="N3898" s="4">
        <v>0</v>
      </c>
    </row>
    <row r="3899" spans="1:14" x14ac:dyDescent="0.25">
      <c r="A3899" s="2" t="s">
        <v>1085</v>
      </c>
      <c r="B3899" s="2" t="s">
        <v>1086</v>
      </c>
      <c r="C3899" s="3">
        <v>10.38</v>
      </c>
      <c r="D3899" s="4">
        <v>238.5324</v>
      </c>
      <c r="E3899" s="4">
        <v>160.88999999999999</v>
      </c>
      <c r="F3899" s="4">
        <f t="shared" si="261"/>
        <v>77.642400000000009</v>
      </c>
      <c r="G3899" s="5">
        <f t="shared" si="262"/>
        <v>0.32550043516100963</v>
      </c>
      <c r="H3899" s="2" t="s">
        <v>5</v>
      </c>
      <c r="I3899" s="6" t="s">
        <v>2300</v>
      </c>
      <c r="J3899" s="2" t="s">
        <v>5</v>
      </c>
      <c r="K3899" s="2" t="s">
        <v>5</v>
      </c>
      <c r="L3899" s="2" t="s">
        <v>5</v>
      </c>
      <c r="M3899" s="2" t="s">
        <v>5</v>
      </c>
      <c r="N3899" s="4">
        <v>0</v>
      </c>
    </row>
    <row r="3900" spans="1:14" x14ac:dyDescent="0.25">
      <c r="A3900" s="2" t="s">
        <v>1085</v>
      </c>
      <c r="B3900" s="2" t="s">
        <v>1086</v>
      </c>
      <c r="C3900" s="3">
        <v>8.93</v>
      </c>
      <c r="D3900" s="4">
        <v>205.2114</v>
      </c>
      <c r="E3900" s="4">
        <v>138.41499999999999</v>
      </c>
      <c r="F3900" s="4">
        <f t="shared" si="261"/>
        <v>66.796400000000006</v>
      </c>
      <c r="G3900" s="5">
        <f t="shared" si="262"/>
        <v>0.32550043516100963</v>
      </c>
      <c r="H3900" s="2" t="s">
        <v>5</v>
      </c>
      <c r="I3900" s="6" t="s">
        <v>2300</v>
      </c>
      <c r="J3900" s="2" t="s">
        <v>5</v>
      </c>
      <c r="K3900" s="2" t="s">
        <v>5</v>
      </c>
      <c r="L3900" s="2" t="s">
        <v>5</v>
      </c>
      <c r="M3900" s="2" t="s">
        <v>5</v>
      </c>
      <c r="N3900" s="4">
        <v>0</v>
      </c>
    </row>
    <row r="3901" spans="1:14" x14ac:dyDescent="0.25">
      <c r="A3901" s="2" t="s">
        <v>862</v>
      </c>
      <c r="B3901" s="2" t="s">
        <v>863</v>
      </c>
      <c r="C3901" s="3">
        <v>20.11</v>
      </c>
      <c r="D3901" s="4">
        <v>386.51420000000002</v>
      </c>
      <c r="E3901" s="4">
        <v>211.155</v>
      </c>
      <c r="F3901" s="4">
        <f t="shared" si="261"/>
        <v>175.35920000000002</v>
      </c>
      <c r="G3901" s="5">
        <f t="shared" si="262"/>
        <v>0.45369406867845996</v>
      </c>
      <c r="H3901" s="2" t="s">
        <v>5</v>
      </c>
      <c r="I3901" s="6" t="s">
        <v>2300</v>
      </c>
      <c r="J3901" s="2" t="s">
        <v>5</v>
      </c>
      <c r="K3901" s="2" t="s">
        <v>5</v>
      </c>
      <c r="L3901" s="2" t="s">
        <v>5</v>
      </c>
      <c r="M3901" s="2" t="s">
        <v>5</v>
      </c>
      <c r="N3901" s="4">
        <v>0</v>
      </c>
    </row>
    <row r="3902" spans="1:14" x14ac:dyDescent="0.25">
      <c r="A3902" s="2" t="s">
        <v>862</v>
      </c>
      <c r="B3902" s="2" t="s">
        <v>863</v>
      </c>
      <c r="C3902" s="3">
        <v>10.09</v>
      </c>
      <c r="D3902" s="4">
        <v>183.7389</v>
      </c>
      <c r="E3902" s="4">
        <v>105.94499999999999</v>
      </c>
      <c r="F3902" s="4">
        <f t="shared" si="261"/>
        <v>77.793900000000008</v>
      </c>
      <c r="G3902" s="5">
        <f t="shared" si="262"/>
        <v>0.42339373970345967</v>
      </c>
      <c r="H3902" s="2" t="s">
        <v>5</v>
      </c>
      <c r="I3902" s="6" t="s">
        <v>2300</v>
      </c>
      <c r="J3902" s="2" t="s">
        <v>5</v>
      </c>
      <c r="K3902" s="2" t="s">
        <v>5</v>
      </c>
      <c r="L3902" s="2" t="s">
        <v>5</v>
      </c>
      <c r="M3902" s="2" t="s">
        <v>5</v>
      </c>
      <c r="N3902" s="4">
        <v>0</v>
      </c>
    </row>
    <row r="3903" spans="1:14" x14ac:dyDescent="0.25">
      <c r="A3903" s="2" t="s">
        <v>862</v>
      </c>
      <c r="B3903" s="2" t="s">
        <v>863</v>
      </c>
      <c r="C3903" s="3">
        <v>1.02</v>
      </c>
      <c r="D3903" s="4">
        <v>19.410599999999999</v>
      </c>
      <c r="E3903" s="4">
        <v>10.71</v>
      </c>
      <c r="F3903" s="4">
        <f t="shared" si="261"/>
        <v>8.7005999999999979</v>
      </c>
      <c r="G3903" s="5">
        <f t="shared" si="262"/>
        <v>0.44823962165002618</v>
      </c>
      <c r="H3903" s="2" t="s">
        <v>5</v>
      </c>
      <c r="I3903" s="6" t="s">
        <v>2300</v>
      </c>
      <c r="J3903" s="2" t="s">
        <v>5</v>
      </c>
      <c r="K3903" s="2" t="s">
        <v>5</v>
      </c>
      <c r="L3903" s="2" t="s">
        <v>5</v>
      </c>
      <c r="M3903" s="2" t="s">
        <v>5</v>
      </c>
      <c r="N3903" s="4">
        <v>0</v>
      </c>
    </row>
    <row r="3904" spans="1:14" x14ac:dyDescent="0.25">
      <c r="A3904" s="2" t="s">
        <v>1677</v>
      </c>
      <c r="B3904" s="2" t="s">
        <v>1678</v>
      </c>
      <c r="C3904" s="3">
        <v>72</v>
      </c>
      <c r="D3904" s="4">
        <v>11887.92</v>
      </c>
      <c r="E3904" s="4">
        <v>7560</v>
      </c>
      <c r="F3904" s="4">
        <f t="shared" si="261"/>
        <v>4327.92</v>
      </c>
      <c r="G3904" s="5">
        <f t="shared" si="262"/>
        <v>0.36406032342074979</v>
      </c>
      <c r="H3904" s="2" t="s">
        <v>5</v>
      </c>
      <c r="I3904" s="6" t="s">
        <v>2300</v>
      </c>
      <c r="J3904" s="2" t="s">
        <v>5</v>
      </c>
      <c r="K3904" s="2" t="s">
        <v>5</v>
      </c>
      <c r="L3904" s="2" t="s">
        <v>5</v>
      </c>
      <c r="M3904" s="2" t="s">
        <v>5</v>
      </c>
      <c r="N3904" s="4">
        <v>0</v>
      </c>
    </row>
    <row r="3905" spans="1:14" x14ac:dyDescent="0.25">
      <c r="A3905" s="2" t="s">
        <v>41</v>
      </c>
      <c r="B3905" s="2" t="s">
        <v>42</v>
      </c>
      <c r="C3905" s="3">
        <v>2.028</v>
      </c>
      <c r="D3905" s="4">
        <v>35.510280000000002</v>
      </c>
      <c r="E3905" s="4">
        <v>23.829000000000001</v>
      </c>
      <c r="F3905" s="4">
        <f t="shared" si="261"/>
        <v>11.681280000000001</v>
      </c>
      <c r="G3905" s="5">
        <f t="shared" si="262"/>
        <v>0.3289548829240434</v>
      </c>
      <c r="H3905" s="2" t="s">
        <v>5</v>
      </c>
      <c r="I3905" s="6" t="s">
        <v>2300</v>
      </c>
      <c r="J3905" s="2" t="s">
        <v>5</v>
      </c>
      <c r="K3905" s="2" t="s">
        <v>5</v>
      </c>
      <c r="L3905" s="2" t="s">
        <v>5</v>
      </c>
      <c r="M3905" s="2" t="s">
        <v>5</v>
      </c>
      <c r="N3905" s="4">
        <v>0</v>
      </c>
    </row>
    <row r="3906" spans="1:14" x14ac:dyDescent="0.25">
      <c r="A3906" s="2" t="s">
        <v>41</v>
      </c>
      <c r="B3906" s="2" t="s">
        <v>42</v>
      </c>
      <c r="C3906" s="3">
        <v>12.71</v>
      </c>
      <c r="D3906" s="4">
        <v>219.37459999999999</v>
      </c>
      <c r="E3906" s="4">
        <v>149.3425</v>
      </c>
      <c r="F3906" s="4">
        <f t="shared" si="261"/>
        <v>70.032099999999986</v>
      </c>
      <c r="G3906" s="5">
        <f t="shared" si="262"/>
        <v>0.31923522595596748</v>
      </c>
      <c r="H3906" s="2" t="s">
        <v>5</v>
      </c>
      <c r="I3906" s="6" t="s">
        <v>2300</v>
      </c>
      <c r="J3906" s="2" t="s">
        <v>5</v>
      </c>
      <c r="K3906" s="2" t="s">
        <v>5</v>
      </c>
      <c r="L3906" s="2" t="s">
        <v>5</v>
      </c>
      <c r="M3906" s="2" t="s">
        <v>5</v>
      </c>
      <c r="N3906" s="4">
        <v>0</v>
      </c>
    </row>
    <row r="3907" spans="1:14" x14ac:dyDescent="0.25">
      <c r="A3907" s="2" t="s">
        <v>41</v>
      </c>
      <c r="B3907" s="2" t="s">
        <v>42</v>
      </c>
      <c r="C3907" s="3">
        <v>4.3680000000000003</v>
      </c>
      <c r="D3907" s="4">
        <v>76.483680000000007</v>
      </c>
      <c r="E3907" s="4">
        <v>51.323999999999998</v>
      </c>
      <c r="F3907" s="4">
        <f t="shared" si="261"/>
        <v>25.159680000000009</v>
      </c>
      <c r="G3907" s="5">
        <f t="shared" si="262"/>
        <v>0.32895488292404351</v>
      </c>
      <c r="H3907" s="2" t="s">
        <v>5</v>
      </c>
      <c r="I3907" s="6" t="s">
        <v>2300</v>
      </c>
      <c r="J3907" s="2" t="s">
        <v>5</v>
      </c>
      <c r="K3907" s="2" t="s">
        <v>5</v>
      </c>
      <c r="L3907" s="2" t="s">
        <v>5</v>
      </c>
      <c r="M3907" s="2" t="s">
        <v>5</v>
      </c>
      <c r="N3907" s="4">
        <v>0</v>
      </c>
    </row>
    <row r="3908" spans="1:14" x14ac:dyDescent="0.25">
      <c r="A3908" s="2" t="s">
        <v>41</v>
      </c>
      <c r="B3908" s="2" t="s">
        <v>42</v>
      </c>
      <c r="C3908" s="3">
        <v>10.31</v>
      </c>
      <c r="D3908" s="4">
        <v>180.52809999999999</v>
      </c>
      <c r="E3908" s="4">
        <v>121.1425</v>
      </c>
      <c r="F3908" s="4">
        <f t="shared" si="261"/>
        <v>59.385599999999997</v>
      </c>
      <c r="G3908" s="5">
        <f t="shared" si="262"/>
        <v>0.3289548829240434</v>
      </c>
      <c r="H3908" s="2" t="s">
        <v>5</v>
      </c>
      <c r="I3908" s="6" t="s">
        <v>2300</v>
      </c>
      <c r="J3908" s="2" t="s">
        <v>5</v>
      </c>
      <c r="K3908" s="2" t="s">
        <v>5</v>
      </c>
      <c r="L3908" s="2" t="s">
        <v>5</v>
      </c>
      <c r="M3908" s="2" t="s">
        <v>5</v>
      </c>
      <c r="N3908" s="4">
        <v>0</v>
      </c>
    </row>
    <row r="3909" spans="1:14" x14ac:dyDescent="0.25">
      <c r="A3909" s="2" t="s">
        <v>41</v>
      </c>
      <c r="B3909" s="2" t="s">
        <v>42</v>
      </c>
      <c r="C3909" s="3">
        <v>30.39</v>
      </c>
      <c r="D3909" s="4">
        <v>490.49459999999999</v>
      </c>
      <c r="E3909" s="4">
        <v>357.08249999999998</v>
      </c>
      <c r="F3909" s="4">
        <f t="shared" si="261"/>
        <v>133.41210000000001</v>
      </c>
      <c r="G3909" s="5">
        <f t="shared" si="262"/>
        <v>0.27199504337050806</v>
      </c>
      <c r="H3909" s="2" t="s">
        <v>5</v>
      </c>
      <c r="I3909" s="6" t="s">
        <v>2300</v>
      </c>
      <c r="J3909" s="2" t="s">
        <v>5</v>
      </c>
      <c r="K3909" s="2" t="s">
        <v>5</v>
      </c>
      <c r="L3909" s="2" t="s">
        <v>5</v>
      </c>
      <c r="M3909" s="2" t="s">
        <v>5</v>
      </c>
      <c r="N3909" s="4">
        <v>0</v>
      </c>
    </row>
    <row r="3910" spans="1:14" x14ac:dyDescent="0.25">
      <c r="A3910" s="2" t="s">
        <v>41</v>
      </c>
      <c r="B3910" s="2" t="s">
        <v>42</v>
      </c>
      <c r="C3910" s="3">
        <v>30.56</v>
      </c>
      <c r="D3910" s="4">
        <v>517.68640000000005</v>
      </c>
      <c r="E3910" s="4">
        <v>359.08</v>
      </c>
      <c r="F3910" s="4">
        <f t="shared" si="261"/>
        <v>158.60640000000006</v>
      </c>
      <c r="G3910" s="5">
        <f t="shared" si="262"/>
        <v>0.30637544273907918</v>
      </c>
      <c r="H3910" s="2" t="s">
        <v>5</v>
      </c>
      <c r="I3910" s="6" t="s">
        <v>2300</v>
      </c>
      <c r="J3910" s="2" t="s">
        <v>5</v>
      </c>
      <c r="K3910" s="2" t="s">
        <v>5</v>
      </c>
      <c r="L3910" s="2" t="s">
        <v>5</v>
      </c>
      <c r="M3910" s="2" t="s">
        <v>5</v>
      </c>
      <c r="N3910" s="4">
        <v>0</v>
      </c>
    </row>
    <row r="3911" spans="1:14" x14ac:dyDescent="0.25">
      <c r="A3911" s="2" t="s">
        <v>41</v>
      </c>
      <c r="B3911" s="2" t="s">
        <v>42</v>
      </c>
      <c r="C3911" s="3">
        <v>2.024</v>
      </c>
      <c r="D3911" s="4">
        <v>35.440240000000003</v>
      </c>
      <c r="E3911" s="4">
        <v>23.782</v>
      </c>
      <c r="F3911" s="4">
        <f t="shared" si="261"/>
        <v>11.658240000000003</v>
      </c>
      <c r="G3911" s="5">
        <f t="shared" si="262"/>
        <v>0.32895488292404346</v>
      </c>
      <c r="H3911" s="2" t="s">
        <v>5</v>
      </c>
      <c r="I3911" s="6" t="s">
        <v>2300</v>
      </c>
      <c r="J3911" s="2" t="s">
        <v>5</v>
      </c>
      <c r="K3911" s="2" t="s">
        <v>5</v>
      </c>
      <c r="L3911" s="2" t="s">
        <v>5</v>
      </c>
      <c r="M3911" s="2" t="s">
        <v>5</v>
      </c>
      <c r="N3911" s="4">
        <v>0</v>
      </c>
    </row>
    <row r="3912" spans="1:14" x14ac:dyDescent="0.25">
      <c r="A3912" s="2" t="s">
        <v>41</v>
      </c>
      <c r="B3912" s="2" t="s">
        <v>42</v>
      </c>
      <c r="C3912" s="3">
        <v>4.016</v>
      </c>
      <c r="D3912" s="4">
        <v>70.320160000000001</v>
      </c>
      <c r="E3912" s="4">
        <v>47.188000000000002</v>
      </c>
      <c r="F3912" s="4">
        <f t="shared" si="261"/>
        <v>23.132159999999999</v>
      </c>
      <c r="G3912" s="5">
        <f t="shared" si="262"/>
        <v>0.3289548829240434</v>
      </c>
      <c r="H3912" s="2" t="s">
        <v>5</v>
      </c>
      <c r="I3912" s="6" t="s">
        <v>2300</v>
      </c>
      <c r="J3912" s="2" t="s">
        <v>5</v>
      </c>
      <c r="K3912" s="2" t="s">
        <v>5</v>
      </c>
      <c r="L3912" s="2" t="s">
        <v>5</v>
      </c>
      <c r="M3912" s="2" t="s">
        <v>5</v>
      </c>
      <c r="N3912" s="4">
        <v>0</v>
      </c>
    </row>
    <row r="3913" spans="1:14" x14ac:dyDescent="0.25">
      <c r="A3913" s="2" t="s">
        <v>41</v>
      </c>
      <c r="B3913" s="2" t="s">
        <v>42</v>
      </c>
      <c r="C3913" s="3">
        <v>25.5</v>
      </c>
      <c r="D3913" s="4">
        <v>417.18</v>
      </c>
      <c r="E3913" s="4">
        <v>299.625</v>
      </c>
      <c r="F3913" s="4">
        <f t="shared" si="261"/>
        <v>117.55500000000001</v>
      </c>
      <c r="G3913" s="5">
        <f t="shared" si="262"/>
        <v>0.28178484107579466</v>
      </c>
      <c r="H3913" s="2" t="s">
        <v>5</v>
      </c>
      <c r="I3913" s="6" t="s">
        <v>2300</v>
      </c>
      <c r="J3913" s="2" t="s">
        <v>5</v>
      </c>
      <c r="K3913" s="2" t="s">
        <v>5</v>
      </c>
      <c r="L3913" s="2" t="s">
        <v>5</v>
      </c>
      <c r="M3913" s="2" t="s">
        <v>5</v>
      </c>
      <c r="N3913" s="4">
        <v>0</v>
      </c>
    </row>
    <row r="3914" spans="1:14" x14ac:dyDescent="0.25">
      <c r="A3914" s="2" t="s">
        <v>41</v>
      </c>
      <c r="B3914" s="2" t="s">
        <v>42</v>
      </c>
      <c r="C3914" s="3">
        <v>15.56</v>
      </c>
      <c r="D3914" s="4">
        <v>254.5616</v>
      </c>
      <c r="E3914" s="4">
        <v>182.83</v>
      </c>
      <c r="F3914" s="4">
        <f t="shared" si="261"/>
        <v>71.731599999999986</v>
      </c>
      <c r="G3914" s="5">
        <f t="shared" si="262"/>
        <v>0.28178484107579455</v>
      </c>
      <c r="H3914" s="2" t="s">
        <v>5</v>
      </c>
      <c r="I3914" s="6" t="s">
        <v>2300</v>
      </c>
      <c r="J3914" s="2" t="s">
        <v>5</v>
      </c>
      <c r="K3914" s="2" t="s">
        <v>5</v>
      </c>
      <c r="L3914" s="2" t="s">
        <v>5</v>
      </c>
      <c r="M3914" s="2" t="s">
        <v>5</v>
      </c>
      <c r="N3914" s="4">
        <v>0</v>
      </c>
    </row>
    <row r="3915" spans="1:14" x14ac:dyDescent="0.25">
      <c r="A3915" s="2" t="s">
        <v>41</v>
      </c>
      <c r="B3915" s="2" t="s">
        <v>42</v>
      </c>
      <c r="C3915" s="3">
        <v>31.715</v>
      </c>
      <c r="D3915" s="4">
        <v>518.85739999999998</v>
      </c>
      <c r="E3915" s="4">
        <v>372.65125</v>
      </c>
      <c r="F3915" s="4">
        <f t="shared" si="261"/>
        <v>146.20614999999998</v>
      </c>
      <c r="G3915" s="5">
        <f t="shared" si="262"/>
        <v>0.2817848410757946</v>
      </c>
      <c r="H3915" s="2" t="s">
        <v>5</v>
      </c>
      <c r="I3915" s="6" t="s">
        <v>2300</v>
      </c>
      <c r="J3915" s="2" t="s">
        <v>5</v>
      </c>
      <c r="K3915" s="2" t="s">
        <v>5</v>
      </c>
      <c r="L3915" s="2" t="s">
        <v>5</v>
      </c>
      <c r="M3915" s="2" t="s">
        <v>5</v>
      </c>
      <c r="N3915" s="4">
        <v>0</v>
      </c>
    </row>
    <row r="3916" spans="1:14" x14ac:dyDescent="0.25">
      <c r="A3916" s="2" t="s">
        <v>41</v>
      </c>
      <c r="B3916" s="2" t="s">
        <v>42</v>
      </c>
      <c r="C3916" s="3">
        <v>4.9249999999999998</v>
      </c>
      <c r="D3916" s="4">
        <v>86.236750000000001</v>
      </c>
      <c r="E3916" s="4">
        <v>57.868749999999999</v>
      </c>
      <c r="F3916" s="4">
        <f t="shared" si="261"/>
        <v>28.368000000000002</v>
      </c>
      <c r="G3916" s="5">
        <f t="shared" si="262"/>
        <v>0.3289548829240434</v>
      </c>
      <c r="H3916" s="2" t="s">
        <v>5</v>
      </c>
      <c r="I3916" s="6" t="s">
        <v>2300</v>
      </c>
      <c r="J3916" s="2" t="s">
        <v>5</v>
      </c>
      <c r="K3916" s="2" t="s">
        <v>5</v>
      </c>
      <c r="L3916" s="2" t="s">
        <v>5</v>
      </c>
      <c r="M3916" s="2" t="s">
        <v>5</v>
      </c>
      <c r="N3916" s="4">
        <v>0</v>
      </c>
    </row>
    <row r="3917" spans="1:14" x14ac:dyDescent="0.25">
      <c r="A3917" s="2" t="s">
        <v>41</v>
      </c>
      <c r="B3917" s="2" t="s">
        <v>42</v>
      </c>
      <c r="C3917" s="3">
        <v>18.36</v>
      </c>
      <c r="D3917" s="4">
        <v>321.48360000000002</v>
      </c>
      <c r="E3917" s="4">
        <v>215.73</v>
      </c>
      <c r="F3917" s="4">
        <f t="shared" si="261"/>
        <v>105.75360000000003</v>
      </c>
      <c r="G3917" s="5">
        <f t="shared" si="262"/>
        <v>0.32895488292404351</v>
      </c>
      <c r="H3917" s="2" t="s">
        <v>5</v>
      </c>
      <c r="I3917" s="6" t="s">
        <v>2300</v>
      </c>
      <c r="J3917" s="2" t="s">
        <v>5</v>
      </c>
      <c r="K3917" s="2" t="s">
        <v>5</v>
      </c>
      <c r="L3917" s="2" t="s">
        <v>5</v>
      </c>
      <c r="M3917" s="2" t="s">
        <v>5</v>
      </c>
      <c r="N3917" s="4">
        <v>0</v>
      </c>
    </row>
    <row r="3918" spans="1:14" x14ac:dyDescent="0.25">
      <c r="A3918" s="2" t="s">
        <v>41</v>
      </c>
      <c r="B3918" s="2" t="s">
        <v>42</v>
      </c>
      <c r="C3918" s="3">
        <v>15.36</v>
      </c>
      <c r="D3918" s="4">
        <v>251.28960000000001</v>
      </c>
      <c r="E3918" s="4">
        <v>180.48</v>
      </c>
      <c r="F3918" s="4">
        <f t="shared" si="261"/>
        <v>70.809600000000017</v>
      </c>
      <c r="G3918" s="5">
        <f t="shared" si="262"/>
        <v>0.28178484107579466</v>
      </c>
      <c r="H3918" s="2" t="s">
        <v>5</v>
      </c>
      <c r="I3918" s="6" t="s">
        <v>2300</v>
      </c>
      <c r="J3918" s="2" t="s">
        <v>5</v>
      </c>
      <c r="K3918" s="2" t="s">
        <v>5</v>
      </c>
      <c r="L3918" s="2" t="s">
        <v>5</v>
      </c>
      <c r="M3918" s="2" t="s">
        <v>5</v>
      </c>
      <c r="N3918" s="4">
        <v>0</v>
      </c>
    </row>
    <row r="3919" spans="1:14" x14ac:dyDescent="0.25">
      <c r="A3919" s="2" t="s">
        <v>41</v>
      </c>
      <c r="B3919" s="2" t="s">
        <v>42</v>
      </c>
      <c r="C3919" s="3">
        <v>12.09</v>
      </c>
      <c r="D3919" s="4">
        <v>208.67339999999999</v>
      </c>
      <c r="E3919" s="4">
        <v>142.0575</v>
      </c>
      <c r="F3919" s="4">
        <f t="shared" si="261"/>
        <v>66.615899999999982</v>
      </c>
      <c r="G3919" s="5">
        <f t="shared" si="262"/>
        <v>0.31923522595596748</v>
      </c>
      <c r="H3919" s="2" t="s">
        <v>5</v>
      </c>
      <c r="I3919" s="6" t="s">
        <v>2300</v>
      </c>
      <c r="J3919" s="2" t="s">
        <v>5</v>
      </c>
      <c r="K3919" s="2" t="s">
        <v>5</v>
      </c>
      <c r="L3919" s="2" t="s">
        <v>5</v>
      </c>
      <c r="M3919" s="2" t="s">
        <v>5</v>
      </c>
      <c r="N3919" s="4">
        <v>0</v>
      </c>
    </row>
    <row r="3920" spans="1:14" x14ac:dyDescent="0.25">
      <c r="A3920" s="2" t="s">
        <v>41</v>
      </c>
      <c r="B3920" s="2" t="s">
        <v>42</v>
      </c>
      <c r="C3920" s="3">
        <v>9.6300000000000008</v>
      </c>
      <c r="D3920" s="4">
        <v>154.27260000000001</v>
      </c>
      <c r="E3920" s="4">
        <v>113.1525</v>
      </c>
      <c r="F3920" s="4">
        <f t="shared" si="261"/>
        <v>41.120100000000008</v>
      </c>
      <c r="G3920" s="5">
        <f t="shared" si="262"/>
        <v>0.26654182272159804</v>
      </c>
      <c r="H3920" s="2" t="s">
        <v>5</v>
      </c>
      <c r="I3920" s="6" t="s">
        <v>2300</v>
      </c>
      <c r="J3920" s="2" t="s">
        <v>5</v>
      </c>
      <c r="K3920" s="2" t="s">
        <v>5</v>
      </c>
      <c r="L3920" s="2" t="s">
        <v>5</v>
      </c>
      <c r="M3920" s="2" t="s">
        <v>5</v>
      </c>
      <c r="N3920" s="4">
        <v>0</v>
      </c>
    </row>
    <row r="3921" spans="1:14" x14ac:dyDescent="0.25">
      <c r="A3921" s="2" t="s">
        <v>41</v>
      </c>
      <c r="B3921" s="2" t="s">
        <v>42</v>
      </c>
      <c r="C3921" s="3">
        <v>12.125</v>
      </c>
      <c r="D3921" s="4">
        <v>198.36500000000001</v>
      </c>
      <c r="E3921" s="4">
        <v>142.46875</v>
      </c>
      <c r="F3921" s="4">
        <f t="shared" si="261"/>
        <v>55.896250000000009</v>
      </c>
      <c r="G3921" s="5">
        <f t="shared" si="262"/>
        <v>0.28178484107579466</v>
      </c>
      <c r="H3921" s="2" t="s">
        <v>5</v>
      </c>
      <c r="I3921" s="6" t="s">
        <v>2300</v>
      </c>
      <c r="J3921" s="2" t="s">
        <v>5</v>
      </c>
      <c r="K3921" s="2" t="s">
        <v>5</v>
      </c>
      <c r="L3921" s="2" t="s">
        <v>5</v>
      </c>
      <c r="M3921" s="2" t="s">
        <v>5</v>
      </c>
      <c r="N3921" s="4">
        <v>0</v>
      </c>
    </row>
    <row r="3922" spans="1:14" x14ac:dyDescent="0.25">
      <c r="A3922" s="2" t="s">
        <v>41</v>
      </c>
      <c r="B3922" s="2" t="s">
        <v>42</v>
      </c>
      <c r="C3922" s="3">
        <v>4.0940000000000003</v>
      </c>
      <c r="D3922" s="4">
        <v>71.685940000000002</v>
      </c>
      <c r="E3922" s="4">
        <v>48.104500000000002</v>
      </c>
      <c r="F3922" s="4">
        <f t="shared" si="261"/>
        <v>23.581440000000001</v>
      </c>
      <c r="G3922" s="5">
        <f t="shared" si="262"/>
        <v>0.3289548829240434</v>
      </c>
      <c r="H3922" s="2" t="s">
        <v>5</v>
      </c>
      <c r="I3922" s="6" t="s">
        <v>2300</v>
      </c>
      <c r="J3922" s="2" t="s">
        <v>5</v>
      </c>
      <c r="K3922" s="2" t="s">
        <v>5</v>
      </c>
      <c r="L3922" s="2" t="s">
        <v>5</v>
      </c>
      <c r="M3922" s="2" t="s">
        <v>5</v>
      </c>
      <c r="N3922" s="4">
        <v>0</v>
      </c>
    </row>
    <row r="3923" spans="1:14" x14ac:dyDescent="0.25">
      <c r="A3923" s="2" t="s">
        <v>41</v>
      </c>
      <c r="B3923" s="2" t="s">
        <v>42</v>
      </c>
      <c r="C3923" s="3">
        <v>15.3</v>
      </c>
      <c r="D3923" s="4">
        <v>241.12799999999999</v>
      </c>
      <c r="E3923" s="4">
        <v>179.77500000000001</v>
      </c>
      <c r="F3923" s="4">
        <f t="shared" si="261"/>
        <v>61.35299999999998</v>
      </c>
      <c r="G3923" s="5">
        <f t="shared" si="262"/>
        <v>0.25444162436548218</v>
      </c>
      <c r="H3923" s="2" t="s">
        <v>5</v>
      </c>
      <c r="I3923" s="6" t="s">
        <v>2300</v>
      </c>
      <c r="J3923" s="2" t="s">
        <v>5</v>
      </c>
      <c r="K3923" s="2" t="s">
        <v>5</v>
      </c>
      <c r="L3923" s="2" t="s">
        <v>5</v>
      </c>
      <c r="M3923" s="2" t="s">
        <v>5</v>
      </c>
      <c r="N3923" s="4">
        <v>0</v>
      </c>
    </row>
    <row r="3924" spans="1:14" x14ac:dyDescent="0.25">
      <c r="A3924" s="2" t="s">
        <v>148</v>
      </c>
      <c r="B3924" s="2" t="s">
        <v>149</v>
      </c>
      <c r="C3924" s="3">
        <v>30</v>
      </c>
      <c r="D3924" s="4">
        <v>256.2</v>
      </c>
      <c r="E3924" s="4">
        <v>121.5</v>
      </c>
      <c r="F3924" s="4">
        <f t="shared" si="261"/>
        <v>134.69999999999999</v>
      </c>
      <c r="G3924" s="5">
        <f t="shared" si="262"/>
        <v>0.52576112412177989</v>
      </c>
      <c r="H3924" s="2" t="s">
        <v>5</v>
      </c>
      <c r="I3924" s="6" t="s">
        <v>2300</v>
      </c>
      <c r="J3924" s="2" t="s">
        <v>5</v>
      </c>
      <c r="K3924" s="2" t="s">
        <v>5</v>
      </c>
      <c r="L3924" s="2" t="s">
        <v>5</v>
      </c>
      <c r="M3924" s="2" t="s">
        <v>5</v>
      </c>
      <c r="N3924" s="4">
        <v>0</v>
      </c>
    </row>
    <row r="3925" spans="1:14" x14ac:dyDescent="0.25">
      <c r="A3925" s="2" t="s">
        <v>148</v>
      </c>
      <c r="B3925" s="2" t="s">
        <v>149</v>
      </c>
      <c r="C3925" s="3">
        <v>40</v>
      </c>
      <c r="D3925" s="4">
        <v>423.2</v>
      </c>
      <c r="E3925" s="4">
        <v>162</v>
      </c>
      <c r="F3925" s="4">
        <f t="shared" si="261"/>
        <v>261.2</v>
      </c>
      <c r="G3925" s="5">
        <f t="shared" si="262"/>
        <v>0.6172022684310019</v>
      </c>
      <c r="H3925" s="2" t="s">
        <v>5</v>
      </c>
      <c r="I3925" s="6" t="s">
        <v>2300</v>
      </c>
      <c r="J3925" s="2" t="s">
        <v>5</v>
      </c>
      <c r="K3925" s="2" t="s">
        <v>5</v>
      </c>
      <c r="L3925" s="2" t="s">
        <v>5</v>
      </c>
      <c r="M3925" s="2" t="s">
        <v>5</v>
      </c>
      <c r="N3925" s="4">
        <v>0</v>
      </c>
    </row>
    <row r="3926" spans="1:14" x14ac:dyDescent="0.25">
      <c r="A3926" s="2" t="s">
        <v>148</v>
      </c>
      <c r="B3926" s="2" t="s">
        <v>149</v>
      </c>
      <c r="C3926" s="3">
        <v>60</v>
      </c>
      <c r="D3926" s="4">
        <v>546.6</v>
      </c>
      <c r="E3926" s="4">
        <v>243</v>
      </c>
      <c r="F3926" s="4">
        <f t="shared" si="261"/>
        <v>303.60000000000002</v>
      </c>
      <c r="G3926" s="5">
        <f t="shared" si="262"/>
        <v>0.55543358946212951</v>
      </c>
      <c r="H3926" s="2" t="s">
        <v>5</v>
      </c>
      <c r="I3926" s="6" t="s">
        <v>2300</v>
      </c>
      <c r="J3926" s="2" t="s">
        <v>5</v>
      </c>
      <c r="K3926" s="2" t="s">
        <v>5</v>
      </c>
      <c r="L3926" s="2" t="s">
        <v>5</v>
      </c>
      <c r="M3926" s="2" t="s">
        <v>5</v>
      </c>
      <c r="N3926" s="4">
        <v>0</v>
      </c>
    </row>
    <row r="3927" spans="1:14" x14ac:dyDescent="0.25">
      <c r="A3927" s="2" t="s">
        <v>148</v>
      </c>
      <c r="B3927" s="2" t="s">
        <v>149</v>
      </c>
      <c r="C3927" s="3">
        <v>40</v>
      </c>
      <c r="D3927" s="4">
        <v>399.2</v>
      </c>
      <c r="E3927" s="4">
        <v>162</v>
      </c>
      <c r="F3927" s="4">
        <f t="shared" si="261"/>
        <v>237.2</v>
      </c>
      <c r="G3927" s="5">
        <f t="shared" si="262"/>
        <v>0.594188376753507</v>
      </c>
      <c r="H3927" s="2" t="s">
        <v>5</v>
      </c>
      <c r="I3927" s="6" t="s">
        <v>2300</v>
      </c>
      <c r="J3927" s="2" t="s">
        <v>5</v>
      </c>
      <c r="K3927" s="2" t="s">
        <v>5</v>
      </c>
      <c r="L3927" s="2" t="s">
        <v>5</v>
      </c>
      <c r="M3927" s="2" t="s">
        <v>5</v>
      </c>
      <c r="N3927" s="4">
        <v>0</v>
      </c>
    </row>
    <row r="3928" spans="1:14" x14ac:dyDescent="0.25">
      <c r="A3928" s="2" t="s">
        <v>2240</v>
      </c>
      <c r="B3928" s="2" t="s">
        <v>2241</v>
      </c>
      <c r="C3928" s="3">
        <v>35</v>
      </c>
      <c r="D3928" s="4">
        <v>2625</v>
      </c>
      <c r="E3928" s="4">
        <v>2088.4499999999998</v>
      </c>
      <c r="F3928" s="4">
        <f t="shared" si="261"/>
        <v>536.55000000000018</v>
      </c>
      <c r="G3928" s="5">
        <f t="shared" si="262"/>
        <v>0.20440000000000008</v>
      </c>
      <c r="H3928" s="2" t="s">
        <v>5</v>
      </c>
      <c r="I3928" s="6" t="s">
        <v>2300</v>
      </c>
      <c r="J3928" s="2" t="s">
        <v>5</v>
      </c>
      <c r="K3928" s="2" t="s">
        <v>5</v>
      </c>
      <c r="L3928" s="2" t="s">
        <v>5</v>
      </c>
      <c r="M3928" s="2" t="s">
        <v>5</v>
      </c>
      <c r="N3928" s="4">
        <v>0</v>
      </c>
    </row>
    <row r="3929" spans="1:14" x14ac:dyDescent="0.25">
      <c r="A3929" s="2" t="s">
        <v>2240</v>
      </c>
      <c r="B3929" s="2" t="s">
        <v>2241</v>
      </c>
      <c r="C3929" s="3">
        <v>15</v>
      </c>
      <c r="D3929" s="4">
        <v>1125</v>
      </c>
      <c r="E3929" s="4">
        <v>895.05</v>
      </c>
      <c r="F3929" s="4">
        <f t="shared" si="261"/>
        <v>229.95000000000005</v>
      </c>
      <c r="G3929" s="5">
        <f t="shared" si="262"/>
        <v>0.20440000000000005</v>
      </c>
      <c r="H3929" s="2" t="s">
        <v>5</v>
      </c>
      <c r="I3929" s="6" t="s">
        <v>2300</v>
      </c>
      <c r="J3929" s="2" t="s">
        <v>5</v>
      </c>
      <c r="K3929" s="2" t="s">
        <v>5</v>
      </c>
      <c r="L3929" s="2" t="s">
        <v>5</v>
      </c>
      <c r="M3929" s="2" t="s">
        <v>5</v>
      </c>
      <c r="N3929" s="4">
        <v>0</v>
      </c>
    </row>
    <row r="3930" spans="1:14" x14ac:dyDescent="0.25">
      <c r="A3930" s="2" t="s">
        <v>703</v>
      </c>
      <c r="B3930" s="2" t="s">
        <v>704</v>
      </c>
      <c r="C3930" s="3">
        <v>48</v>
      </c>
      <c r="D3930" s="4">
        <v>297.60000000000002</v>
      </c>
      <c r="E3930" s="4">
        <v>228</v>
      </c>
      <c r="F3930" s="4">
        <f t="shared" si="261"/>
        <v>69.600000000000023</v>
      </c>
      <c r="G3930" s="5">
        <f t="shared" si="262"/>
        <v>0.23387096774193555</v>
      </c>
      <c r="H3930" s="2" t="s">
        <v>5</v>
      </c>
      <c r="I3930" s="6" t="s">
        <v>2300</v>
      </c>
      <c r="J3930" s="2" t="s">
        <v>5</v>
      </c>
      <c r="K3930" s="2" t="s">
        <v>5</v>
      </c>
      <c r="L3930" s="2" t="s">
        <v>5</v>
      </c>
      <c r="M3930" s="2" t="s">
        <v>5</v>
      </c>
      <c r="N3930" s="4">
        <v>0</v>
      </c>
    </row>
    <row r="3931" spans="1:14" x14ac:dyDescent="0.25">
      <c r="A3931" s="2" t="s">
        <v>703</v>
      </c>
      <c r="B3931" s="2" t="s">
        <v>704</v>
      </c>
      <c r="C3931" s="3">
        <v>24</v>
      </c>
      <c r="D3931" s="4">
        <v>148.80000000000001</v>
      </c>
      <c r="E3931" s="4">
        <v>114</v>
      </c>
      <c r="F3931" s="4">
        <f t="shared" si="261"/>
        <v>34.800000000000011</v>
      </c>
      <c r="G3931" s="5">
        <f t="shared" si="262"/>
        <v>0.23387096774193555</v>
      </c>
      <c r="H3931" s="2" t="s">
        <v>5</v>
      </c>
      <c r="I3931" s="6" t="s">
        <v>2300</v>
      </c>
      <c r="J3931" s="2" t="s">
        <v>5</v>
      </c>
      <c r="K3931" s="2" t="s">
        <v>5</v>
      </c>
      <c r="L3931" s="2" t="s">
        <v>5</v>
      </c>
      <c r="M3931" s="2" t="s">
        <v>5</v>
      </c>
      <c r="N3931" s="4">
        <v>0</v>
      </c>
    </row>
    <row r="3932" spans="1:14" x14ac:dyDescent="0.25">
      <c r="A3932" s="2" t="s">
        <v>703</v>
      </c>
      <c r="B3932" s="2" t="s">
        <v>704</v>
      </c>
      <c r="C3932" s="3">
        <v>72</v>
      </c>
      <c r="D3932" s="4">
        <v>446.4</v>
      </c>
      <c r="E3932" s="4">
        <v>342</v>
      </c>
      <c r="F3932" s="4">
        <f t="shared" si="261"/>
        <v>104.39999999999998</v>
      </c>
      <c r="G3932" s="5">
        <f t="shared" si="262"/>
        <v>0.23387096774193544</v>
      </c>
      <c r="H3932" s="2" t="s">
        <v>5</v>
      </c>
      <c r="I3932" s="6" t="s">
        <v>2300</v>
      </c>
      <c r="J3932" s="2" t="s">
        <v>5</v>
      </c>
      <c r="K3932" s="2" t="s">
        <v>5</v>
      </c>
      <c r="L3932" s="2" t="s">
        <v>5</v>
      </c>
      <c r="M3932" s="2" t="s">
        <v>5</v>
      </c>
      <c r="N3932" s="4">
        <v>0</v>
      </c>
    </row>
    <row r="3933" spans="1:14" x14ac:dyDescent="0.25">
      <c r="A3933" s="2" t="s">
        <v>703</v>
      </c>
      <c r="B3933" s="2" t="s">
        <v>704</v>
      </c>
      <c r="C3933" s="3">
        <v>90</v>
      </c>
      <c r="D3933" s="4">
        <v>558</v>
      </c>
      <c r="E3933" s="4">
        <v>427.5</v>
      </c>
      <c r="F3933" s="4">
        <f t="shared" si="261"/>
        <v>130.5</v>
      </c>
      <c r="G3933" s="5">
        <f t="shared" si="262"/>
        <v>0.23387096774193547</v>
      </c>
      <c r="H3933" s="2" t="s">
        <v>5</v>
      </c>
      <c r="I3933" s="6" t="s">
        <v>2300</v>
      </c>
      <c r="J3933" s="2" t="s">
        <v>5</v>
      </c>
      <c r="K3933" s="2" t="s">
        <v>5</v>
      </c>
      <c r="L3933" s="2" t="s">
        <v>5</v>
      </c>
      <c r="M3933" s="2" t="s">
        <v>5</v>
      </c>
      <c r="N3933" s="4">
        <v>0</v>
      </c>
    </row>
    <row r="3934" spans="1:14" x14ac:dyDescent="0.25">
      <c r="A3934" s="2" t="s">
        <v>703</v>
      </c>
      <c r="B3934" s="2" t="s">
        <v>704</v>
      </c>
      <c r="C3934" s="3">
        <v>50</v>
      </c>
      <c r="D3934" s="4">
        <v>310</v>
      </c>
      <c r="E3934" s="4">
        <v>237.5</v>
      </c>
      <c r="F3934" s="4">
        <f t="shared" si="261"/>
        <v>72.5</v>
      </c>
      <c r="G3934" s="5">
        <f t="shared" si="262"/>
        <v>0.23387096774193547</v>
      </c>
      <c r="H3934" s="2" t="s">
        <v>5</v>
      </c>
      <c r="I3934" s="6" t="s">
        <v>2300</v>
      </c>
      <c r="J3934" s="2" t="s">
        <v>5</v>
      </c>
      <c r="K3934" s="2" t="s">
        <v>5</v>
      </c>
      <c r="L3934" s="2" t="s">
        <v>5</v>
      </c>
      <c r="M3934" s="2" t="s">
        <v>5</v>
      </c>
      <c r="N3934" s="4">
        <v>0</v>
      </c>
    </row>
    <row r="3935" spans="1:14" x14ac:dyDescent="0.25">
      <c r="A3935" s="2" t="s">
        <v>703</v>
      </c>
      <c r="B3935" s="2" t="s">
        <v>704</v>
      </c>
      <c r="C3935" s="3">
        <v>20</v>
      </c>
      <c r="D3935" s="4">
        <v>157.4</v>
      </c>
      <c r="E3935" s="4">
        <v>95</v>
      </c>
      <c r="F3935" s="4">
        <f t="shared" si="261"/>
        <v>62.400000000000006</v>
      </c>
      <c r="G3935" s="5">
        <f t="shared" si="262"/>
        <v>0.39644218551461247</v>
      </c>
      <c r="H3935" s="2" t="s">
        <v>5</v>
      </c>
      <c r="I3935" s="6" t="s">
        <v>2300</v>
      </c>
      <c r="J3935" s="2" t="s">
        <v>5</v>
      </c>
      <c r="K3935" s="2" t="s">
        <v>5</v>
      </c>
      <c r="L3935" s="2" t="s">
        <v>5</v>
      </c>
      <c r="M3935" s="2" t="s">
        <v>5</v>
      </c>
      <c r="N3935" s="4">
        <v>0</v>
      </c>
    </row>
    <row r="3936" spans="1:14" x14ac:dyDescent="0.25">
      <c r="A3936" s="2" t="s">
        <v>703</v>
      </c>
      <c r="B3936" s="2" t="s">
        <v>704</v>
      </c>
      <c r="C3936" s="3">
        <v>20</v>
      </c>
      <c r="D3936" s="4">
        <v>124</v>
      </c>
      <c r="E3936" s="4">
        <v>95</v>
      </c>
      <c r="F3936" s="4">
        <f t="shared" si="261"/>
        <v>29</v>
      </c>
      <c r="G3936" s="5">
        <f t="shared" si="262"/>
        <v>0.23387096774193547</v>
      </c>
      <c r="H3936" s="2" t="s">
        <v>5</v>
      </c>
      <c r="I3936" s="6" t="s">
        <v>2300</v>
      </c>
      <c r="J3936" s="2" t="s">
        <v>5</v>
      </c>
      <c r="K3936" s="2" t="s">
        <v>5</v>
      </c>
      <c r="L3936" s="2" t="s">
        <v>5</v>
      </c>
      <c r="M3936" s="2" t="s">
        <v>5</v>
      </c>
      <c r="N3936" s="4">
        <v>0</v>
      </c>
    </row>
    <row r="3937" spans="1:14" x14ac:dyDescent="0.25">
      <c r="A3937" s="2" t="s">
        <v>703</v>
      </c>
      <c r="B3937" s="2" t="s">
        <v>704</v>
      </c>
      <c r="C3937" s="3">
        <v>72</v>
      </c>
      <c r="D3937" s="4">
        <v>446.4</v>
      </c>
      <c r="E3937" s="4">
        <v>342</v>
      </c>
      <c r="F3937" s="4">
        <f t="shared" ref="F3937:F4000" si="263">D3937-E3937</f>
        <v>104.39999999999998</v>
      </c>
      <c r="G3937" s="5">
        <f t="shared" ref="G3937:G4000" si="264">IF(((D3937)=0),0,(D3937-E3937)/ D3937)</f>
        <v>0.23387096774193544</v>
      </c>
      <c r="H3937" s="2" t="s">
        <v>5</v>
      </c>
      <c r="I3937" s="6" t="s">
        <v>2300</v>
      </c>
      <c r="J3937" s="2" t="s">
        <v>5</v>
      </c>
      <c r="K3937" s="2" t="s">
        <v>5</v>
      </c>
      <c r="L3937" s="2" t="s">
        <v>5</v>
      </c>
      <c r="M3937" s="2" t="s">
        <v>5</v>
      </c>
      <c r="N3937" s="4">
        <v>0</v>
      </c>
    </row>
    <row r="3938" spans="1:14" x14ac:dyDescent="0.25">
      <c r="A3938" s="2" t="s">
        <v>1224</v>
      </c>
      <c r="B3938" s="2" t="s">
        <v>1225</v>
      </c>
      <c r="C3938" s="3">
        <v>28.805</v>
      </c>
      <c r="D3938" s="4">
        <v>162.74825000000001</v>
      </c>
      <c r="E3938" s="4">
        <v>136.82374999999999</v>
      </c>
      <c r="F3938" s="4">
        <f t="shared" si="263"/>
        <v>25.924500000000023</v>
      </c>
      <c r="G3938" s="5">
        <f t="shared" si="264"/>
        <v>0.15929203539823023</v>
      </c>
      <c r="H3938" s="2" t="s">
        <v>5</v>
      </c>
      <c r="I3938" s="6" t="s">
        <v>2300</v>
      </c>
      <c r="J3938" s="2" t="s">
        <v>5</v>
      </c>
      <c r="K3938" s="2" t="s">
        <v>5</v>
      </c>
      <c r="L3938" s="2" t="s">
        <v>5</v>
      </c>
      <c r="M3938" s="2" t="s">
        <v>5</v>
      </c>
      <c r="N3938" s="4">
        <v>0</v>
      </c>
    </row>
    <row r="3939" spans="1:14" x14ac:dyDescent="0.25">
      <c r="A3939" s="2" t="s">
        <v>1224</v>
      </c>
      <c r="B3939" s="2" t="s">
        <v>1225</v>
      </c>
      <c r="C3939" s="3">
        <v>42.344999999999999</v>
      </c>
      <c r="D3939" s="4">
        <v>239.24924999999999</v>
      </c>
      <c r="E3939" s="4">
        <v>201.13874999999999</v>
      </c>
      <c r="F3939" s="4">
        <f t="shared" si="263"/>
        <v>38.110500000000002</v>
      </c>
      <c r="G3939" s="5">
        <f t="shared" si="264"/>
        <v>0.15929203539823011</v>
      </c>
      <c r="H3939" s="2" t="s">
        <v>5</v>
      </c>
      <c r="I3939" s="6" t="s">
        <v>2300</v>
      </c>
      <c r="J3939" s="2" t="s">
        <v>5</v>
      </c>
      <c r="K3939" s="2" t="s">
        <v>5</v>
      </c>
      <c r="L3939" s="2" t="s">
        <v>5</v>
      </c>
      <c r="M3939" s="2" t="s">
        <v>5</v>
      </c>
      <c r="N3939" s="4">
        <v>0</v>
      </c>
    </row>
    <row r="3940" spans="1:14" x14ac:dyDescent="0.25">
      <c r="A3940" s="2" t="s">
        <v>1087</v>
      </c>
      <c r="B3940" s="2" t="s">
        <v>1088</v>
      </c>
      <c r="C3940" s="3">
        <v>4</v>
      </c>
      <c r="D3940" s="4">
        <v>56.56</v>
      </c>
      <c r="E3940" s="4">
        <v>38.159999999999997</v>
      </c>
      <c r="F3940" s="4">
        <f t="shared" si="263"/>
        <v>18.400000000000006</v>
      </c>
      <c r="G3940" s="5">
        <f t="shared" si="264"/>
        <v>0.32531824611032539</v>
      </c>
      <c r="H3940" s="2" t="s">
        <v>5</v>
      </c>
      <c r="I3940" s="6" t="s">
        <v>2300</v>
      </c>
      <c r="J3940" s="2" t="s">
        <v>5</v>
      </c>
      <c r="K3940" s="2" t="s">
        <v>5</v>
      </c>
      <c r="L3940" s="2" t="s">
        <v>5</v>
      </c>
      <c r="M3940" s="2" t="s">
        <v>5</v>
      </c>
      <c r="N3940" s="4">
        <v>0</v>
      </c>
    </row>
    <row r="3941" spans="1:14" x14ac:dyDescent="0.25">
      <c r="A3941" s="2" t="s">
        <v>1087</v>
      </c>
      <c r="B3941" s="2" t="s">
        <v>1088</v>
      </c>
      <c r="C3941" s="3">
        <v>4</v>
      </c>
      <c r="D3941" s="4">
        <v>56.56</v>
      </c>
      <c r="E3941" s="4">
        <v>38.159999999999997</v>
      </c>
      <c r="F3941" s="4">
        <f t="shared" si="263"/>
        <v>18.400000000000006</v>
      </c>
      <c r="G3941" s="5">
        <f t="shared" si="264"/>
        <v>0.32531824611032539</v>
      </c>
      <c r="H3941" s="2" t="s">
        <v>5</v>
      </c>
      <c r="I3941" s="6" t="s">
        <v>2300</v>
      </c>
      <c r="J3941" s="2" t="s">
        <v>5</v>
      </c>
      <c r="K3941" s="2" t="s">
        <v>5</v>
      </c>
      <c r="L3941" s="2" t="s">
        <v>5</v>
      </c>
      <c r="M3941" s="2" t="s">
        <v>5</v>
      </c>
      <c r="N3941" s="4">
        <v>0</v>
      </c>
    </row>
    <row r="3942" spans="1:14" x14ac:dyDescent="0.25">
      <c r="A3942" s="2" t="s">
        <v>1087</v>
      </c>
      <c r="B3942" s="2" t="s">
        <v>1088</v>
      </c>
      <c r="C3942" s="3">
        <v>12</v>
      </c>
      <c r="D3942" s="4">
        <v>169.68</v>
      </c>
      <c r="E3942" s="4">
        <v>114.48</v>
      </c>
      <c r="F3942" s="4">
        <f t="shared" si="263"/>
        <v>55.2</v>
      </c>
      <c r="G3942" s="5">
        <f t="shared" si="264"/>
        <v>0.32531824611032534</v>
      </c>
      <c r="H3942" s="2" t="s">
        <v>5</v>
      </c>
      <c r="I3942" s="6" t="s">
        <v>2300</v>
      </c>
      <c r="J3942" s="2" t="s">
        <v>5</v>
      </c>
      <c r="K3942" s="2" t="s">
        <v>5</v>
      </c>
      <c r="L3942" s="2" t="s">
        <v>5</v>
      </c>
      <c r="M3942" s="2" t="s">
        <v>5</v>
      </c>
      <c r="N3942" s="4">
        <v>0</v>
      </c>
    </row>
    <row r="3943" spans="1:14" x14ac:dyDescent="0.25">
      <c r="A3943" s="2" t="s">
        <v>1087</v>
      </c>
      <c r="B3943" s="2" t="s">
        <v>1088</v>
      </c>
      <c r="C3943" s="3">
        <v>4</v>
      </c>
      <c r="D3943" s="4">
        <v>56.56</v>
      </c>
      <c r="E3943" s="4">
        <v>38.159999999999997</v>
      </c>
      <c r="F3943" s="4">
        <f t="shared" si="263"/>
        <v>18.400000000000006</v>
      </c>
      <c r="G3943" s="5">
        <f t="shared" si="264"/>
        <v>0.32531824611032539</v>
      </c>
      <c r="H3943" s="2" t="s">
        <v>5</v>
      </c>
      <c r="I3943" s="6" t="s">
        <v>2300</v>
      </c>
      <c r="J3943" s="2" t="s">
        <v>5</v>
      </c>
      <c r="K3943" s="2" t="s">
        <v>5</v>
      </c>
      <c r="L3943" s="2" t="s">
        <v>5</v>
      </c>
      <c r="M3943" s="2" t="s">
        <v>5</v>
      </c>
      <c r="N3943" s="4">
        <v>0</v>
      </c>
    </row>
    <row r="3944" spans="1:14" x14ac:dyDescent="0.25">
      <c r="A3944" s="2" t="s">
        <v>1087</v>
      </c>
      <c r="B3944" s="2" t="s">
        <v>1088</v>
      </c>
      <c r="C3944" s="3">
        <v>4</v>
      </c>
      <c r="D3944" s="4">
        <v>56.56</v>
      </c>
      <c r="E3944" s="4">
        <v>38.159999999999997</v>
      </c>
      <c r="F3944" s="4">
        <f t="shared" si="263"/>
        <v>18.400000000000006</v>
      </c>
      <c r="G3944" s="5">
        <f t="shared" si="264"/>
        <v>0.32531824611032539</v>
      </c>
      <c r="H3944" s="2" t="s">
        <v>5</v>
      </c>
      <c r="I3944" s="6" t="s">
        <v>2300</v>
      </c>
      <c r="J3944" s="2" t="s">
        <v>5</v>
      </c>
      <c r="K3944" s="2" t="s">
        <v>5</v>
      </c>
      <c r="L3944" s="2" t="s">
        <v>5</v>
      </c>
      <c r="M3944" s="2" t="s">
        <v>5</v>
      </c>
      <c r="N3944" s="4">
        <v>0</v>
      </c>
    </row>
    <row r="3945" spans="1:14" x14ac:dyDescent="0.25">
      <c r="A3945" s="2" t="s">
        <v>1089</v>
      </c>
      <c r="B3945" s="2" t="s">
        <v>1090</v>
      </c>
      <c r="C3945" s="3">
        <v>1</v>
      </c>
      <c r="D3945" s="4">
        <v>23.35</v>
      </c>
      <c r="E3945" s="4">
        <v>15.75</v>
      </c>
      <c r="F3945" s="4">
        <f t="shared" si="263"/>
        <v>7.6000000000000014</v>
      </c>
      <c r="G3945" s="5">
        <f t="shared" si="264"/>
        <v>0.32548179871520344</v>
      </c>
      <c r="H3945" s="2" t="s">
        <v>5</v>
      </c>
      <c r="I3945" s="6" t="s">
        <v>2300</v>
      </c>
      <c r="J3945" s="2" t="s">
        <v>5</v>
      </c>
      <c r="K3945" s="2" t="s">
        <v>5</v>
      </c>
      <c r="L3945" s="2" t="s">
        <v>5</v>
      </c>
      <c r="M3945" s="2" t="s">
        <v>5</v>
      </c>
      <c r="N3945" s="4">
        <v>0</v>
      </c>
    </row>
    <row r="3946" spans="1:14" x14ac:dyDescent="0.25">
      <c r="A3946" s="2" t="s">
        <v>1089</v>
      </c>
      <c r="B3946" s="2" t="s">
        <v>1090</v>
      </c>
      <c r="C3946" s="3">
        <v>1</v>
      </c>
      <c r="D3946" s="4">
        <v>23.35</v>
      </c>
      <c r="E3946" s="4">
        <v>15.75</v>
      </c>
      <c r="F3946" s="4">
        <f t="shared" si="263"/>
        <v>7.6000000000000014</v>
      </c>
      <c r="G3946" s="5">
        <f t="shared" si="264"/>
        <v>0.32548179871520344</v>
      </c>
      <c r="H3946" s="2" t="s">
        <v>5</v>
      </c>
      <c r="I3946" s="6" t="s">
        <v>2300</v>
      </c>
      <c r="J3946" s="2" t="s">
        <v>5</v>
      </c>
      <c r="K3946" s="2" t="s">
        <v>5</v>
      </c>
      <c r="L3946" s="2" t="s">
        <v>5</v>
      </c>
      <c r="M3946" s="2" t="s">
        <v>5</v>
      </c>
      <c r="N3946" s="4">
        <v>0</v>
      </c>
    </row>
    <row r="3947" spans="1:14" x14ac:dyDescent="0.25">
      <c r="A3947" s="2" t="s">
        <v>1089</v>
      </c>
      <c r="B3947" s="2" t="s">
        <v>1090</v>
      </c>
      <c r="C3947" s="3">
        <v>1</v>
      </c>
      <c r="D3947" s="4">
        <v>23.35</v>
      </c>
      <c r="E3947" s="4">
        <v>15.75</v>
      </c>
      <c r="F3947" s="4">
        <f t="shared" si="263"/>
        <v>7.6000000000000014</v>
      </c>
      <c r="G3947" s="5">
        <f t="shared" si="264"/>
        <v>0.32548179871520344</v>
      </c>
      <c r="H3947" s="2" t="s">
        <v>5</v>
      </c>
      <c r="I3947" s="6" t="s">
        <v>2300</v>
      </c>
      <c r="J3947" s="2" t="s">
        <v>5</v>
      </c>
      <c r="K3947" s="2" t="s">
        <v>5</v>
      </c>
      <c r="L3947" s="2" t="s">
        <v>5</v>
      </c>
      <c r="M3947" s="2" t="s">
        <v>5</v>
      </c>
      <c r="N3947" s="4">
        <v>0</v>
      </c>
    </row>
    <row r="3948" spans="1:14" x14ac:dyDescent="0.25">
      <c r="A3948" s="2" t="s">
        <v>1134</v>
      </c>
      <c r="B3948" s="2" t="s">
        <v>1135</v>
      </c>
      <c r="C3948" s="3">
        <v>2</v>
      </c>
      <c r="D3948" s="4">
        <v>31.14</v>
      </c>
      <c r="E3948" s="4">
        <v>21</v>
      </c>
      <c r="F3948" s="4">
        <f t="shared" si="263"/>
        <v>10.14</v>
      </c>
      <c r="G3948" s="5">
        <f t="shared" si="264"/>
        <v>0.32562620423892102</v>
      </c>
      <c r="H3948" s="2" t="s">
        <v>5</v>
      </c>
      <c r="I3948" s="6" t="s">
        <v>2300</v>
      </c>
      <c r="J3948" s="2" t="s">
        <v>5</v>
      </c>
      <c r="K3948" s="2" t="s">
        <v>5</v>
      </c>
      <c r="L3948" s="2" t="s">
        <v>5</v>
      </c>
      <c r="M3948" s="2" t="s">
        <v>5</v>
      </c>
      <c r="N3948" s="4">
        <v>0</v>
      </c>
    </row>
    <row r="3949" spans="1:14" x14ac:dyDescent="0.25">
      <c r="A3949" s="2" t="s">
        <v>1091</v>
      </c>
      <c r="B3949" s="2" t="s">
        <v>1092</v>
      </c>
      <c r="C3949" s="3">
        <v>1</v>
      </c>
      <c r="D3949" s="4">
        <v>18.43</v>
      </c>
      <c r="E3949" s="4">
        <v>12.43</v>
      </c>
      <c r="F3949" s="4">
        <f t="shared" si="263"/>
        <v>6</v>
      </c>
      <c r="G3949" s="5">
        <f t="shared" si="264"/>
        <v>0.32555615843733043</v>
      </c>
      <c r="H3949" s="2" t="s">
        <v>5</v>
      </c>
      <c r="I3949" s="6" t="s">
        <v>2300</v>
      </c>
      <c r="J3949" s="2" t="s">
        <v>5</v>
      </c>
      <c r="K3949" s="2" t="s">
        <v>5</v>
      </c>
      <c r="L3949" s="2" t="s">
        <v>5</v>
      </c>
      <c r="M3949" s="2" t="s">
        <v>5</v>
      </c>
      <c r="N3949" s="4">
        <v>0</v>
      </c>
    </row>
    <row r="3950" spans="1:14" x14ac:dyDescent="0.25">
      <c r="A3950" s="2" t="s">
        <v>1091</v>
      </c>
      <c r="B3950" s="2" t="s">
        <v>1092</v>
      </c>
      <c r="C3950" s="3">
        <v>2</v>
      </c>
      <c r="D3950" s="4">
        <v>36.86</v>
      </c>
      <c r="E3950" s="4">
        <v>24.86</v>
      </c>
      <c r="F3950" s="4">
        <f t="shared" si="263"/>
        <v>12</v>
      </c>
      <c r="G3950" s="5">
        <f t="shared" si="264"/>
        <v>0.32555615843733043</v>
      </c>
      <c r="H3950" s="2" t="s">
        <v>5</v>
      </c>
      <c r="I3950" s="6" t="s">
        <v>2300</v>
      </c>
      <c r="J3950" s="2" t="s">
        <v>5</v>
      </c>
      <c r="K3950" s="2" t="s">
        <v>5</v>
      </c>
      <c r="L3950" s="2" t="s">
        <v>5</v>
      </c>
      <c r="M3950" s="2" t="s">
        <v>5</v>
      </c>
      <c r="N3950" s="4">
        <v>0</v>
      </c>
    </row>
    <row r="3951" spans="1:14" x14ac:dyDescent="0.25">
      <c r="A3951" s="2" t="s">
        <v>1091</v>
      </c>
      <c r="B3951" s="2" t="s">
        <v>1092</v>
      </c>
      <c r="C3951" s="3">
        <v>1</v>
      </c>
      <c r="D3951" s="4">
        <v>18.43</v>
      </c>
      <c r="E3951" s="4">
        <v>12.43</v>
      </c>
      <c r="F3951" s="4">
        <f t="shared" si="263"/>
        <v>6</v>
      </c>
      <c r="G3951" s="5">
        <f t="shared" si="264"/>
        <v>0.32555615843733043</v>
      </c>
      <c r="H3951" s="2" t="s">
        <v>5</v>
      </c>
      <c r="I3951" s="6" t="s">
        <v>2300</v>
      </c>
      <c r="J3951" s="2" t="s">
        <v>5</v>
      </c>
      <c r="K3951" s="2" t="s">
        <v>5</v>
      </c>
      <c r="L3951" s="2" t="s">
        <v>5</v>
      </c>
      <c r="M3951" s="2" t="s">
        <v>5</v>
      </c>
      <c r="N3951" s="4">
        <v>0</v>
      </c>
    </row>
    <row r="3952" spans="1:14" x14ac:dyDescent="0.25">
      <c r="A3952" s="2" t="s">
        <v>1136</v>
      </c>
      <c r="B3952" s="2" t="s">
        <v>1137</v>
      </c>
      <c r="C3952" s="3">
        <v>1</v>
      </c>
      <c r="D3952" s="4">
        <v>23.25</v>
      </c>
      <c r="E3952" s="4">
        <v>14.7</v>
      </c>
      <c r="F3952" s="4">
        <f t="shared" si="263"/>
        <v>8.5500000000000007</v>
      </c>
      <c r="G3952" s="5">
        <f t="shared" si="264"/>
        <v>0.36774193548387102</v>
      </c>
      <c r="H3952" s="2" t="s">
        <v>5</v>
      </c>
      <c r="I3952" s="6" t="s">
        <v>2300</v>
      </c>
      <c r="J3952" s="2" t="s">
        <v>5</v>
      </c>
      <c r="K3952" s="2" t="s">
        <v>5</v>
      </c>
      <c r="L3952" s="2" t="s">
        <v>5</v>
      </c>
      <c r="M3952" s="2" t="s">
        <v>5</v>
      </c>
      <c r="N3952" s="4">
        <v>0</v>
      </c>
    </row>
    <row r="3953" spans="1:14" x14ac:dyDescent="0.25">
      <c r="A3953" s="2" t="s">
        <v>1136</v>
      </c>
      <c r="B3953" s="2" t="s">
        <v>1137</v>
      </c>
      <c r="C3953" s="3">
        <v>1</v>
      </c>
      <c r="D3953" s="4">
        <v>23.25</v>
      </c>
      <c r="E3953" s="4">
        <v>14.7</v>
      </c>
      <c r="F3953" s="4">
        <f t="shared" si="263"/>
        <v>8.5500000000000007</v>
      </c>
      <c r="G3953" s="5">
        <f t="shared" si="264"/>
        <v>0.36774193548387102</v>
      </c>
      <c r="H3953" s="2" t="s">
        <v>5</v>
      </c>
      <c r="I3953" s="6" t="s">
        <v>2300</v>
      </c>
      <c r="J3953" s="2" t="s">
        <v>5</v>
      </c>
      <c r="K3953" s="2" t="s">
        <v>5</v>
      </c>
      <c r="L3953" s="2" t="s">
        <v>5</v>
      </c>
      <c r="M3953" s="2" t="s">
        <v>5</v>
      </c>
      <c r="N3953" s="4">
        <v>0</v>
      </c>
    </row>
    <row r="3954" spans="1:14" x14ac:dyDescent="0.25">
      <c r="A3954" s="2" t="s">
        <v>1136</v>
      </c>
      <c r="B3954" s="2" t="s">
        <v>1137</v>
      </c>
      <c r="C3954" s="3">
        <v>1</v>
      </c>
      <c r="D3954" s="4">
        <v>23.25</v>
      </c>
      <c r="E3954" s="4">
        <v>14.7</v>
      </c>
      <c r="F3954" s="4">
        <f t="shared" si="263"/>
        <v>8.5500000000000007</v>
      </c>
      <c r="G3954" s="5">
        <f t="shared" si="264"/>
        <v>0.36774193548387102</v>
      </c>
      <c r="H3954" s="2" t="s">
        <v>5</v>
      </c>
      <c r="I3954" s="6" t="s">
        <v>2300</v>
      </c>
      <c r="J3954" s="2" t="s">
        <v>5</v>
      </c>
      <c r="K3954" s="2" t="s">
        <v>5</v>
      </c>
      <c r="L3954" s="2" t="s">
        <v>5</v>
      </c>
      <c r="M3954" s="2" t="s">
        <v>5</v>
      </c>
      <c r="N3954" s="4">
        <v>0</v>
      </c>
    </row>
    <row r="3955" spans="1:14" x14ac:dyDescent="0.25">
      <c r="A3955" s="2" t="s">
        <v>1093</v>
      </c>
      <c r="B3955" s="2" t="s">
        <v>1094</v>
      </c>
      <c r="C3955" s="3">
        <v>12</v>
      </c>
      <c r="D3955" s="4">
        <v>153</v>
      </c>
      <c r="E3955" s="4">
        <v>103.2</v>
      </c>
      <c r="F3955" s="4">
        <f t="shared" si="263"/>
        <v>49.8</v>
      </c>
      <c r="G3955" s="5">
        <f t="shared" si="264"/>
        <v>0.32549019607843133</v>
      </c>
      <c r="H3955" s="2" t="s">
        <v>5</v>
      </c>
      <c r="I3955" s="6" t="s">
        <v>2300</v>
      </c>
      <c r="J3955" s="2" t="s">
        <v>5</v>
      </c>
      <c r="K3955" s="2" t="s">
        <v>5</v>
      </c>
      <c r="L3955" s="2" t="s">
        <v>5</v>
      </c>
      <c r="M3955" s="2" t="s">
        <v>5</v>
      </c>
      <c r="N3955" s="4">
        <v>0</v>
      </c>
    </row>
    <row r="3956" spans="1:14" x14ac:dyDescent="0.25">
      <c r="A3956" s="2" t="s">
        <v>1093</v>
      </c>
      <c r="B3956" s="2" t="s">
        <v>1094</v>
      </c>
      <c r="C3956" s="3">
        <v>6</v>
      </c>
      <c r="D3956" s="4">
        <v>76.5</v>
      </c>
      <c r="E3956" s="4">
        <v>51.6</v>
      </c>
      <c r="F3956" s="4">
        <f t="shared" si="263"/>
        <v>24.9</v>
      </c>
      <c r="G3956" s="5">
        <f t="shared" si="264"/>
        <v>0.32549019607843133</v>
      </c>
      <c r="H3956" s="2" t="s">
        <v>5</v>
      </c>
      <c r="I3956" s="6" t="s">
        <v>2300</v>
      </c>
      <c r="J3956" s="2" t="s">
        <v>5</v>
      </c>
      <c r="K3956" s="2" t="s">
        <v>5</v>
      </c>
      <c r="L3956" s="2" t="s">
        <v>5</v>
      </c>
      <c r="M3956" s="2" t="s">
        <v>5</v>
      </c>
      <c r="N3956" s="4">
        <v>0</v>
      </c>
    </row>
    <row r="3957" spans="1:14" x14ac:dyDescent="0.25">
      <c r="A3957" s="2" t="s">
        <v>1093</v>
      </c>
      <c r="B3957" s="2" t="s">
        <v>1094</v>
      </c>
      <c r="C3957" s="3">
        <v>6</v>
      </c>
      <c r="D3957" s="4">
        <v>76.5</v>
      </c>
      <c r="E3957" s="4">
        <v>51.6</v>
      </c>
      <c r="F3957" s="4">
        <f t="shared" si="263"/>
        <v>24.9</v>
      </c>
      <c r="G3957" s="5">
        <f t="shared" si="264"/>
        <v>0.32549019607843133</v>
      </c>
      <c r="H3957" s="2" t="s">
        <v>5</v>
      </c>
      <c r="I3957" s="6" t="s">
        <v>2300</v>
      </c>
      <c r="J3957" s="2" t="s">
        <v>5</v>
      </c>
      <c r="K3957" s="2" t="s">
        <v>5</v>
      </c>
      <c r="L3957" s="2" t="s">
        <v>5</v>
      </c>
      <c r="M3957" s="2" t="s">
        <v>5</v>
      </c>
      <c r="N3957" s="4">
        <v>0</v>
      </c>
    </row>
    <row r="3958" spans="1:14" x14ac:dyDescent="0.25">
      <c r="A3958" s="2" t="s">
        <v>1093</v>
      </c>
      <c r="B3958" s="2" t="s">
        <v>1094</v>
      </c>
      <c r="C3958" s="3">
        <v>6</v>
      </c>
      <c r="D3958" s="4">
        <v>76.5</v>
      </c>
      <c r="E3958" s="4">
        <v>51.6</v>
      </c>
      <c r="F3958" s="4">
        <f t="shared" si="263"/>
        <v>24.9</v>
      </c>
      <c r="G3958" s="5">
        <f t="shared" si="264"/>
        <v>0.32549019607843133</v>
      </c>
      <c r="H3958" s="2" t="s">
        <v>5</v>
      </c>
      <c r="I3958" s="6" t="s">
        <v>2300</v>
      </c>
      <c r="J3958" s="2" t="s">
        <v>5</v>
      </c>
      <c r="K3958" s="2" t="s">
        <v>5</v>
      </c>
      <c r="L3958" s="2" t="s">
        <v>5</v>
      </c>
      <c r="M3958" s="2" t="s">
        <v>5</v>
      </c>
      <c r="N3958" s="4">
        <v>0</v>
      </c>
    </row>
    <row r="3959" spans="1:14" x14ac:dyDescent="0.25">
      <c r="A3959" s="2" t="s">
        <v>1093</v>
      </c>
      <c r="B3959" s="2" t="s">
        <v>1094</v>
      </c>
      <c r="C3959" s="3">
        <v>6</v>
      </c>
      <c r="D3959" s="4">
        <v>76.5</v>
      </c>
      <c r="E3959" s="4">
        <v>51.6</v>
      </c>
      <c r="F3959" s="4">
        <f t="shared" si="263"/>
        <v>24.9</v>
      </c>
      <c r="G3959" s="5">
        <f t="shared" si="264"/>
        <v>0.32549019607843133</v>
      </c>
      <c r="H3959" s="2" t="s">
        <v>5</v>
      </c>
      <c r="I3959" s="6" t="s">
        <v>2300</v>
      </c>
      <c r="J3959" s="2" t="s">
        <v>5</v>
      </c>
      <c r="K3959" s="2" t="s">
        <v>5</v>
      </c>
      <c r="L3959" s="2" t="s">
        <v>5</v>
      </c>
      <c r="M3959" s="2" t="s">
        <v>5</v>
      </c>
      <c r="N3959" s="4">
        <v>0</v>
      </c>
    </row>
    <row r="3960" spans="1:14" x14ac:dyDescent="0.25">
      <c r="A3960" s="2" t="s">
        <v>1093</v>
      </c>
      <c r="B3960" s="2" t="s">
        <v>1094</v>
      </c>
      <c r="C3960" s="3">
        <v>6</v>
      </c>
      <c r="D3960" s="4">
        <v>76.5</v>
      </c>
      <c r="E3960" s="4">
        <v>51.6</v>
      </c>
      <c r="F3960" s="4">
        <f t="shared" si="263"/>
        <v>24.9</v>
      </c>
      <c r="G3960" s="5">
        <f t="shared" si="264"/>
        <v>0.32549019607843133</v>
      </c>
      <c r="H3960" s="2" t="s">
        <v>5</v>
      </c>
      <c r="I3960" s="6" t="s">
        <v>2300</v>
      </c>
      <c r="J3960" s="2" t="s">
        <v>5</v>
      </c>
      <c r="K3960" s="2" t="s">
        <v>5</v>
      </c>
      <c r="L3960" s="2" t="s">
        <v>5</v>
      </c>
      <c r="M3960" s="2" t="s">
        <v>5</v>
      </c>
      <c r="N3960" s="4">
        <v>0</v>
      </c>
    </row>
    <row r="3961" spans="1:14" x14ac:dyDescent="0.25">
      <c r="A3961" s="2" t="s">
        <v>2248</v>
      </c>
      <c r="B3961" s="2" t="s">
        <v>2249</v>
      </c>
      <c r="C3961" s="3">
        <v>1350</v>
      </c>
      <c r="D3961" s="4">
        <v>6750</v>
      </c>
      <c r="E3961" s="4">
        <v>6750</v>
      </c>
      <c r="F3961" s="4">
        <f t="shared" si="263"/>
        <v>0</v>
      </c>
      <c r="G3961" s="5">
        <f t="shared" si="264"/>
        <v>0</v>
      </c>
      <c r="H3961" s="2" t="s">
        <v>5</v>
      </c>
      <c r="I3961" s="6" t="s">
        <v>2300</v>
      </c>
      <c r="J3961" s="2" t="s">
        <v>5</v>
      </c>
      <c r="K3961" s="2" t="s">
        <v>5</v>
      </c>
      <c r="L3961" s="2" t="s">
        <v>5</v>
      </c>
      <c r="M3961" s="2" t="s">
        <v>5</v>
      </c>
      <c r="N3961" s="4">
        <v>0</v>
      </c>
    </row>
    <row r="3962" spans="1:14" x14ac:dyDescent="0.25">
      <c r="A3962" s="2" t="s">
        <v>966</v>
      </c>
      <c r="B3962" s="2" t="s">
        <v>967</v>
      </c>
      <c r="C3962" s="3">
        <v>108.47</v>
      </c>
      <c r="D3962" s="4">
        <v>1355.875</v>
      </c>
      <c r="E3962" s="4">
        <v>1279.9459999999999</v>
      </c>
      <c r="F3962" s="4">
        <f t="shared" si="263"/>
        <v>75.929000000000087</v>
      </c>
      <c r="G3962" s="5">
        <f t="shared" si="264"/>
        <v>5.6000000000000064E-2</v>
      </c>
      <c r="H3962" s="2" t="s">
        <v>5</v>
      </c>
      <c r="I3962" s="6" t="s">
        <v>2300</v>
      </c>
      <c r="J3962" s="2" t="s">
        <v>5</v>
      </c>
      <c r="K3962" s="2" t="s">
        <v>5</v>
      </c>
      <c r="L3962" s="2" t="s">
        <v>5</v>
      </c>
      <c r="M3962" s="2" t="s">
        <v>5</v>
      </c>
      <c r="N3962" s="4">
        <v>0</v>
      </c>
    </row>
    <row r="3963" spans="1:14" x14ac:dyDescent="0.25">
      <c r="A3963" s="2" t="s">
        <v>966</v>
      </c>
      <c r="B3963" s="2" t="s">
        <v>967</v>
      </c>
      <c r="C3963" s="3">
        <v>10.055</v>
      </c>
      <c r="D3963" s="4">
        <v>154.04259999999999</v>
      </c>
      <c r="E3963" s="4">
        <v>118.649</v>
      </c>
      <c r="F3963" s="4">
        <f t="shared" si="263"/>
        <v>35.393599999999992</v>
      </c>
      <c r="G3963" s="5">
        <f t="shared" si="264"/>
        <v>0.22976501305483024</v>
      </c>
      <c r="H3963" s="2" t="s">
        <v>5</v>
      </c>
      <c r="I3963" s="6" t="s">
        <v>2300</v>
      </c>
      <c r="J3963" s="2" t="s">
        <v>5</v>
      </c>
      <c r="K3963" s="2" t="s">
        <v>5</v>
      </c>
      <c r="L3963" s="2" t="s">
        <v>5</v>
      </c>
      <c r="M3963" s="2" t="s">
        <v>5</v>
      </c>
      <c r="N3963" s="4">
        <v>0</v>
      </c>
    </row>
    <row r="3964" spans="1:14" x14ac:dyDescent="0.25">
      <c r="A3964" s="2" t="s">
        <v>966</v>
      </c>
      <c r="B3964" s="2" t="s">
        <v>967</v>
      </c>
      <c r="C3964" s="3">
        <v>20.25</v>
      </c>
      <c r="D3964" s="4">
        <v>310.23</v>
      </c>
      <c r="E3964" s="4">
        <v>238.95</v>
      </c>
      <c r="F3964" s="4">
        <f t="shared" si="263"/>
        <v>71.28000000000003</v>
      </c>
      <c r="G3964" s="5">
        <f t="shared" si="264"/>
        <v>0.22976501305483038</v>
      </c>
      <c r="H3964" s="2" t="s">
        <v>5</v>
      </c>
      <c r="I3964" s="6" t="s">
        <v>2300</v>
      </c>
      <c r="J3964" s="2" t="s">
        <v>5</v>
      </c>
      <c r="K3964" s="2" t="s">
        <v>5</v>
      </c>
      <c r="L3964" s="2" t="s">
        <v>5</v>
      </c>
      <c r="M3964" s="2" t="s">
        <v>5</v>
      </c>
      <c r="N3964" s="4">
        <v>0</v>
      </c>
    </row>
    <row r="3965" spans="1:14" x14ac:dyDescent="0.25">
      <c r="A3965" s="2" t="s">
        <v>966</v>
      </c>
      <c r="B3965" s="2" t="s">
        <v>967</v>
      </c>
      <c r="C3965" s="3">
        <v>259.64</v>
      </c>
      <c r="D3965" s="4">
        <v>3245.5</v>
      </c>
      <c r="E3965" s="4">
        <v>3063.752</v>
      </c>
      <c r="F3965" s="4">
        <f t="shared" si="263"/>
        <v>181.74800000000005</v>
      </c>
      <c r="G3965" s="5">
        <f t="shared" si="264"/>
        <v>5.6000000000000015E-2</v>
      </c>
      <c r="H3965" s="2" t="s">
        <v>5</v>
      </c>
      <c r="I3965" s="6" t="s">
        <v>2300</v>
      </c>
      <c r="J3965" s="2" t="s">
        <v>5</v>
      </c>
      <c r="K3965" s="2" t="s">
        <v>5</v>
      </c>
      <c r="L3965" s="2" t="s">
        <v>5</v>
      </c>
      <c r="M3965" s="2" t="s">
        <v>5</v>
      </c>
      <c r="N3965" s="4">
        <v>0</v>
      </c>
    </row>
    <row r="3966" spans="1:14" x14ac:dyDescent="0.25">
      <c r="A3966" s="2" t="s">
        <v>966</v>
      </c>
      <c r="B3966" s="2" t="s">
        <v>967</v>
      </c>
      <c r="C3966" s="3">
        <v>20.13</v>
      </c>
      <c r="D3966" s="4">
        <v>308.39159999999998</v>
      </c>
      <c r="E3966" s="4">
        <v>237.53399999999999</v>
      </c>
      <c r="F3966" s="4">
        <f t="shared" si="263"/>
        <v>70.857599999999991</v>
      </c>
      <c r="G3966" s="5">
        <f t="shared" si="264"/>
        <v>0.22976501305483027</v>
      </c>
      <c r="H3966" s="2" t="s">
        <v>5</v>
      </c>
      <c r="I3966" s="6" t="s">
        <v>2300</v>
      </c>
      <c r="J3966" s="2" t="s">
        <v>5</v>
      </c>
      <c r="K3966" s="2" t="s">
        <v>5</v>
      </c>
      <c r="L3966" s="2" t="s">
        <v>5</v>
      </c>
      <c r="M3966" s="2" t="s">
        <v>5</v>
      </c>
      <c r="N3966" s="4">
        <v>0</v>
      </c>
    </row>
    <row r="3967" spans="1:14" x14ac:dyDescent="0.25">
      <c r="A3967" s="2" t="s">
        <v>966</v>
      </c>
      <c r="B3967" s="2" t="s">
        <v>967</v>
      </c>
      <c r="C3967" s="3">
        <v>15</v>
      </c>
      <c r="D3967" s="4">
        <v>229.8</v>
      </c>
      <c r="E3967" s="4">
        <v>177</v>
      </c>
      <c r="F3967" s="4">
        <f t="shared" si="263"/>
        <v>52.800000000000011</v>
      </c>
      <c r="G3967" s="5">
        <f t="shared" si="264"/>
        <v>0.22976501305483032</v>
      </c>
      <c r="H3967" s="2" t="s">
        <v>5</v>
      </c>
      <c r="I3967" s="6" t="s">
        <v>2300</v>
      </c>
      <c r="J3967" s="2" t="s">
        <v>5</v>
      </c>
      <c r="K3967" s="2" t="s">
        <v>5</v>
      </c>
      <c r="L3967" s="2" t="s">
        <v>5</v>
      </c>
      <c r="M3967" s="2" t="s">
        <v>5</v>
      </c>
      <c r="N3967" s="4">
        <v>0</v>
      </c>
    </row>
    <row r="3968" spans="1:14" x14ac:dyDescent="0.25">
      <c r="A3968" s="2" t="s">
        <v>1048</v>
      </c>
      <c r="B3968" s="2" t="s">
        <v>1049</v>
      </c>
      <c r="C3968" s="3">
        <v>3000</v>
      </c>
      <c r="D3968" s="4">
        <v>270</v>
      </c>
      <c r="E3968" s="4">
        <v>450</v>
      </c>
      <c r="F3968" s="4">
        <f t="shared" si="263"/>
        <v>-180</v>
      </c>
      <c r="G3968" s="5">
        <f t="shared" si="264"/>
        <v>-0.66666666666666663</v>
      </c>
      <c r="H3968" s="2" t="s">
        <v>5</v>
      </c>
      <c r="I3968" s="6" t="s">
        <v>2300</v>
      </c>
      <c r="J3968" s="2" t="s">
        <v>5</v>
      </c>
      <c r="K3968" s="2" t="s">
        <v>5</v>
      </c>
      <c r="L3968" s="2" t="s">
        <v>5</v>
      </c>
      <c r="M3968" s="2" t="s">
        <v>5</v>
      </c>
      <c r="N3968" s="4">
        <v>0</v>
      </c>
    </row>
    <row r="3969" spans="1:14" x14ac:dyDescent="0.25">
      <c r="A3969" s="2" t="s">
        <v>1048</v>
      </c>
      <c r="B3969" s="2" t="s">
        <v>1049</v>
      </c>
      <c r="C3969" s="3">
        <v>508.02499999999998</v>
      </c>
      <c r="D3969" s="4">
        <v>304.815</v>
      </c>
      <c r="E3969" s="4">
        <v>76.203749999999999</v>
      </c>
      <c r="F3969" s="4">
        <f t="shared" si="263"/>
        <v>228.61124999999998</v>
      </c>
      <c r="G3969" s="5">
        <f t="shared" si="264"/>
        <v>0.75</v>
      </c>
      <c r="H3969" s="2" t="s">
        <v>5</v>
      </c>
      <c r="I3969" s="6" t="s">
        <v>2300</v>
      </c>
      <c r="J3969" s="2" t="s">
        <v>5</v>
      </c>
      <c r="K3969" s="2" t="s">
        <v>5</v>
      </c>
      <c r="L3969" s="2" t="s">
        <v>5</v>
      </c>
      <c r="M3969" s="2" t="s">
        <v>5</v>
      </c>
      <c r="N3969" s="4">
        <v>0</v>
      </c>
    </row>
    <row r="3970" spans="1:14" x14ac:dyDescent="0.25">
      <c r="A3970" s="2" t="s">
        <v>1048</v>
      </c>
      <c r="B3970" s="2" t="s">
        <v>1049</v>
      </c>
      <c r="C3970" s="3">
        <v>2500</v>
      </c>
      <c r="D3970" s="4">
        <v>225</v>
      </c>
      <c r="E3970" s="4">
        <v>375</v>
      </c>
      <c r="F3970" s="4">
        <f t="shared" si="263"/>
        <v>-150</v>
      </c>
      <c r="G3970" s="5">
        <f t="shared" si="264"/>
        <v>-0.66666666666666663</v>
      </c>
      <c r="H3970" s="2" t="s">
        <v>5</v>
      </c>
      <c r="I3970" s="6" t="s">
        <v>2300</v>
      </c>
      <c r="J3970" s="2" t="s">
        <v>5</v>
      </c>
      <c r="K3970" s="2" t="s">
        <v>5</v>
      </c>
      <c r="L3970" s="2" t="s">
        <v>5</v>
      </c>
      <c r="M3970" s="2" t="s">
        <v>5</v>
      </c>
      <c r="N3970" s="4">
        <v>0</v>
      </c>
    </row>
    <row r="3971" spans="1:14" x14ac:dyDescent="0.25">
      <c r="A3971" s="2" t="s">
        <v>1048</v>
      </c>
      <c r="B3971" s="2" t="s">
        <v>1049</v>
      </c>
      <c r="C3971" s="3">
        <v>41.674999999999997</v>
      </c>
      <c r="D3971" s="4">
        <v>16.670000000000002</v>
      </c>
      <c r="E3971" s="4">
        <v>6.2512499999999998</v>
      </c>
      <c r="F3971" s="4">
        <f t="shared" si="263"/>
        <v>10.418750000000003</v>
      </c>
      <c r="G3971" s="5">
        <f t="shared" si="264"/>
        <v>0.62500000000000011</v>
      </c>
      <c r="H3971" s="2" t="s">
        <v>5</v>
      </c>
      <c r="I3971" s="6" t="s">
        <v>2300</v>
      </c>
      <c r="J3971" s="2" t="s">
        <v>5</v>
      </c>
      <c r="K3971" s="2" t="s">
        <v>5</v>
      </c>
      <c r="L3971" s="2" t="s">
        <v>5</v>
      </c>
      <c r="M3971" s="2" t="s">
        <v>5</v>
      </c>
      <c r="N3971" s="4">
        <v>0</v>
      </c>
    </row>
    <row r="3972" spans="1:14" x14ac:dyDescent="0.25">
      <c r="A3972" s="2" t="s">
        <v>1048</v>
      </c>
      <c r="B3972" s="2" t="s">
        <v>1049</v>
      </c>
      <c r="C3972" s="3">
        <v>3000</v>
      </c>
      <c r="D3972" s="4">
        <v>270</v>
      </c>
      <c r="E3972" s="4">
        <v>450</v>
      </c>
      <c r="F3972" s="4">
        <f t="shared" si="263"/>
        <v>-180</v>
      </c>
      <c r="G3972" s="5">
        <f t="shared" si="264"/>
        <v>-0.66666666666666663</v>
      </c>
      <c r="H3972" s="2" t="s">
        <v>5</v>
      </c>
      <c r="I3972" s="6" t="s">
        <v>2300</v>
      </c>
      <c r="J3972" s="2" t="s">
        <v>5</v>
      </c>
      <c r="K3972" s="2" t="s">
        <v>5</v>
      </c>
      <c r="L3972" s="2" t="s">
        <v>5</v>
      </c>
      <c r="M3972" s="2" t="s">
        <v>5</v>
      </c>
      <c r="N3972" s="4">
        <v>0</v>
      </c>
    </row>
    <row r="3973" spans="1:14" x14ac:dyDescent="0.25">
      <c r="A3973" s="2" t="s">
        <v>1048</v>
      </c>
      <c r="B3973" s="2" t="s">
        <v>1049</v>
      </c>
      <c r="C3973" s="3">
        <v>484.38</v>
      </c>
      <c r="D3973" s="4">
        <v>290.62799999999999</v>
      </c>
      <c r="E3973" s="4">
        <v>72.656999999999996</v>
      </c>
      <c r="F3973" s="4">
        <f t="shared" si="263"/>
        <v>217.971</v>
      </c>
      <c r="G3973" s="5">
        <f t="shared" si="264"/>
        <v>0.75</v>
      </c>
      <c r="H3973" s="2" t="s">
        <v>5</v>
      </c>
      <c r="I3973" s="6" t="s">
        <v>2300</v>
      </c>
      <c r="J3973" s="2" t="s">
        <v>5</v>
      </c>
      <c r="K3973" s="2" t="s">
        <v>5</v>
      </c>
      <c r="L3973" s="2" t="s">
        <v>5</v>
      </c>
      <c r="M3973" s="2" t="s">
        <v>5</v>
      </c>
      <c r="N3973" s="4">
        <v>0</v>
      </c>
    </row>
    <row r="3974" spans="1:14" x14ac:dyDescent="0.25">
      <c r="A3974" s="2" t="s">
        <v>1048</v>
      </c>
      <c r="B3974" s="2" t="s">
        <v>1049</v>
      </c>
      <c r="C3974" s="3">
        <v>3500</v>
      </c>
      <c r="D3974" s="4">
        <v>315</v>
      </c>
      <c r="E3974" s="4">
        <v>525</v>
      </c>
      <c r="F3974" s="4">
        <f t="shared" si="263"/>
        <v>-210</v>
      </c>
      <c r="G3974" s="5">
        <f t="shared" si="264"/>
        <v>-0.66666666666666663</v>
      </c>
      <c r="H3974" s="2" t="s">
        <v>5</v>
      </c>
      <c r="I3974" s="6" t="s">
        <v>2300</v>
      </c>
      <c r="J3974" s="2" t="s">
        <v>5</v>
      </c>
      <c r="K3974" s="2" t="s">
        <v>5</v>
      </c>
      <c r="L3974" s="2" t="s">
        <v>5</v>
      </c>
      <c r="M3974" s="2" t="s">
        <v>5</v>
      </c>
      <c r="N3974" s="4">
        <v>0</v>
      </c>
    </row>
    <row r="3975" spans="1:14" x14ac:dyDescent="0.25">
      <c r="A3975" s="2" t="s">
        <v>1048</v>
      </c>
      <c r="B3975" s="2" t="s">
        <v>1049</v>
      </c>
      <c r="C3975" s="3">
        <v>504.69</v>
      </c>
      <c r="D3975" s="4">
        <v>302.81400000000002</v>
      </c>
      <c r="E3975" s="4">
        <v>75.703500000000005</v>
      </c>
      <c r="F3975" s="4">
        <f t="shared" si="263"/>
        <v>227.1105</v>
      </c>
      <c r="G3975" s="5">
        <f t="shared" si="264"/>
        <v>0.75</v>
      </c>
      <c r="H3975" s="2" t="s">
        <v>5</v>
      </c>
      <c r="I3975" s="6" t="s">
        <v>2300</v>
      </c>
      <c r="J3975" s="2" t="s">
        <v>5</v>
      </c>
      <c r="K3975" s="2" t="s">
        <v>5</v>
      </c>
      <c r="L3975" s="2" t="s">
        <v>5</v>
      </c>
      <c r="M3975" s="2" t="s">
        <v>5</v>
      </c>
      <c r="N3975" s="4">
        <v>0</v>
      </c>
    </row>
    <row r="3976" spans="1:14" x14ac:dyDescent="0.25">
      <c r="A3976" s="2" t="s">
        <v>1226</v>
      </c>
      <c r="B3976" s="2" t="s">
        <v>1227</v>
      </c>
      <c r="C3976" s="3">
        <v>10</v>
      </c>
      <c r="D3976" s="4">
        <v>149.6</v>
      </c>
      <c r="E3976" s="4">
        <v>48.3</v>
      </c>
      <c r="F3976" s="4">
        <f t="shared" si="263"/>
        <v>101.3</v>
      </c>
      <c r="G3976" s="5">
        <f t="shared" si="264"/>
        <v>0.67713903743315507</v>
      </c>
      <c r="H3976" s="2" t="s">
        <v>5</v>
      </c>
      <c r="I3976" s="6" t="s">
        <v>2300</v>
      </c>
      <c r="J3976" s="2" t="s">
        <v>5</v>
      </c>
      <c r="K3976" s="2" t="s">
        <v>5</v>
      </c>
      <c r="L3976" s="2" t="s">
        <v>5</v>
      </c>
      <c r="M3976" s="2" t="s">
        <v>5</v>
      </c>
      <c r="N3976" s="4">
        <v>0</v>
      </c>
    </row>
    <row r="3977" spans="1:14" x14ac:dyDescent="0.25">
      <c r="A3977" s="2" t="s">
        <v>1226</v>
      </c>
      <c r="B3977" s="2" t="s">
        <v>1227</v>
      </c>
      <c r="C3977" s="3">
        <v>20.295000000000002</v>
      </c>
      <c r="D3977" s="4">
        <v>310.9194</v>
      </c>
      <c r="E3977" s="4">
        <v>98.024850000000001</v>
      </c>
      <c r="F3977" s="4">
        <f t="shared" si="263"/>
        <v>212.89454999999998</v>
      </c>
      <c r="G3977" s="5">
        <f t="shared" si="264"/>
        <v>0.68472584856396856</v>
      </c>
      <c r="H3977" s="2" t="s">
        <v>5</v>
      </c>
      <c r="I3977" s="6" t="s">
        <v>2300</v>
      </c>
      <c r="J3977" s="2" t="s">
        <v>5</v>
      </c>
      <c r="K3977" s="2" t="s">
        <v>5</v>
      </c>
      <c r="L3977" s="2" t="s">
        <v>5</v>
      </c>
      <c r="M3977" s="2" t="s">
        <v>5</v>
      </c>
      <c r="N3977" s="4">
        <v>0</v>
      </c>
    </row>
    <row r="3978" spans="1:14" x14ac:dyDescent="0.25">
      <c r="A3978" s="2" t="s">
        <v>1226</v>
      </c>
      <c r="B3978" s="2" t="s">
        <v>1227</v>
      </c>
      <c r="C3978" s="3">
        <v>30</v>
      </c>
      <c r="D3978" s="4">
        <v>387</v>
      </c>
      <c r="E3978" s="4">
        <v>144.9</v>
      </c>
      <c r="F3978" s="4">
        <f t="shared" si="263"/>
        <v>242.1</v>
      </c>
      <c r="G3978" s="5">
        <f t="shared" si="264"/>
        <v>0.62558139534883717</v>
      </c>
      <c r="H3978" s="2" t="s">
        <v>5</v>
      </c>
      <c r="I3978" s="6" t="s">
        <v>2300</v>
      </c>
      <c r="J3978" s="2" t="s">
        <v>5</v>
      </c>
      <c r="K3978" s="2" t="s">
        <v>5</v>
      </c>
      <c r="L3978" s="2" t="s">
        <v>5</v>
      </c>
      <c r="M3978" s="2" t="s">
        <v>5</v>
      </c>
      <c r="N3978" s="4">
        <v>0</v>
      </c>
    </row>
    <row r="3979" spans="1:14" x14ac:dyDescent="0.25">
      <c r="A3979" s="2" t="s">
        <v>1226</v>
      </c>
      <c r="B3979" s="2" t="s">
        <v>1227</v>
      </c>
      <c r="C3979" s="3">
        <v>29.7</v>
      </c>
      <c r="D3979" s="4">
        <v>446.98500000000001</v>
      </c>
      <c r="E3979" s="4">
        <v>143.45099999999999</v>
      </c>
      <c r="F3979" s="4">
        <f t="shared" si="263"/>
        <v>303.53399999999999</v>
      </c>
      <c r="G3979" s="5">
        <f t="shared" si="264"/>
        <v>0.67906976744186043</v>
      </c>
      <c r="H3979" s="2" t="s">
        <v>5</v>
      </c>
      <c r="I3979" s="6" t="s">
        <v>2300</v>
      </c>
      <c r="J3979" s="2" t="s">
        <v>5</v>
      </c>
      <c r="K3979" s="2" t="s">
        <v>5</v>
      </c>
      <c r="L3979" s="2" t="s">
        <v>5</v>
      </c>
      <c r="M3979" s="2" t="s">
        <v>5</v>
      </c>
      <c r="N3979" s="4">
        <v>0</v>
      </c>
    </row>
    <row r="3980" spans="1:14" x14ac:dyDescent="0.25">
      <c r="A3980" s="2" t="s">
        <v>968</v>
      </c>
      <c r="B3980" s="2" t="s">
        <v>969</v>
      </c>
      <c r="C3980" s="3">
        <v>3.02</v>
      </c>
      <c r="D3980" s="4">
        <v>45.783200000000001</v>
      </c>
      <c r="E3980" s="4">
        <v>20.838000000000001</v>
      </c>
      <c r="F3980" s="4">
        <f t="shared" si="263"/>
        <v>24.9452</v>
      </c>
      <c r="G3980" s="5">
        <f t="shared" si="264"/>
        <v>0.54485488126649073</v>
      </c>
      <c r="H3980" s="2" t="s">
        <v>5</v>
      </c>
      <c r="I3980" s="6" t="s">
        <v>2300</v>
      </c>
      <c r="J3980" s="2" t="s">
        <v>5</v>
      </c>
      <c r="K3980" s="2" t="s">
        <v>5</v>
      </c>
      <c r="L3980" s="2" t="s">
        <v>5</v>
      </c>
      <c r="M3980" s="2" t="s">
        <v>5</v>
      </c>
      <c r="N3980" s="4">
        <v>0</v>
      </c>
    </row>
    <row r="3981" spans="1:14" x14ac:dyDescent="0.25">
      <c r="A3981" s="2" t="s">
        <v>968</v>
      </c>
      <c r="B3981" s="2" t="s">
        <v>969</v>
      </c>
      <c r="C3981" s="3">
        <v>3.3380000000000001</v>
      </c>
      <c r="D3981" s="4">
        <v>50.604080000000003</v>
      </c>
      <c r="E3981" s="4">
        <v>23.0322</v>
      </c>
      <c r="F3981" s="4">
        <f t="shared" si="263"/>
        <v>27.571880000000004</v>
      </c>
      <c r="G3981" s="5">
        <f t="shared" si="264"/>
        <v>0.54485488126649084</v>
      </c>
      <c r="H3981" s="2" t="s">
        <v>5</v>
      </c>
      <c r="I3981" s="6" t="s">
        <v>2300</v>
      </c>
      <c r="J3981" s="2" t="s">
        <v>5</v>
      </c>
      <c r="K3981" s="2" t="s">
        <v>5</v>
      </c>
      <c r="L3981" s="2" t="s">
        <v>5</v>
      </c>
      <c r="M3981" s="2" t="s">
        <v>5</v>
      </c>
      <c r="N3981" s="4">
        <v>0</v>
      </c>
    </row>
    <row r="3982" spans="1:14" x14ac:dyDescent="0.25">
      <c r="A3982" s="2" t="s">
        <v>660</v>
      </c>
      <c r="B3982" s="2" t="s">
        <v>661</v>
      </c>
      <c r="C3982" s="3">
        <v>20.254999999999999</v>
      </c>
      <c r="D3982" s="4">
        <v>310.3066</v>
      </c>
      <c r="E3982" s="4">
        <v>139.7595</v>
      </c>
      <c r="F3982" s="4">
        <f t="shared" si="263"/>
        <v>170.5471</v>
      </c>
      <c r="G3982" s="5">
        <f t="shared" si="264"/>
        <v>0.54960835509138384</v>
      </c>
      <c r="H3982" s="2" t="s">
        <v>5</v>
      </c>
      <c r="I3982" s="6" t="s">
        <v>2300</v>
      </c>
      <c r="J3982" s="2" t="s">
        <v>5</v>
      </c>
      <c r="K3982" s="2" t="s">
        <v>5</v>
      </c>
      <c r="L3982" s="2" t="s">
        <v>5</v>
      </c>
      <c r="M3982" s="2" t="s">
        <v>5</v>
      </c>
      <c r="N3982" s="4">
        <v>0</v>
      </c>
    </row>
    <row r="3983" spans="1:14" x14ac:dyDescent="0.25">
      <c r="A3983" s="2" t="s">
        <v>660</v>
      </c>
      <c r="B3983" s="2" t="s">
        <v>661</v>
      </c>
      <c r="C3983" s="3">
        <v>5.33</v>
      </c>
      <c r="D3983" s="4">
        <v>81.655600000000007</v>
      </c>
      <c r="E3983" s="4">
        <v>36.777000000000001</v>
      </c>
      <c r="F3983" s="4">
        <f t="shared" si="263"/>
        <v>44.878600000000006</v>
      </c>
      <c r="G3983" s="5">
        <f t="shared" si="264"/>
        <v>0.54960835509138384</v>
      </c>
      <c r="H3983" s="2" t="s">
        <v>5</v>
      </c>
      <c r="I3983" s="6" t="s">
        <v>2300</v>
      </c>
      <c r="J3983" s="2" t="s">
        <v>5</v>
      </c>
      <c r="K3983" s="2" t="s">
        <v>5</v>
      </c>
      <c r="L3983" s="2" t="s">
        <v>5</v>
      </c>
      <c r="M3983" s="2" t="s">
        <v>5</v>
      </c>
      <c r="N3983" s="4">
        <v>0</v>
      </c>
    </row>
    <row r="3984" spans="1:14" x14ac:dyDescent="0.25">
      <c r="A3984" s="2" t="s">
        <v>660</v>
      </c>
      <c r="B3984" s="2" t="s">
        <v>661</v>
      </c>
      <c r="C3984" s="3">
        <v>20.364999999999998</v>
      </c>
      <c r="D3984" s="4">
        <v>311.99180000000001</v>
      </c>
      <c r="E3984" s="4">
        <v>140.51849999999999</v>
      </c>
      <c r="F3984" s="4">
        <f t="shared" si="263"/>
        <v>171.47330000000002</v>
      </c>
      <c r="G3984" s="5">
        <f t="shared" si="264"/>
        <v>0.54960835509138384</v>
      </c>
      <c r="H3984" s="2" t="s">
        <v>5</v>
      </c>
      <c r="I3984" s="6" t="s">
        <v>2300</v>
      </c>
      <c r="J3984" s="2" t="s">
        <v>5</v>
      </c>
      <c r="K3984" s="2" t="s">
        <v>5</v>
      </c>
      <c r="L3984" s="2" t="s">
        <v>5</v>
      </c>
      <c r="M3984" s="2" t="s">
        <v>5</v>
      </c>
      <c r="N3984" s="4">
        <v>0</v>
      </c>
    </row>
    <row r="3985" spans="1:14" x14ac:dyDescent="0.25">
      <c r="A3985" s="2" t="s">
        <v>660</v>
      </c>
      <c r="B3985" s="2" t="s">
        <v>661</v>
      </c>
      <c r="C3985" s="3">
        <v>20.2</v>
      </c>
      <c r="D3985" s="4">
        <v>309.464</v>
      </c>
      <c r="E3985" s="4">
        <v>139.38</v>
      </c>
      <c r="F3985" s="4">
        <f t="shared" si="263"/>
        <v>170.084</v>
      </c>
      <c r="G3985" s="5">
        <f t="shared" si="264"/>
        <v>0.54960835509138384</v>
      </c>
      <c r="H3985" s="2" t="s">
        <v>5</v>
      </c>
      <c r="I3985" s="6" t="s">
        <v>2300</v>
      </c>
      <c r="J3985" s="2" t="s">
        <v>5</v>
      </c>
      <c r="K3985" s="2" t="s">
        <v>5</v>
      </c>
      <c r="L3985" s="2" t="s">
        <v>5</v>
      </c>
      <c r="M3985" s="2" t="s">
        <v>5</v>
      </c>
      <c r="N3985" s="4">
        <v>0</v>
      </c>
    </row>
    <row r="3986" spans="1:14" x14ac:dyDescent="0.25">
      <c r="A3986" s="2" t="s">
        <v>660</v>
      </c>
      <c r="B3986" s="2" t="s">
        <v>661</v>
      </c>
      <c r="C3986" s="3">
        <v>19.914999999999999</v>
      </c>
      <c r="D3986" s="4">
        <v>305.09780000000001</v>
      </c>
      <c r="E3986" s="4">
        <v>137.4135</v>
      </c>
      <c r="F3986" s="4">
        <f t="shared" si="263"/>
        <v>167.68430000000001</v>
      </c>
      <c r="G3986" s="5">
        <f t="shared" si="264"/>
        <v>0.54960835509138384</v>
      </c>
      <c r="H3986" s="2" t="s">
        <v>5</v>
      </c>
      <c r="I3986" s="6" t="s">
        <v>2300</v>
      </c>
      <c r="J3986" s="2" t="s">
        <v>5</v>
      </c>
      <c r="K3986" s="2" t="s">
        <v>5</v>
      </c>
      <c r="L3986" s="2" t="s">
        <v>5</v>
      </c>
      <c r="M3986" s="2" t="s">
        <v>5</v>
      </c>
      <c r="N3986" s="4">
        <v>0</v>
      </c>
    </row>
    <row r="3987" spans="1:14" x14ac:dyDescent="0.25">
      <c r="A3987" s="2" t="s">
        <v>660</v>
      </c>
      <c r="B3987" s="2" t="s">
        <v>661</v>
      </c>
      <c r="C3987" s="3">
        <v>2.6019999999999999</v>
      </c>
      <c r="D3987" s="4">
        <v>39.862639999999999</v>
      </c>
      <c r="E3987" s="4">
        <v>17.953800000000001</v>
      </c>
      <c r="F3987" s="4">
        <f t="shared" si="263"/>
        <v>21.908839999999998</v>
      </c>
      <c r="G3987" s="5">
        <f t="shared" si="264"/>
        <v>0.54960835509138373</v>
      </c>
      <c r="H3987" s="2" t="s">
        <v>5</v>
      </c>
      <c r="I3987" s="6" t="s">
        <v>2300</v>
      </c>
      <c r="J3987" s="2" t="s">
        <v>5</v>
      </c>
      <c r="K3987" s="2" t="s">
        <v>5</v>
      </c>
      <c r="L3987" s="2" t="s">
        <v>5</v>
      </c>
      <c r="M3987" s="2" t="s">
        <v>5</v>
      </c>
      <c r="N3987" s="4">
        <v>0</v>
      </c>
    </row>
    <row r="3988" spans="1:14" x14ac:dyDescent="0.25">
      <c r="A3988" s="2" t="s">
        <v>660</v>
      </c>
      <c r="B3988" s="2" t="s">
        <v>661</v>
      </c>
      <c r="C3988" s="3">
        <v>10.41</v>
      </c>
      <c r="D3988" s="4">
        <v>159.4812</v>
      </c>
      <c r="E3988" s="4">
        <v>71.828999999999994</v>
      </c>
      <c r="F3988" s="4">
        <f t="shared" si="263"/>
        <v>87.652200000000008</v>
      </c>
      <c r="G3988" s="5">
        <f t="shared" si="264"/>
        <v>0.54960835509138384</v>
      </c>
      <c r="H3988" s="2" t="s">
        <v>5</v>
      </c>
      <c r="I3988" s="6" t="s">
        <v>2300</v>
      </c>
      <c r="J3988" s="2" t="s">
        <v>5</v>
      </c>
      <c r="K3988" s="2" t="s">
        <v>5</v>
      </c>
      <c r="L3988" s="2" t="s">
        <v>5</v>
      </c>
      <c r="M3988" s="2" t="s">
        <v>5</v>
      </c>
      <c r="N3988" s="4">
        <v>0</v>
      </c>
    </row>
    <row r="3989" spans="1:14" x14ac:dyDescent="0.25">
      <c r="A3989" s="2" t="s">
        <v>2206</v>
      </c>
      <c r="B3989" s="2" t="s">
        <v>2207</v>
      </c>
      <c r="C3989" s="3">
        <v>18.34</v>
      </c>
      <c r="D3989" s="4">
        <v>280.96879999999999</v>
      </c>
      <c r="E3989" s="4">
        <v>126.54600000000001</v>
      </c>
      <c r="F3989" s="4">
        <f t="shared" si="263"/>
        <v>154.4228</v>
      </c>
      <c r="G3989" s="5">
        <f t="shared" si="264"/>
        <v>0.54960835509138384</v>
      </c>
      <c r="H3989" s="2" t="s">
        <v>5</v>
      </c>
      <c r="I3989" s="6" t="s">
        <v>2300</v>
      </c>
      <c r="J3989" s="2" t="s">
        <v>5</v>
      </c>
      <c r="K3989" s="2" t="s">
        <v>5</v>
      </c>
      <c r="L3989" s="2" t="s">
        <v>5</v>
      </c>
      <c r="M3989" s="2" t="s">
        <v>5</v>
      </c>
      <c r="N3989" s="4">
        <v>0</v>
      </c>
    </row>
    <row r="3990" spans="1:14" x14ac:dyDescent="0.25">
      <c r="A3990" s="2" t="s">
        <v>2206</v>
      </c>
      <c r="B3990" s="2" t="s">
        <v>2207</v>
      </c>
      <c r="C3990" s="3">
        <v>7.25</v>
      </c>
      <c r="D3990" s="4">
        <v>111.07</v>
      </c>
      <c r="E3990" s="4">
        <v>50.024999999999999</v>
      </c>
      <c r="F3990" s="4">
        <f t="shared" si="263"/>
        <v>61.044999999999995</v>
      </c>
      <c r="G3990" s="5">
        <f t="shared" si="264"/>
        <v>0.54960835509138384</v>
      </c>
      <c r="H3990" s="2" t="s">
        <v>5</v>
      </c>
      <c r="I3990" s="6" t="s">
        <v>2300</v>
      </c>
      <c r="J3990" s="2" t="s">
        <v>5</v>
      </c>
      <c r="K3990" s="2" t="s">
        <v>5</v>
      </c>
      <c r="L3990" s="2" t="s">
        <v>5</v>
      </c>
      <c r="M3990" s="2" t="s">
        <v>5</v>
      </c>
      <c r="N3990" s="4">
        <v>0</v>
      </c>
    </row>
    <row r="3991" spans="1:14" x14ac:dyDescent="0.25">
      <c r="A3991" s="2" t="s">
        <v>877</v>
      </c>
      <c r="B3991" s="2" t="s">
        <v>878</v>
      </c>
      <c r="C3991" s="3">
        <v>75.45</v>
      </c>
      <c r="D3991" s="4">
        <v>1717.9965</v>
      </c>
      <c r="E3991" s="4">
        <v>943.125</v>
      </c>
      <c r="F3991" s="4">
        <f t="shared" si="263"/>
        <v>774.87149999999997</v>
      </c>
      <c r="G3991" s="5">
        <f t="shared" si="264"/>
        <v>0.45103205972771188</v>
      </c>
      <c r="H3991" s="2" t="s">
        <v>5</v>
      </c>
      <c r="I3991" s="6" t="s">
        <v>2300</v>
      </c>
      <c r="J3991" s="2" t="s">
        <v>5</v>
      </c>
      <c r="K3991" s="2" t="s">
        <v>5</v>
      </c>
      <c r="L3991" s="2" t="s">
        <v>5</v>
      </c>
      <c r="M3991" s="2" t="s">
        <v>5</v>
      </c>
      <c r="N3991" s="4">
        <v>0</v>
      </c>
    </row>
    <row r="3992" spans="1:14" x14ac:dyDescent="0.25">
      <c r="A3992" s="2" t="s">
        <v>877</v>
      </c>
      <c r="B3992" s="2" t="s">
        <v>878</v>
      </c>
      <c r="C3992" s="3">
        <v>83.275000000000006</v>
      </c>
      <c r="D3992" s="4">
        <v>1896.17175</v>
      </c>
      <c r="E3992" s="4">
        <v>1040.9375</v>
      </c>
      <c r="F3992" s="4">
        <f t="shared" si="263"/>
        <v>855.23424999999997</v>
      </c>
      <c r="G3992" s="5">
        <f t="shared" si="264"/>
        <v>0.45103205972771188</v>
      </c>
      <c r="H3992" s="2" t="s">
        <v>5</v>
      </c>
      <c r="I3992" s="6" t="s">
        <v>2300</v>
      </c>
      <c r="J3992" s="2" t="s">
        <v>5</v>
      </c>
      <c r="K3992" s="2" t="s">
        <v>5</v>
      </c>
      <c r="L3992" s="2" t="s">
        <v>5</v>
      </c>
      <c r="M3992" s="2" t="s">
        <v>5</v>
      </c>
      <c r="N3992" s="4">
        <v>0</v>
      </c>
    </row>
    <row r="3993" spans="1:14" x14ac:dyDescent="0.25">
      <c r="A3993" s="2" t="s">
        <v>877</v>
      </c>
      <c r="B3993" s="2" t="s">
        <v>878</v>
      </c>
      <c r="C3993" s="3">
        <v>104.605</v>
      </c>
      <c r="D3993" s="4">
        <v>2381.8558499999999</v>
      </c>
      <c r="E3993" s="4">
        <v>1307.5625</v>
      </c>
      <c r="F3993" s="4">
        <f t="shared" si="263"/>
        <v>1074.2933499999999</v>
      </c>
      <c r="G3993" s="5">
        <f t="shared" si="264"/>
        <v>0.45103205972771188</v>
      </c>
      <c r="H3993" s="2" t="s">
        <v>5</v>
      </c>
      <c r="I3993" s="6" t="s">
        <v>2300</v>
      </c>
      <c r="J3993" s="2" t="s">
        <v>5</v>
      </c>
      <c r="K3993" s="2" t="s">
        <v>5</v>
      </c>
      <c r="L3993" s="2" t="s">
        <v>5</v>
      </c>
      <c r="M3993" s="2" t="s">
        <v>5</v>
      </c>
      <c r="N3993" s="4">
        <v>0</v>
      </c>
    </row>
    <row r="3994" spans="1:14" x14ac:dyDescent="0.25">
      <c r="A3994" s="2" t="s">
        <v>877</v>
      </c>
      <c r="B3994" s="2" t="s">
        <v>878</v>
      </c>
      <c r="C3994" s="3">
        <v>63.91</v>
      </c>
      <c r="D3994" s="4">
        <v>1455.2307000000001</v>
      </c>
      <c r="E3994" s="4">
        <v>798.875</v>
      </c>
      <c r="F3994" s="4">
        <f t="shared" si="263"/>
        <v>656.35570000000007</v>
      </c>
      <c r="G3994" s="5">
        <f t="shared" si="264"/>
        <v>0.45103205972771193</v>
      </c>
      <c r="H3994" s="2" t="s">
        <v>5</v>
      </c>
      <c r="I3994" s="6" t="s">
        <v>2300</v>
      </c>
      <c r="J3994" s="2" t="s">
        <v>5</v>
      </c>
      <c r="K3994" s="2" t="s">
        <v>5</v>
      </c>
      <c r="L3994" s="2" t="s">
        <v>5</v>
      </c>
      <c r="M3994" s="2" t="s">
        <v>5</v>
      </c>
      <c r="N3994" s="4">
        <v>0</v>
      </c>
    </row>
    <row r="3995" spans="1:14" x14ac:dyDescent="0.25">
      <c r="A3995" s="2" t="s">
        <v>877</v>
      </c>
      <c r="B3995" s="2" t="s">
        <v>878</v>
      </c>
      <c r="C3995" s="3">
        <v>83.405000000000001</v>
      </c>
      <c r="D3995" s="4">
        <v>1899.13185</v>
      </c>
      <c r="E3995" s="4">
        <v>1042.5625</v>
      </c>
      <c r="F3995" s="4">
        <f t="shared" si="263"/>
        <v>856.56934999999999</v>
      </c>
      <c r="G3995" s="5">
        <f t="shared" si="264"/>
        <v>0.45103205972771188</v>
      </c>
      <c r="H3995" s="2" t="s">
        <v>5</v>
      </c>
      <c r="I3995" s="6" t="s">
        <v>2300</v>
      </c>
      <c r="J3995" s="2" t="s">
        <v>5</v>
      </c>
      <c r="K3995" s="2" t="s">
        <v>5</v>
      </c>
      <c r="L3995" s="2" t="s">
        <v>5</v>
      </c>
      <c r="M3995" s="2" t="s">
        <v>5</v>
      </c>
      <c r="N3995" s="4">
        <v>0</v>
      </c>
    </row>
    <row r="3996" spans="1:14" x14ac:dyDescent="0.25">
      <c r="A3996" s="2" t="s">
        <v>747</v>
      </c>
      <c r="B3996" s="2" t="s">
        <v>748</v>
      </c>
      <c r="C3996" s="3">
        <v>12</v>
      </c>
      <c r="D3996" s="4">
        <v>190.08</v>
      </c>
      <c r="E3996" s="4">
        <v>109.08</v>
      </c>
      <c r="F3996" s="4">
        <f t="shared" si="263"/>
        <v>81.000000000000014</v>
      </c>
      <c r="G3996" s="5">
        <f t="shared" si="264"/>
        <v>0.4261363636363637</v>
      </c>
      <c r="H3996" s="2" t="s">
        <v>5</v>
      </c>
      <c r="I3996" s="6" t="s">
        <v>2300</v>
      </c>
      <c r="J3996" s="2" t="s">
        <v>5</v>
      </c>
      <c r="K3996" s="2" t="s">
        <v>5</v>
      </c>
      <c r="L3996" s="2" t="s">
        <v>5</v>
      </c>
      <c r="M3996" s="2" t="s">
        <v>5</v>
      </c>
      <c r="N3996" s="4">
        <v>0</v>
      </c>
    </row>
    <row r="3997" spans="1:14" x14ac:dyDescent="0.25">
      <c r="A3997" s="2" t="s">
        <v>747</v>
      </c>
      <c r="B3997" s="2" t="s">
        <v>748</v>
      </c>
      <c r="C3997" s="3">
        <v>12</v>
      </c>
      <c r="D3997" s="4">
        <v>190.08</v>
      </c>
      <c r="E3997" s="4">
        <v>109.08</v>
      </c>
      <c r="F3997" s="4">
        <f t="shared" si="263"/>
        <v>81.000000000000014</v>
      </c>
      <c r="G3997" s="5">
        <f t="shared" si="264"/>
        <v>0.4261363636363637</v>
      </c>
      <c r="H3997" s="2" t="s">
        <v>5</v>
      </c>
      <c r="I3997" s="6" t="s">
        <v>2300</v>
      </c>
      <c r="J3997" s="2" t="s">
        <v>5</v>
      </c>
      <c r="K3997" s="2" t="s">
        <v>5</v>
      </c>
      <c r="L3997" s="2" t="s">
        <v>5</v>
      </c>
      <c r="M3997" s="2" t="s">
        <v>5</v>
      </c>
      <c r="N3997" s="4">
        <v>0</v>
      </c>
    </row>
    <row r="3998" spans="1:14" x14ac:dyDescent="0.25">
      <c r="A3998" s="2" t="s">
        <v>260</v>
      </c>
      <c r="B3998" s="2" t="s">
        <v>261</v>
      </c>
      <c r="C3998" s="3">
        <v>50</v>
      </c>
      <c r="D3998" s="4">
        <v>882</v>
      </c>
      <c r="E3998" s="4">
        <v>500</v>
      </c>
      <c r="F3998" s="4">
        <f t="shared" si="263"/>
        <v>382</v>
      </c>
      <c r="G3998" s="5">
        <f t="shared" si="264"/>
        <v>0.43310657596371882</v>
      </c>
      <c r="H3998" s="2" t="s">
        <v>5</v>
      </c>
      <c r="I3998" s="6" t="s">
        <v>2300</v>
      </c>
      <c r="J3998" s="2" t="s">
        <v>5</v>
      </c>
      <c r="K3998" s="2" t="s">
        <v>5</v>
      </c>
      <c r="L3998" s="2" t="s">
        <v>5</v>
      </c>
      <c r="M3998" s="2" t="s">
        <v>5</v>
      </c>
      <c r="N3998" s="4">
        <v>0</v>
      </c>
    </row>
    <row r="3999" spans="1:14" x14ac:dyDescent="0.25">
      <c r="A3999" s="2" t="s">
        <v>260</v>
      </c>
      <c r="B3999" s="2" t="s">
        <v>261</v>
      </c>
      <c r="C3999" s="3">
        <v>60</v>
      </c>
      <c r="D3999" s="4">
        <v>1058.4000000000001</v>
      </c>
      <c r="E3999" s="4">
        <v>600</v>
      </c>
      <c r="F3999" s="4">
        <f t="shared" si="263"/>
        <v>458.40000000000009</v>
      </c>
      <c r="G3999" s="5">
        <f t="shared" si="264"/>
        <v>0.43310657596371888</v>
      </c>
      <c r="H3999" s="2" t="s">
        <v>5</v>
      </c>
      <c r="I3999" s="6" t="s">
        <v>2300</v>
      </c>
      <c r="J3999" s="2" t="s">
        <v>5</v>
      </c>
      <c r="K3999" s="2" t="s">
        <v>5</v>
      </c>
      <c r="L3999" s="2" t="s">
        <v>5</v>
      </c>
      <c r="M3999" s="2" t="s">
        <v>5</v>
      </c>
      <c r="N3999" s="4">
        <v>0</v>
      </c>
    </row>
    <row r="4000" spans="1:14" x14ac:dyDescent="0.25">
      <c r="A4000" s="2" t="s">
        <v>260</v>
      </c>
      <c r="B4000" s="2" t="s">
        <v>261</v>
      </c>
      <c r="C4000" s="3">
        <v>80</v>
      </c>
      <c r="D4000" s="4">
        <v>1411.2</v>
      </c>
      <c r="E4000" s="4">
        <v>800</v>
      </c>
      <c r="F4000" s="4">
        <f t="shared" si="263"/>
        <v>611.20000000000005</v>
      </c>
      <c r="G4000" s="5">
        <f t="shared" si="264"/>
        <v>0.43310657596371882</v>
      </c>
      <c r="H4000" s="2" t="s">
        <v>5</v>
      </c>
      <c r="I4000" s="6" t="s">
        <v>2300</v>
      </c>
      <c r="J4000" s="2" t="s">
        <v>5</v>
      </c>
      <c r="K4000" s="2" t="s">
        <v>5</v>
      </c>
      <c r="L4000" s="2" t="s">
        <v>5</v>
      </c>
      <c r="M4000" s="2" t="s">
        <v>5</v>
      </c>
      <c r="N4000" s="4">
        <v>0</v>
      </c>
    </row>
    <row r="4001" spans="1:14" x14ac:dyDescent="0.25">
      <c r="A4001" s="2" t="s">
        <v>260</v>
      </c>
      <c r="B4001" s="2" t="s">
        <v>261</v>
      </c>
      <c r="C4001" s="3">
        <v>50</v>
      </c>
      <c r="D4001" s="4">
        <v>882</v>
      </c>
      <c r="E4001" s="4">
        <v>500</v>
      </c>
      <c r="F4001" s="4">
        <f t="shared" ref="F4001:F4064" si="265">D4001-E4001</f>
        <v>382</v>
      </c>
      <c r="G4001" s="5">
        <f t="shared" ref="G4001:G4064" si="266">IF(((D4001)=0),0,(D4001-E4001)/ D4001)</f>
        <v>0.43310657596371882</v>
      </c>
      <c r="H4001" s="2" t="s">
        <v>5</v>
      </c>
      <c r="I4001" s="6" t="s">
        <v>2300</v>
      </c>
      <c r="J4001" s="2" t="s">
        <v>5</v>
      </c>
      <c r="K4001" s="2" t="s">
        <v>5</v>
      </c>
      <c r="L4001" s="2" t="s">
        <v>5</v>
      </c>
      <c r="M4001" s="2" t="s">
        <v>5</v>
      </c>
      <c r="N4001" s="4">
        <v>0</v>
      </c>
    </row>
    <row r="4002" spans="1:14" x14ac:dyDescent="0.25">
      <c r="A4002" s="2" t="s">
        <v>260</v>
      </c>
      <c r="B4002" s="2" t="s">
        <v>261</v>
      </c>
      <c r="C4002" s="3">
        <v>100</v>
      </c>
      <c r="D4002" s="4">
        <v>1764</v>
      </c>
      <c r="E4002" s="4">
        <v>1000</v>
      </c>
      <c r="F4002" s="4">
        <f t="shared" si="265"/>
        <v>764</v>
      </c>
      <c r="G4002" s="5">
        <f t="shared" si="266"/>
        <v>0.43310657596371882</v>
      </c>
      <c r="H4002" s="2" t="s">
        <v>5</v>
      </c>
      <c r="I4002" s="6" t="s">
        <v>2300</v>
      </c>
      <c r="J4002" s="2" t="s">
        <v>5</v>
      </c>
      <c r="K4002" s="2" t="s">
        <v>5</v>
      </c>
      <c r="L4002" s="2" t="s">
        <v>5</v>
      </c>
      <c r="M4002" s="2" t="s">
        <v>5</v>
      </c>
      <c r="N4002" s="4">
        <v>0</v>
      </c>
    </row>
    <row r="4003" spans="1:14" x14ac:dyDescent="0.25">
      <c r="A4003" s="2" t="s">
        <v>260</v>
      </c>
      <c r="B4003" s="2" t="s">
        <v>261</v>
      </c>
      <c r="C4003" s="3">
        <v>80</v>
      </c>
      <c r="D4003" s="4">
        <v>1411.2</v>
      </c>
      <c r="E4003" s="4">
        <v>800</v>
      </c>
      <c r="F4003" s="4">
        <f t="shared" si="265"/>
        <v>611.20000000000005</v>
      </c>
      <c r="G4003" s="5">
        <f t="shared" si="266"/>
        <v>0.43310657596371882</v>
      </c>
      <c r="H4003" s="2" t="s">
        <v>5</v>
      </c>
      <c r="I4003" s="6" t="s">
        <v>2300</v>
      </c>
      <c r="J4003" s="2" t="s">
        <v>5</v>
      </c>
      <c r="K4003" s="2" t="s">
        <v>5</v>
      </c>
      <c r="L4003" s="2" t="s">
        <v>5</v>
      </c>
      <c r="M4003" s="2" t="s">
        <v>5</v>
      </c>
      <c r="N4003" s="4">
        <v>0</v>
      </c>
    </row>
    <row r="4004" spans="1:14" x14ac:dyDescent="0.25">
      <c r="A4004" s="2" t="s">
        <v>260</v>
      </c>
      <c r="B4004" s="2" t="s">
        <v>261</v>
      </c>
      <c r="C4004" s="3">
        <v>120</v>
      </c>
      <c r="D4004" s="4">
        <v>2116.8000000000002</v>
      </c>
      <c r="E4004" s="4">
        <v>1200</v>
      </c>
      <c r="F4004" s="4">
        <f t="shared" si="265"/>
        <v>916.80000000000018</v>
      </c>
      <c r="G4004" s="5">
        <f t="shared" si="266"/>
        <v>0.43310657596371888</v>
      </c>
      <c r="H4004" s="2" t="s">
        <v>5</v>
      </c>
      <c r="I4004" s="6" t="s">
        <v>2300</v>
      </c>
      <c r="J4004" s="2" t="s">
        <v>5</v>
      </c>
      <c r="K4004" s="2" t="s">
        <v>5</v>
      </c>
      <c r="L4004" s="2" t="s">
        <v>5</v>
      </c>
      <c r="M4004" s="2" t="s">
        <v>5</v>
      </c>
      <c r="N4004" s="4">
        <v>0</v>
      </c>
    </row>
    <row r="4005" spans="1:14" x14ac:dyDescent="0.25">
      <c r="A4005" s="2" t="s">
        <v>260</v>
      </c>
      <c r="B4005" s="2" t="s">
        <v>261</v>
      </c>
      <c r="C4005" s="3">
        <v>110</v>
      </c>
      <c r="D4005" s="4">
        <v>1940.4</v>
      </c>
      <c r="E4005" s="4">
        <v>1100</v>
      </c>
      <c r="F4005" s="4">
        <f t="shared" si="265"/>
        <v>840.40000000000009</v>
      </c>
      <c r="G4005" s="5">
        <f t="shared" si="266"/>
        <v>0.43310657596371882</v>
      </c>
      <c r="H4005" s="2" t="s">
        <v>5</v>
      </c>
      <c r="I4005" s="6" t="s">
        <v>2300</v>
      </c>
      <c r="J4005" s="2" t="s">
        <v>5</v>
      </c>
      <c r="K4005" s="2" t="s">
        <v>5</v>
      </c>
      <c r="L4005" s="2" t="s">
        <v>5</v>
      </c>
      <c r="M4005" s="2" t="s">
        <v>5</v>
      </c>
      <c r="N4005" s="4">
        <v>0</v>
      </c>
    </row>
    <row r="4006" spans="1:14" x14ac:dyDescent="0.25">
      <c r="A4006" s="2" t="s">
        <v>260</v>
      </c>
      <c r="B4006" s="2" t="s">
        <v>261</v>
      </c>
      <c r="C4006" s="3">
        <v>60</v>
      </c>
      <c r="D4006" s="4">
        <v>1058.4000000000001</v>
      </c>
      <c r="E4006" s="4">
        <v>600</v>
      </c>
      <c r="F4006" s="4">
        <f t="shared" si="265"/>
        <v>458.40000000000009</v>
      </c>
      <c r="G4006" s="5">
        <f t="shared" si="266"/>
        <v>0.43310657596371888</v>
      </c>
      <c r="H4006" s="2" t="s">
        <v>5</v>
      </c>
      <c r="I4006" s="6" t="s">
        <v>2300</v>
      </c>
      <c r="J4006" s="2" t="s">
        <v>5</v>
      </c>
      <c r="K4006" s="2" t="s">
        <v>5</v>
      </c>
      <c r="L4006" s="2" t="s">
        <v>5</v>
      </c>
      <c r="M4006" s="2" t="s">
        <v>5</v>
      </c>
      <c r="N4006" s="4">
        <v>0</v>
      </c>
    </row>
    <row r="4007" spans="1:14" x14ac:dyDescent="0.25">
      <c r="A4007" s="2" t="s">
        <v>260</v>
      </c>
      <c r="B4007" s="2" t="s">
        <v>261</v>
      </c>
      <c r="C4007" s="3">
        <v>80</v>
      </c>
      <c r="D4007" s="4">
        <v>1411.2</v>
      </c>
      <c r="E4007" s="4">
        <v>800</v>
      </c>
      <c r="F4007" s="4">
        <f t="shared" si="265"/>
        <v>611.20000000000005</v>
      </c>
      <c r="G4007" s="5">
        <f t="shared" si="266"/>
        <v>0.43310657596371882</v>
      </c>
      <c r="H4007" s="2" t="s">
        <v>5</v>
      </c>
      <c r="I4007" s="6" t="s">
        <v>2300</v>
      </c>
      <c r="J4007" s="2" t="s">
        <v>5</v>
      </c>
      <c r="K4007" s="2" t="s">
        <v>5</v>
      </c>
      <c r="L4007" s="2" t="s">
        <v>5</v>
      </c>
      <c r="M4007" s="2" t="s">
        <v>5</v>
      </c>
      <c r="N4007" s="4">
        <v>0</v>
      </c>
    </row>
    <row r="4008" spans="1:14" x14ac:dyDescent="0.25">
      <c r="A4008" s="2" t="s">
        <v>260</v>
      </c>
      <c r="B4008" s="2" t="s">
        <v>261</v>
      </c>
      <c r="C4008" s="3">
        <v>100</v>
      </c>
      <c r="D4008" s="4">
        <v>1764</v>
      </c>
      <c r="E4008" s="4">
        <v>1000</v>
      </c>
      <c r="F4008" s="4">
        <f t="shared" si="265"/>
        <v>764</v>
      </c>
      <c r="G4008" s="5">
        <f t="shared" si="266"/>
        <v>0.43310657596371882</v>
      </c>
      <c r="H4008" s="2" t="s">
        <v>5</v>
      </c>
      <c r="I4008" s="6" t="s">
        <v>2300</v>
      </c>
      <c r="J4008" s="2" t="s">
        <v>5</v>
      </c>
      <c r="K4008" s="2" t="s">
        <v>5</v>
      </c>
      <c r="L4008" s="2" t="s">
        <v>5</v>
      </c>
      <c r="M4008" s="2" t="s">
        <v>5</v>
      </c>
      <c r="N4008" s="4">
        <v>0</v>
      </c>
    </row>
    <row r="4009" spans="1:14" x14ac:dyDescent="0.25">
      <c r="A4009" s="2" t="s">
        <v>260</v>
      </c>
      <c r="B4009" s="2" t="s">
        <v>261</v>
      </c>
      <c r="C4009" s="3">
        <v>250</v>
      </c>
      <c r="D4009" s="4">
        <v>4410</v>
      </c>
      <c r="E4009" s="4">
        <v>2500</v>
      </c>
      <c r="F4009" s="4">
        <f t="shared" si="265"/>
        <v>1910</v>
      </c>
      <c r="G4009" s="5">
        <f t="shared" si="266"/>
        <v>0.43310657596371882</v>
      </c>
      <c r="H4009" s="2" t="s">
        <v>5</v>
      </c>
      <c r="I4009" s="6" t="s">
        <v>2300</v>
      </c>
      <c r="J4009" s="2" t="s">
        <v>5</v>
      </c>
      <c r="K4009" s="2" t="s">
        <v>5</v>
      </c>
      <c r="L4009" s="2" t="s">
        <v>5</v>
      </c>
      <c r="M4009" s="2" t="s">
        <v>5</v>
      </c>
      <c r="N4009" s="4">
        <v>0</v>
      </c>
    </row>
    <row r="4010" spans="1:14" x14ac:dyDescent="0.25">
      <c r="A4010" s="2" t="s">
        <v>260</v>
      </c>
      <c r="B4010" s="2" t="s">
        <v>261</v>
      </c>
      <c r="C4010" s="3">
        <v>80</v>
      </c>
      <c r="D4010" s="4">
        <v>1411.2</v>
      </c>
      <c r="E4010" s="4">
        <v>800</v>
      </c>
      <c r="F4010" s="4">
        <f t="shared" si="265"/>
        <v>611.20000000000005</v>
      </c>
      <c r="G4010" s="5">
        <f t="shared" si="266"/>
        <v>0.43310657596371882</v>
      </c>
      <c r="H4010" s="2" t="s">
        <v>5</v>
      </c>
      <c r="I4010" s="6" t="s">
        <v>2300</v>
      </c>
      <c r="J4010" s="2" t="s">
        <v>5</v>
      </c>
      <c r="K4010" s="2" t="s">
        <v>5</v>
      </c>
      <c r="L4010" s="2" t="s">
        <v>5</v>
      </c>
      <c r="M4010" s="2" t="s">
        <v>5</v>
      </c>
      <c r="N4010" s="4">
        <v>0</v>
      </c>
    </row>
    <row r="4011" spans="1:14" x14ac:dyDescent="0.25">
      <c r="A4011" s="2" t="s">
        <v>268</v>
      </c>
      <c r="B4011" s="2" t="s">
        <v>269</v>
      </c>
      <c r="C4011" s="3">
        <v>15.12</v>
      </c>
      <c r="D4011" s="4">
        <v>307.54079999999999</v>
      </c>
      <c r="E4011" s="4">
        <v>178.416</v>
      </c>
      <c r="F4011" s="4">
        <f t="shared" si="265"/>
        <v>129.12479999999999</v>
      </c>
      <c r="G4011" s="5">
        <f t="shared" si="266"/>
        <v>0.41986234021632252</v>
      </c>
      <c r="H4011" s="2" t="s">
        <v>5</v>
      </c>
      <c r="I4011" s="6" t="s">
        <v>2300</v>
      </c>
      <c r="J4011" s="2" t="s">
        <v>5</v>
      </c>
      <c r="K4011" s="2" t="s">
        <v>5</v>
      </c>
      <c r="L4011" s="2" t="s">
        <v>5</v>
      </c>
      <c r="M4011" s="2" t="s">
        <v>5</v>
      </c>
      <c r="N4011" s="4">
        <v>0</v>
      </c>
    </row>
    <row r="4012" spans="1:14" x14ac:dyDescent="0.25">
      <c r="A4012" s="2" t="s">
        <v>268</v>
      </c>
      <c r="B4012" s="2" t="s">
        <v>269</v>
      </c>
      <c r="C4012" s="3">
        <v>30.34</v>
      </c>
      <c r="D4012" s="4">
        <v>617.11559999999997</v>
      </c>
      <c r="E4012" s="4">
        <v>358.012</v>
      </c>
      <c r="F4012" s="4">
        <f t="shared" si="265"/>
        <v>259.10359999999997</v>
      </c>
      <c r="G4012" s="5">
        <f t="shared" si="266"/>
        <v>0.41986234021632252</v>
      </c>
      <c r="H4012" s="2" t="s">
        <v>5</v>
      </c>
      <c r="I4012" s="6" t="s">
        <v>2300</v>
      </c>
      <c r="J4012" s="2" t="s">
        <v>5</v>
      </c>
      <c r="K4012" s="2" t="s">
        <v>5</v>
      </c>
      <c r="L4012" s="2" t="s">
        <v>5</v>
      </c>
      <c r="M4012" s="2" t="s">
        <v>5</v>
      </c>
      <c r="N4012" s="4">
        <v>0</v>
      </c>
    </row>
    <row r="4013" spans="1:14" x14ac:dyDescent="0.25">
      <c r="A4013" s="2" t="s">
        <v>268</v>
      </c>
      <c r="B4013" s="2" t="s">
        <v>269</v>
      </c>
      <c r="C4013" s="3">
        <v>30.62</v>
      </c>
      <c r="D4013" s="4">
        <v>622.81079999999997</v>
      </c>
      <c r="E4013" s="4">
        <v>361.31599999999997</v>
      </c>
      <c r="F4013" s="4">
        <f t="shared" si="265"/>
        <v>261.4948</v>
      </c>
      <c r="G4013" s="5">
        <f t="shared" si="266"/>
        <v>0.41986234021632252</v>
      </c>
      <c r="H4013" s="2" t="s">
        <v>5</v>
      </c>
      <c r="I4013" s="6" t="s">
        <v>2300</v>
      </c>
      <c r="J4013" s="2" t="s">
        <v>5</v>
      </c>
      <c r="K4013" s="2" t="s">
        <v>5</v>
      </c>
      <c r="L4013" s="2" t="s">
        <v>5</v>
      </c>
      <c r="M4013" s="2" t="s">
        <v>5</v>
      </c>
      <c r="N4013" s="4">
        <v>0</v>
      </c>
    </row>
    <row r="4014" spans="1:14" x14ac:dyDescent="0.25">
      <c r="A4014" s="2" t="s">
        <v>268</v>
      </c>
      <c r="B4014" s="2" t="s">
        <v>269</v>
      </c>
      <c r="C4014" s="3">
        <v>25.18</v>
      </c>
      <c r="D4014" s="4">
        <v>512.16120000000001</v>
      </c>
      <c r="E4014" s="4">
        <v>297.12400000000002</v>
      </c>
      <c r="F4014" s="4">
        <f t="shared" si="265"/>
        <v>215.03719999999998</v>
      </c>
      <c r="G4014" s="5">
        <f t="shared" si="266"/>
        <v>0.41986234021632246</v>
      </c>
      <c r="H4014" s="2" t="s">
        <v>5</v>
      </c>
      <c r="I4014" s="6" t="s">
        <v>2300</v>
      </c>
      <c r="J4014" s="2" t="s">
        <v>5</v>
      </c>
      <c r="K4014" s="2" t="s">
        <v>5</v>
      </c>
      <c r="L4014" s="2" t="s">
        <v>5</v>
      </c>
      <c r="M4014" s="2" t="s">
        <v>5</v>
      </c>
      <c r="N4014" s="4">
        <v>0</v>
      </c>
    </row>
    <row r="4015" spans="1:14" x14ac:dyDescent="0.25">
      <c r="A4015" s="2" t="s">
        <v>268</v>
      </c>
      <c r="B4015" s="2" t="s">
        <v>269</v>
      </c>
      <c r="C4015" s="3">
        <v>15.23</v>
      </c>
      <c r="D4015" s="4">
        <v>309.77820000000003</v>
      </c>
      <c r="E4015" s="4">
        <v>179.714</v>
      </c>
      <c r="F4015" s="4">
        <f t="shared" si="265"/>
        <v>130.06420000000003</v>
      </c>
      <c r="G4015" s="5">
        <f t="shared" si="266"/>
        <v>0.41986234021632257</v>
      </c>
      <c r="H4015" s="2" t="s">
        <v>5</v>
      </c>
      <c r="I4015" s="6" t="s">
        <v>2300</v>
      </c>
      <c r="J4015" s="2" t="s">
        <v>5</v>
      </c>
      <c r="K4015" s="2" t="s">
        <v>5</v>
      </c>
      <c r="L4015" s="2" t="s">
        <v>5</v>
      </c>
      <c r="M4015" s="2" t="s">
        <v>5</v>
      </c>
      <c r="N4015" s="4">
        <v>0</v>
      </c>
    </row>
    <row r="4016" spans="1:14" x14ac:dyDescent="0.25">
      <c r="A4016" s="2" t="s">
        <v>268</v>
      </c>
      <c r="B4016" s="2" t="s">
        <v>269</v>
      </c>
      <c r="C4016" s="3">
        <v>56.1</v>
      </c>
      <c r="D4016" s="4">
        <v>1141.0740000000001</v>
      </c>
      <c r="E4016" s="4">
        <v>661.98</v>
      </c>
      <c r="F4016" s="4">
        <f t="shared" si="265"/>
        <v>479.09400000000005</v>
      </c>
      <c r="G4016" s="5">
        <f t="shared" si="266"/>
        <v>0.41986234021632252</v>
      </c>
      <c r="H4016" s="2" t="s">
        <v>5</v>
      </c>
      <c r="I4016" s="6" t="s">
        <v>2300</v>
      </c>
      <c r="J4016" s="2" t="s">
        <v>5</v>
      </c>
      <c r="K4016" s="2" t="s">
        <v>5</v>
      </c>
      <c r="L4016" s="2" t="s">
        <v>5</v>
      </c>
      <c r="M4016" s="2" t="s">
        <v>5</v>
      </c>
      <c r="N4016" s="4">
        <v>0</v>
      </c>
    </row>
    <row r="4017" spans="1:14" x14ac:dyDescent="0.25">
      <c r="A4017" s="2" t="s">
        <v>270</v>
      </c>
      <c r="B4017" s="2" t="s">
        <v>271</v>
      </c>
      <c r="C4017" s="3">
        <v>83.83</v>
      </c>
      <c r="D4017" s="4">
        <v>1479.5995</v>
      </c>
      <c r="E4017" s="4">
        <v>922.13</v>
      </c>
      <c r="F4017" s="4">
        <f t="shared" si="265"/>
        <v>557.46950000000004</v>
      </c>
      <c r="G4017" s="5">
        <f t="shared" si="266"/>
        <v>0.37677053824362611</v>
      </c>
      <c r="H4017" s="2" t="s">
        <v>5</v>
      </c>
      <c r="I4017" s="6" t="s">
        <v>2300</v>
      </c>
      <c r="J4017" s="2" t="s">
        <v>5</v>
      </c>
      <c r="K4017" s="2" t="s">
        <v>5</v>
      </c>
      <c r="L4017" s="2" t="s">
        <v>5</v>
      </c>
      <c r="M4017" s="2" t="s">
        <v>5</v>
      </c>
      <c r="N4017" s="4">
        <v>0</v>
      </c>
    </row>
    <row r="4018" spans="1:14" x14ac:dyDescent="0.25">
      <c r="A4018" s="2" t="s">
        <v>270</v>
      </c>
      <c r="B4018" s="2" t="s">
        <v>271</v>
      </c>
      <c r="C4018" s="3">
        <v>24.55</v>
      </c>
      <c r="D4018" s="4">
        <v>433.3075</v>
      </c>
      <c r="E4018" s="4">
        <v>270.05</v>
      </c>
      <c r="F4018" s="4">
        <f t="shared" si="265"/>
        <v>163.25749999999999</v>
      </c>
      <c r="G4018" s="5">
        <f t="shared" si="266"/>
        <v>0.37677053824362605</v>
      </c>
      <c r="H4018" s="2" t="s">
        <v>5</v>
      </c>
      <c r="I4018" s="6" t="s">
        <v>2300</v>
      </c>
      <c r="J4018" s="2" t="s">
        <v>5</v>
      </c>
      <c r="K4018" s="2" t="s">
        <v>5</v>
      </c>
      <c r="L4018" s="2" t="s">
        <v>5</v>
      </c>
      <c r="M4018" s="2" t="s">
        <v>5</v>
      </c>
      <c r="N4018" s="4">
        <v>0</v>
      </c>
    </row>
    <row r="4019" spans="1:14" x14ac:dyDescent="0.25">
      <c r="A4019" s="2" t="s">
        <v>270</v>
      </c>
      <c r="B4019" s="2" t="s">
        <v>271</v>
      </c>
      <c r="C4019" s="3">
        <v>113.78</v>
      </c>
      <c r="D4019" s="4">
        <v>2008.2170000000001</v>
      </c>
      <c r="E4019" s="4">
        <v>1251.58</v>
      </c>
      <c r="F4019" s="4">
        <f t="shared" si="265"/>
        <v>756.63700000000017</v>
      </c>
      <c r="G4019" s="5">
        <f t="shared" si="266"/>
        <v>0.37677053824362611</v>
      </c>
      <c r="H4019" s="2" t="s">
        <v>5</v>
      </c>
      <c r="I4019" s="6" t="s">
        <v>2300</v>
      </c>
      <c r="J4019" s="2" t="s">
        <v>5</v>
      </c>
      <c r="K4019" s="2" t="s">
        <v>5</v>
      </c>
      <c r="L4019" s="2" t="s">
        <v>5</v>
      </c>
      <c r="M4019" s="2" t="s">
        <v>5</v>
      </c>
      <c r="N4019" s="4">
        <v>0</v>
      </c>
    </row>
    <row r="4020" spans="1:14" x14ac:dyDescent="0.25">
      <c r="A4020" s="2" t="s">
        <v>270</v>
      </c>
      <c r="B4020" s="2" t="s">
        <v>271</v>
      </c>
      <c r="C4020" s="3">
        <v>29.96</v>
      </c>
      <c r="D4020" s="4">
        <v>528.79399999999998</v>
      </c>
      <c r="E4020" s="4">
        <v>329.56</v>
      </c>
      <c r="F4020" s="4">
        <f t="shared" si="265"/>
        <v>199.23399999999998</v>
      </c>
      <c r="G4020" s="5">
        <f t="shared" si="266"/>
        <v>0.37677053824362605</v>
      </c>
      <c r="H4020" s="2" t="s">
        <v>5</v>
      </c>
      <c r="I4020" s="6" t="s">
        <v>2300</v>
      </c>
      <c r="J4020" s="2" t="s">
        <v>5</v>
      </c>
      <c r="K4020" s="2" t="s">
        <v>5</v>
      </c>
      <c r="L4020" s="2" t="s">
        <v>5</v>
      </c>
      <c r="M4020" s="2" t="s">
        <v>5</v>
      </c>
      <c r="N4020" s="4">
        <v>0</v>
      </c>
    </row>
    <row r="4021" spans="1:14" x14ac:dyDescent="0.25">
      <c r="A4021" s="2" t="s">
        <v>270</v>
      </c>
      <c r="B4021" s="2" t="s">
        <v>271</v>
      </c>
      <c r="C4021" s="3">
        <v>115.37</v>
      </c>
      <c r="D4021" s="4">
        <v>2036.2805000000001</v>
      </c>
      <c r="E4021" s="4">
        <v>1269.07</v>
      </c>
      <c r="F4021" s="4">
        <f t="shared" si="265"/>
        <v>767.21050000000014</v>
      </c>
      <c r="G4021" s="5">
        <f t="shared" si="266"/>
        <v>0.37677053824362611</v>
      </c>
      <c r="H4021" s="2" t="s">
        <v>5</v>
      </c>
      <c r="I4021" s="6" t="s">
        <v>2300</v>
      </c>
      <c r="J4021" s="2" t="s">
        <v>5</v>
      </c>
      <c r="K4021" s="2" t="s">
        <v>5</v>
      </c>
      <c r="L4021" s="2" t="s">
        <v>5</v>
      </c>
      <c r="M4021" s="2" t="s">
        <v>5</v>
      </c>
      <c r="N4021" s="4">
        <v>0</v>
      </c>
    </row>
    <row r="4022" spans="1:14" x14ac:dyDescent="0.25">
      <c r="A4022" s="2" t="s">
        <v>270</v>
      </c>
      <c r="B4022" s="2" t="s">
        <v>271</v>
      </c>
      <c r="C4022" s="3">
        <v>48.6</v>
      </c>
      <c r="D4022" s="4">
        <v>857.79</v>
      </c>
      <c r="E4022" s="4">
        <v>534.6</v>
      </c>
      <c r="F4022" s="4">
        <f t="shared" si="265"/>
        <v>323.18999999999994</v>
      </c>
      <c r="G4022" s="5">
        <f t="shared" si="266"/>
        <v>0.376770538243626</v>
      </c>
      <c r="H4022" s="2" t="s">
        <v>5</v>
      </c>
      <c r="I4022" s="6" t="s">
        <v>2300</v>
      </c>
      <c r="J4022" s="2" t="s">
        <v>5</v>
      </c>
      <c r="K4022" s="2" t="s">
        <v>5</v>
      </c>
      <c r="L4022" s="2" t="s">
        <v>5</v>
      </c>
      <c r="M4022" s="2" t="s">
        <v>5</v>
      </c>
      <c r="N4022" s="4">
        <v>0</v>
      </c>
    </row>
    <row r="4023" spans="1:14" x14ac:dyDescent="0.25">
      <c r="A4023" s="2" t="s">
        <v>270</v>
      </c>
      <c r="B4023" s="2" t="s">
        <v>271</v>
      </c>
      <c r="C4023" s="3">
        <v>92.3</v>
      </c>
      <c r="D4023" s="4">
        <v>1629.095</v>
      </c>
      <c r="E4023" s="4">
        <v>1015.3</v>
      </c>
      <c r="F4023" s="4">
        <f t="shared" si="265"/>
        <v>613.79500000000007</v>
      </c>
      <c r="G4023" s="5">
        <f t="shared" si="266"/>
        <v>0.37677053824362611</v>
      </c>
      <c r="H4023" s="2" t="s">
        <v>5</v>
      </c>
      <c r="I4023" s="6" t="s">
        <v>2300</v>
      </c>
      <c r="J4023" s="2" t="s">
        <v>5</v>
      </c>
      <c r="K4023" s="2" t="s">
        <v>5</v>
      </c>
      <c r="L4023" s="2" t="s">
        <v>5</v>
      </c>
      <c r="M4023" s="2" t="s">
        <v>5</v>
      </c>
      <c r="N4023" s="4">
        <v>0</v>
      </c>
    </row>
    <row r="4024" spans="1:14" x14ac:dyDescent="0.25">
      <c r="A4024" s="2" t="s">
        <v>270</v>
      </c>
      <c r="B4024" s="2" t="s">
        <v>271</v>
      </c>
      <c r="C4024" s="3">
        <v>130.4</v>
      </c>
      <c r="D4024" s="4">
        <v>2301.56</v>
      </c>
      <c r="E4024" s="4">
        <v>1434.4</v>
      </c>
      <c r="F4024" s="4">
        <f t="shared" si="265"/>
        <v>867.15999999999985</v>
      </c>
      <c r="G4024" s="5">
        <f t="shared" si="266"/>
        <v>0.376770538243626</v>
      </c>
      <c r="H4024" s="2" t="s">
        <v>5</v>
      </c>
      <c r="I4024" s="6" t="s">
        <v>2300</v>
      </c>
      <c r="J4024" s="2" t="s">
        <v>5</v>
      </c>
      <c r="K4024" s="2" t="s">
        <v>5</v>
      </c>
      <c r="L4024" s="2" t="s">
        <v>5</v>
      </c>
      <c r="M4024" s="2" t="s">
        <v>5</v>
      </c>
      <c r="N4024" s="4">
        <v>0</v>
      </c>
    </row>
    <row r="4025" spans="1:14" x14ac:dyDescent="0.25">
      <c r="A4025" s="2" t="s">
        <v>270</v>
      </c>
      <c r="B4025" s="2" t="s">
        <v>271</v>
      </c>
      <c r="C4025" s="3">
        <v>29.88</v>
      </c>
      <c r="D4025" s="4">
        <v>527.38199999999995</v>
      </c>
      <c r="E4025" s="4">
        <v>328.68</v>
      </c>
      <c r="F4025" s="4">
        <f t="shared" si="265"/>
        <v>198.70199999999994</v>
      </c>
      <c r="G4025" s="5">
        <f t="shared" si="266"/>
        <v>0.376770538243626</v>
      </c>
      <c r="H4025" s="2" t="s">
        <v>5</v>
      </c>
      <c r="I4025" s="6" t="s">
        <v>2300</v>
      </c>
      <c r="J4025" s="2" t="s">
        <v>5</v>
      </c>
      <c r="K4025" s="2" t="s">
        <v>5</v>
      </c>
      <c r="L4025" s="2" t="s">
        <v>5</v>
      </c>
      <c r="M4025" s="2" t="s">
        <v>5</v>
      </c>
      <c r="N4025" s="4">
        <v>0</v>
      </c>
    </row>
    <row r="4026" spans="1:14" x14ac:dyDescent="0.25">
      <c r="A4026" s="2" t="s">
        <v>272</v>
      </c>
      <c r="B4026" s="2" t="s">
        <v>273</v>
      </c>
      <c r="C4026" s="3">
        <v>45.79</v>
      </c>
      <c r="D4026" s="4">
        <v>717.98720000000003</v>
      </c>
      <c r="E4026" s="4">
        <v>457.9</v>
      </c>
      <c r="F4026" s="4">
        <f t="shared" si="265"/>
        <v>260.08720000000005</v>
      </c>
      <c r="G4026" s="5">
        <f t="shared" si="266"/>
        <v>0.36224489795918374</v>
      </c>
      <c r="H4026" s="2" t="s">
        <v>5</v>
      </c>
      <c r="I4026" s="6" t="s">
        <v>2300</v>
      </c>
      <c r="J4026" s="2" t="s">
        <v>5</v>
      </c>
      <c r="K4026" s="2" t="s">
        <v>5</v>
      </c>
      <c r="L4026" s="2" t="s">
        <v>5</v>
      </c>
      <c r="M4026" s="2" t="s">
        <v>5</v>
      </c>
      <c r="N4026" s="4">
        <v>0</v>
      </c>
    </row>
    <row r="4027" spans="1:14" x14ac:dyDescent="0.25">
      <c r="A4027" s="2" t="s">
        <v>272</v>
      </c>
      <c r="B4027" s="2" t="s">
        <v>273</v>
      </c>
      <c r="C4027" s="3">
        <v>15.32</v>
      </c>
      <c r="D4027" s="4">
        <v>240.2176</v>
      </c>
      <c r="E4027" s="4">
        <v>153.19999999999999</v>
      </c>
      <c r="F4027" s="4">
        <f t="shared" si="265"/>
        <v>87.017600000000016</v>
      </c>
      <c r="G4027" s="5">
        <f t="shared" si="266"/>
        <v>0.36224489795918374</v>
      </c>
      <c r="H4027" s="2" t="s">
        <v>5</v>
      </c>
      <c r="I4027" s="6" t="s">
        <v>2300</v>
      </c>
      <c r="J4027" s="2" t="s">
        <v>5</v>
      </c>
      <c r="K4027" s="2" t="s">
        <v>5</v>
      </c>
      <c r="L4027" s="2" t="s">
        <v>5</v>
      </c>
      <c r="M4027" s="2" t="s">
        <v>5</v>
      </c>
      <c r="N4027" s="4">
        <v>0</v>
      </c>
    </row>
    <row r="4028" spans="1:14" x14ac:dyDescent="0.25">
      <c r="A4028" s="2" t="s">
        <v>272</v>
      </c>
      <c r="B4028" s="2" t="s">
        <v>273</v>
      </c>
      <c r="C4028" s="3">
        <v>15.15</v>
      </c>
      <c r="D4028" s="4">
        <v>237.55199999999999</v>
      </c>
      <c r="E4028" s="4">
        <v>184.83</v>
      </c>
      <c r="F4028" s="4">
        <f t="shared" si="265"/>
        <v>52.72199999999998</v>
      </c>
      <c r="G4028" s="5">
        <f t="shared" si="266"/>
        <v>0.22193877551020399</v>
      </c>
      <c r="H4028" s="2" t="s">
        <v>5</v>
      </c>
      <c r="I4028" s="6" t="s">
        <v>2300</v>
      </c>
      <c r="J4028" s="2" t="s">
        <v>5</v>
      </c>
      <c r="K4028" s="2" t="s">
        <v>5</v>
      </c>
      <c r="L4028" s="2" t="s">
        <v>5</v>
      </c>
      <c r="M4028" s="2" t="s">
        <v>5</v>
      </c>
      <c r="N4028" s="4">
        <v>0</v>
      </c>
    </row>
    <row r="4029" spans="1:14" x14ac:dyDescent="0.25">
      <c r="A4029" s="2" t="s">
        <v>272</v>
      </c>
      <c r="B4029" s="2" t="s">
        <v>273</v>
      </c>
      <c r="C4029" s="3">
        <v>65.510000000000005</v>
      </c>
      <c r="D4029" s="4">
        <v>1027.1967999999999</v>
      </c>
      <c r="E4029" s="4">
        <v>799.22199999999998</v>
      </c>
      <c r="F4029" s="4">
        <f t="shared" si="265"/>
        <v>227.97479999999996</v>
      </c>
      <c r="G4029" s="5">
        <f t="shared" si="266"/>
        <v>0.22193877551020405</v>
      </c>
      <c r="H4029" s="2" t="s">
        <v>5</v>
      </c>
      <c r="I4029" s="6" t="s">
        <v>2300</v>
      </c>
      <c r="J4029" s="2" t="s">
        <v>5</v>
      </c>
      <c r="K4029" s="2" t="s">
        <v>5</v>
      </c>
      <c r="L4029" s="2" t="s">
        <v>5</v>
      </c>
      <c r="M4029" s="2" t="s">
        <v>5</v>
      </c>
      <c r="N4029" s="4">
        <v>0</v>
      </c>
    </row>
    <row r="4030" spans="1:14" x14ac:dyDescent="0.25">
      <c r="A4030" s="2" t="s">
        <v>272</v>
      </c>
      <c r="B4030" s="2" t="s">
        <v>273</v>
      </c>
      <c r="C4030" s="3">
        <v>76.045000000000002</v>
      </c>
      <c r="D4030" s="4">
        <v>1192.3856000000001</v>
      </c>
      <c r="E4030" s="4">
        <v>760.45</v>
      </c>
      <c r="F4030" s="4">
        <f t="shared" si="265"/>
        <v>431.93560000000002</v>
      </c>
      <c r="G4030" s="5">
        <f t="shared" si="266"/>
        <v>0.36224489795918369</v>
      </c>
      <c r="H4030" s="2" t="s">
        <v>5</v>
      </c>
      <c r="I4030" s="6" t="s">
        <v>2300</v>
      </c>
      <c r="J4030" s="2" t="s">
        <v>5</v>
      </c>
      <c r="K4030" s="2" t="s">
        <v>5</v>
      </c>
      <c r="L4030" s="2" t="s">
        <v>5</v>
      </c>
      <c r="M4030" s="2" t="s">
        <v>5</v>
      </c>
      <c r="N4030" s="4">
        <v>0</v>
      </c>
    </row>
    <row r="4031" spans="1:14" x14ac:dyDescent="0.25">
      <c r="A4031" s="2" t="s">
        <v>272</v>
      </c>
      <c r="B4031" s="2" t="s">
        <v>273</v>
      </c>
      <c r="C4031" s="3">
        <v>6.0949999999999998</v>
      </c>
      <c r="D4031" s="4">
        <v>95.569599999999994</v>
      </c>
      <c r="E4031" s="4">
        <v>60.95</v>
      </c>
      <c r="F4031" s="4">
        <f t="shared" si="265"/>
        <v>34.619599999999991</v>
      </c>
      <c r="G4031" s="5">
        <f t="shared" si="266"/>
        <v>0.36224489795918363</v>
      </c>
      <c r="H4031" s="2" t="s">
        <v>5</v>
      </c>
      <c r="I4031" s="6" t="s">
        <v>2300</v>
      </c>
      <c r="J4031" s="2" t="s">
        <v>5</v>
      </c>
      <c r="K4031" s="2" t="s">
        <v>5</v>
      </c>
      <c r="L4031" s="2" t="s">
        <v>5</v>
      </c>
      <c r="M4031" s="2" t="s">
        <v>5</v>
      </c>
      <c r="N4031" s="4">
        <v>0</v>
      </c>
    </row>
    <row r="4032" spans="1:14" x14ac:dyDescent="0.25">
      <c r="A4032" s="2" t="s">
        <v>272</v>
      </c>
      <c r="B4032" s="2" t="s">
        <v>273</v>
      </c>
      <c r="C4032" s="3">
        <v>15.24</v>
      </c>
      <c r="D4032" s="4">
        <v>238.9632</v>
      </c>
      <c r="E4032" s="4">
        <v>152.4</v>
      </c>
      <c r="F4032" s="4">
        <f t="shared" si="265"/>
        <v>86.563199999999995</v>
      </c>
      <c r="G4032" s="5">
        <f t="shared" si="266"/>
        <v>0.36224489795918363</v>
      </c>
      <c r="H4032" s="2" t="s">
        <v>5</v>
      </c>
      <c r="I4032" s="6" t="s">
        <v>2300</v>
      </c>
      <c r="J4032" s="2" t="s">
        <v>5</v>
      </c>
      <c r="K4032" s="2" t="s">
        <v>5</v>
      </c>
      <c r="L4032" s="2" t="s">
        <v>5</v>
      </c>
      <c r="M4032" s="2" t="s">
        <v>5</v>
      </c>
      <c r="N4032" s="4">
        <v>0</v>
      </c>
    </row>
    <row r="4033" spans="1:14" x14ac:dyDescent="0.25">
      <c r="A4033" s="2" t="s">
        <v>272</v>
      </c>
      <c r="B4033" s="2" t="s">
        <v>273</v>
      </c>
      <c r="C4033" s="3">
        <v>101.33499999999999</v>
      </c>
      <c r="D4033" s="4">
        <v>1588.9328</v>
      </c>
      <c r="E4033" s="4">
        <v>1236.287</v>
      </c>
      <c r="F4033" s="4">
        <f t="shared" si="265"/>
        <v>352.64580000000001</v>
      </c>
      <c r="G4033" s="5">
        <f t="shared" si="266"/>
        <v>0.22193877551020408</v>
      </c>
      <c r="H4033" s="2" t="s">
        <v>5</v>
      </c>
      <c r="I4033" s="6" t="s">
        <v>2300</v>
      </c>
      <c r="J4033" s="2" t="s">
        <v>5</v>
      </c>
      <c r="K4033" s="2" t="s">
        <v>5</v>
      </c>
      <c r="L4033" s="2" t="s">
        <v>5</v>
      </c>
      <c r="M4033" s="2" t="s">
        <v>5</v>
      </c>
      <c r="N4033" s="4">
        <v>0</v>
      </c>
    </row>
    <row r="4034" spans="1:14" x14ac:dyDescent="0.25">
      <c r="A4034" s="2" t="s">
        <v>272</v>
      </c>
      <c r="B4034" s="2" t="s">
        <v>273</v>
      </c>
      <c r="C4034" s="3">
        <v>58.5</v>
      </c>
      <c r="D4034" s="4">
        <v>917.28</v>
      </c>
      <c r="E4034" s="4">
        <v>713.7</v>
      </c>
      <c r="F4034" s="4">
        <f t="shared" si="265"/>
        <v>203.57999999999993</v>
      </c>
      <c r="G4034" s="5">
        <f t="shared" si="266"/>
        <v>0.22193877551020402</v>
      </c>
      <c r="H4034" s="2" t="s">
        <v>5</v>
      </c>
      <c r="I4034" s="6" t="s">
        <v>2300</v>
      </c>
      <c r="J4034" s="2" t="s">
        <v>5</v>
      </c>
      <c r="K4034" s="2" t="s">
        <v>5</v>
      </c>
      <c r="L4034" s="2" t="s">
        <v>5</v>
      </c>
      <c r="M4034" s="2" t="s">
        <v>5</v>
      </c>
      <c r="N4034" s="4">
        <v>0</v>
      </c>
    </row>
    <row r="4035" spans="1:14" x14ac:dyDescent="0.25">
      <c r="A4035" s="2" t="s">
        <v>272</v>
      </c>
      <c r="B4035" s="2" t="s">
        <v>273</v>
      </c>
      <c r="C4035" s="3">
        <v>9.99</v>
      </c>
      <c r="D4035" s="4">
        <v>156.64320000000001</v>
      </c>
      <c r="E4035" s="4">
        <v>121.878</v>
      </c>
      <c r="F4035" s="4">
        <f t="shared" si="265"/>
        <v>34.765200000000007</v>
      </c>
      <c r="G4035" s="5">
        <f t="shared" si="266"/>
        <v>0.22193877551020411</v>
      </c>
      <c r="H4035" s="2" t="s">
        <v>5</v>
      </c>
      <c r="I4035" s="6" t="s">
        <v>2300</v>
      </c>
      <c r="J4035" s="2" t="s">
        <v>5</v>
      </c>
      <c r="K4035" s="2" t="s">
        <v>5</v>
      </c>
      <c r="L4035" s="2" t="s">
        <v>5</v>
      </c>
      <c r="M4035" s="2" t="s">
        <v>5</v>
      </c>
      <c r="N4035" s="4">
        <v>0</v>
      </c>
    </row>
    <row r="4036" spans="1:14" x14ac:dyDescent="0.25">
      <c r="A4036" s="2" t="s">
        <v>272</v>
      </c>
      <c r="B4036" s="2" t="s">
        <v>273</v>
      </c>
      <c r="C4036" s="3">
        <v>6.1</v>
      </c>
      <c r="D4036" s="4">
        <v>95.647999999999996</v>
      </c>
      <c r="E4036" s="4">
        <v>74.42</v>
      </c>
      <c r="F4036" s="4">
        <f t="shared" si="265"/>
        <v>21.227999999999994</v>
      </c>
      <c r="G4036" s="5">
        <f t="shared" si="266"/>
        <v>0.22193877551020402</v>
      </c>
      <c r="H4036" s="2" t="s">
        <v>5</v>
      </c>
      <c r="I4036" s="6" t="s">
        <v>2300</v>
      </c>
      <c r="J4036" s="2" t="s">
        <v>5</v>
      </c>
      <c r="K4036" s="2" t="s">
        <v>5</v>
      </c>
      <c r="L4036" s="2" t="s">
        <v>5</v>
      </c>
      <c r="M4036" s="2" t="s">
        <v>5</v>
      </c>
      <c r="N4036" s="4">
        <v>0</v>
      </c>
    </row>
    <row r="4037" spans="1:14" x14ac:dyDescent="0.25">
      <c r="A4037" s="2" t="s">
        <v>272</v>
      </c>
      <c r="B4037" s="2" t="s">
        <v>273</v>
      </c>
      <c r="C4037" s="3">
        <v>28.72</v>
      </c>
      <c r="D4037" s="4">
        <v>450.32960000000003</v>
      </c>
      <c r="E4037" s="4">
        <v>350.38400000000001</v>
      </c>
      <c r="F4037" s="4">
        <f t="shared" si="265"/>
        <v>99.945600000000013</v>
      </c>
      <c r="G4037" s="5">
        <f t="shared" si="266"/>
        <v>0.22193877551020411</v>
      </c>
      <c r="H4037" s="2" t="s">
        <v>5</v>
      </c>
      <c r="I4037" s="6" t="s">
        <v>2300</v>
      </c>
      <c r="J4037" s="2" t="s">
        <v>5</v>
      </c>
      <c r="K4037" s="2" t="s">
        <v>5</v>
      </c>
      <c r="L4037" s="2" t="s">
        <v>5</v>
      </c>
      <c r="M4037" s="2" t="s">
        <v>5</v>
      </c>
      <c r="N4037" s="4">
        <v>0</v>
      </c>
    </row>
    <row r="4038" spans="1:14" x14ac:dyDescent="0.25">
      <c r="A4038" s="2" t="s">
        <v>272</v>
      </c>
      <c r="B4038" s="2" t="s">
        <v>273</v>
      </c>
      <c r="C4038" s="3">
        <v>15.27</v>
      </c>
      <c r="D4038" s="4">
        <v>239.43360000000001</v>
      </c>
      <c r="E4038" s="4">
        <v>186.29400000000001</v>
      </c>
      <c r="F4038" s="4">
        <f t="shared" si="265"/>
        <v>53.139600000000002</v>
      </c>
      <c r="G4038" s="5">
        <f t="shared" si="266"/>
        <v>0.22193877551020408</v>
      </c>
      <c r="H4038" s="2" t="s">
        <v>5</v>
      </c>
      <c r="I4038" s="6" t="s">
        <v>2300</v>
      </c>
      <c r="J4038" s="2" t="s">
        <v>5</v>
      </c>
      <c r="K4038" s="2" t="s">
        <v>5</v>
      </c>
      <c r="L4038" s="2" t="s">
        <v>5</v>
      </c>
      <c r="M4038" s="2" t="s">
        <v>5</v>
      </c>
      <c r="N4038" s="4">
        <v>0</v>
      </c>
    </row>
    <row r="4039" spans="1:14" x14ac:dyDescent="0.25">
      <c r="A4039" s="2" t="s">
        <v>272</v>
      </c>
      <c r="B4039" s="2" t="s">
        <v>273</v>
      </c>
      <c r="C4039" s="3">
        <v>20.46</v>
      </c>
      <c r="D4039" s="4">
        <v>320.81279999999998</v>
      </c>
      <c r="E4039" s="4">
        <v>249.61199999999999</v>
      </c>
      <c r="F4039" s="4">
        <f t="shared" si="265"/>
        <v>71.200799999999987</v>
      </c>
      <c r="G4039" s="5">
        <f t="shared" si="266"/>
        <v>0.22193877551020405</v>
      </c>
      <c r="H4039" s="2" t="s">
        <v>5</v>
      </c>
      <c r="I4039" s="6" t="s">
        <v>2300</v>
      </c>
      <c r="J4039" s="2" t="s">
        <v>5</v>
      </c>
      <c r="K4039" s="2" t="s">
        <v>5</v>
      </c>
      <c r="L4039" s="2" t="s">
        <v>5</v>
      </c>
      <c r="M4039" s="2" t="s">
        <v>5</v>
      </c>
      <c r="N4039" s="4">
        <v>0</v>
      </c>
    </row>
    <row r="4040" spans="1:14" x14ac:dyDescent="0.25">
      <c r="A4040" s="2" t="s">
        <v>272</v>
      </c>
      <c r="B4040" s="2" t="s">
        <v>273</v>
      </c>
      <c r="C4040" s="3">
        <v>15.24</v>
      </c>
      <c r="D4040" s="4">
        <v>238.9632</v>
      </c>
      <c r="E4040" s="4">
        <v>185.928</v>
      </c>
      <c r="F4040" s="4">
        <f t="shared" si="265"/>
        <v>53.035200000000003</v>
      </c>
      <c r="G4040" s="5">
        <f t="shared" si="266"/>
        <v>0.22193877551020411</v>
      </c>
      <c r="H4040" s="2" t="s">
        <v>5</v>
      </c>
      <c r="I4040" s="6" t="s">
        <v>2300</v>
      </c>
      <c r="J4040" s="2" t="s">
        <v>5</v>
      </c>
      <c r="K4040" s="2" t="s">
        <v>5</v>
      </c>
      <c r="L4040" s="2" t="s">
        <v>5</v>
      </c>
      <c r="M4040" s="2" t="s">
        <v>5</v>
      </c>
      <c r="N4040" s="4">
        <v>0</v>
      </c>
    </row>
    <row r="4041" spans="1:14" x14ac:dyDescent="0.25">
      <c r="A4041" s="2" t="s">
        <v>272</v>
      </c>
      <c r="B4041" s="2" t="s">
        <v>273</v>
      </c>
      <c r="C4041" s="3">
        <v>20.285</v>
      </c>
      <c r="D4041" s="4">
        <v>318.06880000000001</v>
      </c>
      <c r="E4041" s="4">
        <v>247.477</v>
      </c>
      <c r="F4041" s="4">
        <f t="shared" si="265"/>
        <v>70.591800000000006</v>
      </c>
      <c r="G4041" s="5">
        <f t="shared" si="266"/>
        <v>0.22193877551020411</v>
      </c>
      <c r="H4041" s="2" t="s">
        <v>5</v>
      </c>
      <c r="I4041" s="6" t="s">
        <v>2300</v>
      </c>
      <c r="J4041" s="2" t="s">
        <v>5</v>
      </c>
      <c r="K4041" s="2" t="s">
        <v>5</v>
      </c>
      <c r="L4041" s="2" t="s">
        <v>5</v>
      </c>
      <c r="M4041" s="2" t="s">
        <v>5</v>
      </c>
      <c r="N4041" s="4">
        <v>0</v>
      </c>
    </row>
    <row r="4042" spans="1:14" x14ac:dyDescent="0.25">
      <c r="A4042" s="2" t="s">
        <v>1788</v>
      </c>
      <c r="B4042" s="2" t="s">
        <v>1789</v>
      </c>
      <c r="C4042" s="3">
        <v>25.05</v>
      </c>
      <c r="D4042" s="4">
        <v>442.13249999999999</v>
      </c>
      <c r="E4042" s="4">
        <v>283.065</v>
      </c>
      <c r="F4042" s="4">
        <f t="shared" si="265"/>
        <v>159.0675</v>
      </c>
      <c r="G4042" s="5">
        <f t="shared" si="266"/>
        <v>0.35977337110481589</v>
      </c>
      <c r="H4042" s="2" t="s">
        <v>5</v>
      </c>
      <c r="I4042" s="6" t="s">
        <v>2300</v>
      </c>
      <c r="J4042" s="2" t="s">
        <v>5</v>
      </c>
      <c r="K4042" s="2" t="s">
        <v>5</v>
      </c>
      <c r="L4042" s="2" t="s">
        <v>5</v>
      </c>
      <c r="M4042" s="2" t="s">
        <v>5</v>
      </c>
      <c r="N4042" s="4">
        <v>0</v>
      </c>
    </row>
    <row r="4043" spans="1:14" x14ac:dyDescent="0.25">
      <c r="A4043" s="2" t="s">
        <v>848</v>
      </c>
      <c r="B4043" s="2" t="s">
        <v>849</v>
      </c>
      <c r="C4043" s="3">
        <v>15.43</v>
      </c>
      <c r="D4043" s="4">
        <v>178.83369999999999</v>
      </c>
      <c r="E4043" s="4">
        <v>115.72499999999999</v>
      </c>
      <c r="F4043" s="4">
        <f t="shared" si="265"/>
        <v>63.108699999999999</v>
      </c>
      <c r="G4043" s="5">
        <f t="shared" si="266"/>
        <v>0.35289042277825711</v>
      </c>
      <c r="H4043" s="2" t="s">
        <v>5</v>
      </c>
      <c r="I4043" s="6" t="s">
        <v>2300</v>
      </c>
      <c r="J4043" s="2" t="s">
        <v>5</v>
      </c>
      <c r="K4043" s="2" t="s">
        <v>5</v>
      </c>
      <c r="L4043" s="2" t="s">
        <v>5</v>
      </c>
      <c r="M4043" s="2" t="s">
        <v>5</v>
      </c>
      <c r="N4043" s="4">
        <v>0</v>
      </c>
    </row>
    <row r="4044" spans="1:14" x14ac:dyDescent="0.25">
      <c r="A4044" s="2" t="s">
        <v>848</v>
      </c>
      <c r="B4044" s="2" t="s">
        <v>849</v>
      </c>
      <c r="C4044" s="3">
        <v>15.2</v>
      </c>
      <c r="D4044" s="4">
        <v>176.16800000000001</v>
      </c>
      <c r="E4044" s="4">
        <v>114</v>
      </c>
      <c r="F4044" s="4">
        <f t="shared" si="265"/>
        <v>62.168000000000006</v>
      </c>
      <c r="G4044" s="5">
        <f t="shared" si="266"/>
        <v>0.35289042277825716</v>
      </c>
      <c r="H4044" s="2" t="s">
        <v>5</v>
      </c>
      <c r="I4044" s="6" t="s">
        <v>2300</v>
      </c>
      <c r="J4044" s="2" t="s">
        <v>5</v>
      </c>
      <c r="K4044" s="2" t="s">
        <v>5</v>
      </c>
      <c r="L4044" s="2" t="s">
        <v>5</v>
      </c>
      <c r="M4044" s="2" t="s">
        <v>5</v>
      </c>
      <c r="N4044" s="4">
        <v>0</v>
      </c>
    </row>
    <row r="4045" spans="1:14" x14ac:dyDescent="0.25">
      <c r="A4045" s="2" t="s">
        <v>1305</v>
      </c>
      <c r="B4045" s="2" t="s">
        <v>1306</v>
      </c>
      <c r="C4045" s="3">
        <v>66.03</v>
      </c>
      <c r="D4045" s="4">
        <v>1343.0501999999999</v>
      </c>
      <c r="E4045" s="4">
        <v>676.8075</v>
      </c>
      <c r="F4045" s="4">
        <f t="shared" si="265"/>
        <v>666.2426999999999</v>
      </c>
      <c r="G4045" s="5">
        <f t="shared" si="266"/>
        <v>0.49606686332350047</v>
      </c>
      <c r="H4045" s="2" t="s">
        <v>5</v>
      </c>
      <c r="I4045" s="6" t="s">
        <v>2300</v>
      </c>
      <c r="J4045" s="2" t="s">
        <v>5</v>
      </c>
      <c r="K4045" s="2" t="s">
        <v>5</v>
      </c>
      <c r="L4045" s="2" t="s">
        <v>5</v>
      </c>
      <c r="M4045" s="2" t="s">
        <v>5</v>
      </c>
      <c r="N4045" s="4">
        <v>0</v>
      </c>
    </row>
    <row r="4046" spans="1:14" x14ac:dyDescent="0.25">
      <c r="A4046" s="2" t="s">
        <v>882</v>
      </c>
      <c r="B4046" s="2" t="s">
        <v>883</v>
      </c>
      <c r="C4046" s="3">
        <v>25.524999999999999</v>
      </c>
      <c r="D4046" s="4">
        <v>519.17849999999999</v>
      </c>
      <c r="E4046" s="4">
        <v>319.0625</v>
      </c>
      <c r="F4046" s="4">
        <f t="shared" si="265"/>
        <v>200.11599999999999</v>
      </c>
      <c r="G4046" s="5">
        <f t="shared" si="266"/>
        <v>0.3854473942969518</v>
      </c>
      <c r="H4046" s="2" t="s">
        <v>5</v>
      </c>
      <c r="I4046" s="6" t="s">
        <v>2300</v>
      </c>
      <c r="J4046" s="2" t="s">
        <v>5</v>
      </c>
      <c r="K4046" s="2" t="s">
        <v>5</v>
      </c>
      <c r="L4046" s="2" t="s">
        <v>5</v>
      </c>
      <c r="M4046" s="2" t="s">
        <v>5</v>
      </c>
      <c r="N4046" s="4">
        <v>0</v>
      </c>
    </row>
    <row r="4047" spans="1:14" x14ac:dyDescent="0.25">
      <c r="A4047" s="2" t="s">
        <v>882</v>
      </c>
      <c r="B4047" s="2" t="s">
        <v>883</v>
      </c>
      <c r="C4047" s="3">
        <v>15.33</v>
      </c>
      <c r="D4047" s="4">
        <v>311.81220000000002</v>
      </c>
      <c r="E4047" s="4">
        <v>191.625</v>
      </c>
      <c r="F4047" s="4">
        <f t="shared" si="265"/>
        <v>120.18720000000002</v>
      </c>
      <c r="G4047" s="5">
        <f t="shared" si="266"/>
        <v>0.38544739429695185</v>
      </c>
      <c r="H4047" s="2" t="s">
        <v>5</v>
      </c>
      <c r="I4047" s="6" t="s">
        <v>2300</v>
      </c>
      <c r="J4047" s="2" t="s">
        <v>5</v>
      </c>
      <c r="K4047" s="2" t="s">
        <v>5</v>
      </c>
      <c r="L4047" s="2" t="s">
        <v>5</v>
      </c>
      <c r="M4047" s="2" t="s">
        <v>5</v>
      </c>
      <c r="N4047" s="4">
        <v>0</v>
      </c>
    </row>
    <row r="4048" spans="1:14" x14ac:dyDescent="0.25">
      <c r="A4048" s="2" t="s">
        <v>850</v>
      </c>
      <c r="B4048" s="2" t="s">
        <v>851</v>
      </c>
      <c r="C4048" s="3">
        <v>60</v>
      </c>
      <c r="D4048" s="4">
        <v>472.2</v>
      </c>
      <c r="E4048" s="4">
        <v>285</v>
      </c>
      <c r="F4048" s="4">
        <f t="shared" si="265"/>
        <v>187.2</v>
      </c>
      <c r="G4048" s="5">
        <f t="shared" si="266"/>
        <v>0.39644218551461241</v>
      </c>
      <c r="H4048" s="2" t="s">
        <v>5</v>
      </c>
      <c r="I4048" s="6" t="s">
        <v>2300</v>
      </c>
      <c r="J4048" s="2" t="s">
        <v>5</v>
      </c>
      <c r="K4048" s="2" t="s">
        <v>5</v>
      </c>
      <c r="L4048" s="2" t="s">
        <v>5</v>
      </c>
      <c r="M4048" s="2" t="s">
        <v>5</v>
      </c>
      <c r="N4048" s="4">
        <v>0</v>
      </c>
    </row>
    <row r="4049" spans="1:14" x14ac:dyDescent="0.25">
      <c r="A4049" s="2" t="s">
        <v>850</v>
      </c>
      <c r="B4049" s="2" t="s">
        <v>851</v>
      </c>
      <c r="C4049" s="3">
        <v>24</v>
      </c>
      <c r="D4049" s="4">
        <v>188.88</v>
      </c>
      <c r="E4049" s="4">
        <v>114</v>
      </c>
      <c r="F4049" s="4">
        <f t="shared" si="265"/>
        <v>74.88</v>
      </c>
      <c r="G4049" s="5">
        <f t="shared" si="266"/>
        <v>0.39644218551461241</v>
      </c>
      <c r="H4049" s="2" t="s">
        <v>5</v>
      </c>
      <c r="I4049" s="6" t="s">
        <v>2300</v>
      </c>
      <c r="J4049" s="2" t="s">
        <v>5</v>
      </c>
      <c r="K4049" s="2" t="s">
        <v>5</v>
      </c>
      <c r="L4049" s="2" t="s">
        <v>5</v>
      </c>
      <c r="M4049" s="2" t="s">
        <v>5</v>
      </c>
      <c r="N4049" s="4">
        <v>0</v>
      </c>
    </row>
    <row r="4050" spans="1:14" x14ac:dyDescent="0.25">
      <c r="A4050" s="2" t="s">
        <v>850</v>
      </c>
      <c r="B4050" s="2" t="s">
        <v>851</v>
      </c>
      <c r="C4050" s="3">
        <v>40</v>
      </c>
      <c r="D4050" s="4">
        <v>314.8</v>
      </c>
      <c r="E4050" s="4">
        <v>190</v>
      </c>
      <c r="F4050" s="4">
        <f t="shared" si="265"/>
        <v>124.80000000000001</v>
      </c>
      <c r="G4050" s="5">
        <f t="shared" si="266"/>
        <v>0.39644218551461247</v>
      </c>
      <c r="H4050" s="2" t="s">
        <v>5</v>
      </c>
      <c r="I4050" s="6" t="s">
        <v>2300</v>
      </c>
      <c r="J4050" s="2" t="s">
        <v>5</v>
      </c>
      <c r="K4050" s="2" t="s">
        <v>5</v>
      </c>
      <c r="L4050" s="2" t="s">
        <v>5</v>
      </c>
      <c r="M4050" s="2" t="s">
        <v>5</v>
      </c>
      <c r="N4050" s="4">
        <v>0</v>
      </c>
    </row>
    <row r="4051" spans="1:14" x14ac:dyDescent="0.25">
      <c r="A4051" s="2" t="s">
        <v>850</v>
      </c>
      <c r="B4051" s="2" t="s">
        <v>851</v>
      </c>
      <c r="C4051" s="3">
        <v>84</v>
      </c>
      <c r="D4051" s="4">
        <v>661.08</v>
      </c>
      <c r="E4051" s="4">
        <v>399</v>
      </c>
      <c r="F4051" s="4">
        <f t="shared" si="265"/>
        <v>262.08000000000004</v>
      </c>
      <c r="G4051" s="5">
        <f t="shared" si="266"/>
        <v>0.39644218551461247</v>
      </c>
      <c r="H4051" s="2" t="s">
        <v>5</v>
      </c>
      <c r="I4051" s="6" t="s">
        <v>2300</v>
      </c>
      <c r="J4051" s="2" t="s">
        <v>5</v>
      </c>
      <c r="K4051" s="2" t="s">
        <v>5</v>
      </c>
      <c r="L4051" s="2" t="s">
        <v>5</v>
      </c>
      <c r="M4051" s="2" t="s">
        <v>5</v>
      </c>
      <c r="N4051" s="4">
        <v>0</v>
      </c>
    </row>
    <row r="4052" spans="1:14" x14ac:dyDescent="0.25">
      <c r="A4052" s="2" t="s">
        <v>850</v>
      </c>
      <c r="B4052" s="2" t="s">
        <v>851</v>
      </c>
      <c r="C4052" s="3">
        <v>60</v>
      </c>
      <c r="D4052" s="4">
        <v>472.2</v>
      </c>
      <c r="E4052" s="4">
        <v>285</v>
      </c>
      <c r="F4052" s="4">
        <f t="shared" si="265"/>
        <v>187.2</v>
      </c>
      <c r="G4052" s="5">
        <f t="shared" si="266"/>
        <v>0.39644218551461241</v>
      </c>
      <c r="H4052" s="2" t="s">
        <v>5</v>
      </c>
      <c r="I4052" s="6" t="s">
        <v>2300</v>
      </c>
      <c r="J4052" s="2" t="s">
        <v>5</v>
      </c>
      <c r="K4052" s="2" t="s">
        <v>5</v>
      </c>
      <c r="L4052" s="2" t="s">
        <v>5</v>
      </c>
      <c r="M4052" s="2" t="s">
        <v>5</v>
      </c>
      <c r="N4052" s="4">
        <v>0</v>
      </c>
    </row>
    <row r="4053" spans="1:14" x14ac:dyDescent="0.25">
      <c r="A4053" s="2" t="s">
        <v>850</v>
      </c>
      <c r="B4053" s="2" t="s">
        <v>851</v>
      </c>
      <c r="C4053" s="3">
        <v>60</v>
      </c>
      <c r="D4053" s="4">
        <v>472.2</v>
      </c>
      <c r="E4053" s="4">
        <v>285</v>
      </c>
      <c r="F4053" s="4">
        <f t="shared" si="265"/>
        <v>187.2</v>
      </c>
      <c r="G4053" s="5">
        <f t="shared" si="266"/>
        <v>0.39644218551461241</v>
      </c>
      <c r="H4053" s="2" t="s">
        <v>5</v>
      </c>
      <c r="I4053" s="6" t="s">
        <v>2300</v>
      </c>
      <c r="J4053" s="2" t="s">
        <v>5</v>
      </c>
      <c r="K4053" s="2" t="s">
        <v>5</v>
      </c>
      <c r="L4053" s="2" t="s">
        <v>5</v>
      </c>
      <c r="M4053" s="2" t="s">
        <v>5</v>
      </c>
      <c r="N4053" s="4">
        <v>0</v>
      </c>
    </row>
    <row r="4054" spans="1:14" x14ac:dyDescent="0.25">
      <c r="A4054" s="2" t="s">
        <v>850</v>
      </c>
      <c r="B4054" s="2" t="s">
        <v>851</v>
      </c>
      <c r="C4054" s="3">
        <v>36</v>
      </c>
      <c r="D4054" s="4">
        <v>283.32</v>
      </c>
      <c r="E4054" s="4">
        <v>171</v>
      </c>
      <c r="F4054" s="4">
        <f t="shared" si="265"/>
        <v>112.32</v>
      </c>
      <c r="G4054" s="5">
        <f t="shared" si="266"/>
        <v>0.39644218551461241</v>
      </c>
      <c r="H4054" s="2" t="s">
        <v>5</v>
      </c>
      <c r="I4054" s="6" t="s">
        <v>2300</v>
      </c>
      <c r="J4054" s="2" t="s">
        <v>5</v>
      </c>
      <c r="K4054" s="2" t="s">
        <v>5</v>
      </c>
      <c r="L4054" s="2" t="s">
        <v>5</v>
      </c>
      <c r="M4054" s="2" t="s">
        <v>5</v>
      </c>
      <c r="N4054" s="4">
        <v>0</v>
      </c>
    </row>
    <row r="4055" spans="1:14" x14ac:dyDescent="0.25">
      <c r="A4055" s="2" t="s">
        <v>752</v>
      </c>
      <c r="B4055" s="2" t="s">
        <v>753</v>
      </c>
      <c r="C4055" s="3">
        <v>11.81</v>
      </c>
      <c r="D4055" s="4">
        <v>189.4324</v>
      </c>
      <c r="E4055" s="4">
        <v>106.17189999999999</v>
      </c>
      <c r="F4055" s="4">
        <f t="shared" si="265"/>
        <v>83.260500000000008</v>
      </c>
      <c r="G4055" s="5">
        <f t="shared" si="266"/>
        <v>0.43952618453865339</v>
      </c>
      <c r="H4055" s="2" t="s">
        <v>5</v>
      </c>
      <c r="I4055" s="6" t="s">
        <v>2300</v>
      </c>
      <c r="J4055" s="2" t="s">
        <v>5</v>
      </c>
      <c r="K4055" s="2" t="s">
        <v>5</v>
      </c>
      <c r="L4055" s="2" t="s">
        <v>5</v>
      </c>
      <c r="M4055" s="2" t="s">
        <v>5</v>
      </c>
      <c r="N4055" s="4">
        <v>0</v>
      </c>
    </row>
    <row r="4056" spans="1:14" x14ac:dyDescent="0.25">
      <c r="A4056" s="2" t="s">
        <v>274</v>
      </c>
      <c r="B4056" s="2" t="s">
        <v>275</v>
      </c>
      <c r="C4056" s="3">
        <v>28.9</v>
      </c>
      <c r="D4056" s="4">
        <v>465.57900000000001</v>
      </c>
      <c r="E4056" s="4">
        <v>104.04</v>
      </c>
      <c r="F4056" s="4">
        <f t="shared" si="265"/>
        <v>361.53899999999999</v>
      </c>
      <c r="G4056" s="5">
        <f t="shared" si="266"/>
        <v>0.77653631284916202</v>
      </c>
      <c r="H4056" s="2" t="s">
        <v>5</v>
      </c>
      <c r="I4056" s="6" t="s">
        <v>2300</v>
      </c>
      <c r="J4056" s="2" t="s">
        <v>5</v>
      </c>
      <c r="K4056" s="2" t="s">
        <v>5</v>
      </c>
      <c r="L4056" s="2" t="s">
        <v>5</v>
      </c>
      <c r="M4056" s="2" t="s">
        <v>5</v>
      </c>
      <c r="N4056" s="4">
        <v>0</v>
      </c>
    </row>
    <row r="4057" spans="1:14" x14ac:dyDescent="0.25">
      <c r="A4057" s="2" t="s">
        <v>274</v>
      </c>
      <c r="B4057" s="2" t="s">
        <v>275</v>
      </c>
      <c r="C4057" s="3">
        <v>49.9</v>
      </c>
      <c r="D4057" s="4">
        <v>803.88900000000001</v>
      </c>
      <c r="E4057" s="4">
        <v>179.64</v>
      </c>
      <c r="F4057" s="4">
        <f t="shared" si="265"/>
        <v>624.24900000000002</v>
      </c>
      <c r="G4057" s="5">
        <f t="shared" si="266"/>
        <v>0.77653631284916202</v>
      </c>
      <c r="H4057" s="2" t="s">
        <v>5</v>
      </c>
      <c r="I4057" s="6" t="s">
        <v>2300</v>
      </c>
      <c r="J4057" s="2" t="s">
        <v>5</v>
      </c>
      <c r="K4057" s="2" t="s">
        <v>5</v>
      </c>
      <c r="L4057" s="2" t="s">
        <v>5</v>
      </c>
      <c r="M4057" s="2" t="s">
        <v>5</v>
      </c>
      <c r="N4057" s="4">
        <v>0</v>
      </c>
    </row>
    <row r="4058" spans="1:14" x14ac:dyDescent="0.25">
      <c r="A4058" s="2" t="s">
        <v>274</v>
      </c>
      <c r="B4058" s="2" t="s">
        <v>275</v>
      </c>
      <c r="C4058" s="3">
        <v>16.399999999999999</v>
      </c>
      <c r="D4058" s="4">
        <v>264.20400000000001</v>
      </c>
      <c r="E4058" s="4">
        <v>59.04</v>
      </c>
      <c r="F4058" s="4">
        <f t="shared" si="265"/>
        <v>205.16400000000002</v>
      </c>
      <c r="G4058" s="5">
        <f t="shared" si="266"/>
        <v>0.77653631284916202</v>
      </c>
      <c r="H4058" s="2" t="s">
        <v>5</v>
      </c>
      <c r="I4058" s="6" t="s">
        <v>2300</v>
      </c>
      <c r="J4058" s="2" t="s">
        <v>5</v>
      </c>
      <c r="K4058" s="2" t="s">
        <v>5</v>
      </c>
      <c r="L4058" s="2" t="s">
        <v>5</v>
      </c>
      <c r="M4058" s="2" t="s">
        <v>5</v>
      </c>
      <c r="N4058" s="4">
        <v>0</v>
      </c>
    </row>
    <row r="4059" spans="1:14" x14ac:dyDescent="0.25">
      <c r="A4059" s="2" t="s">
        <v>274</v>
      </c>
      <c r="B4059" s="2" t="s">
        <v>275</v>
      </c>
      <c r="C4059" s="3">
        <v>39.799999999999997</v>
      </c>
      <c r="D4059" s="4">
        <v>641.178</v>
      </c>
      <c r="E4059" s="4">
        <v>143.28</v>
      </c>
      <c r="F4059" s="4">
        <f t="shared" si="265"/>
        <v>497.89800000000002</v>
      </c>
      <c r="G4059" s="5">
        <f t="shared" si="266"/>
        <v>0.77653631284916202</v>
      </c>
      <c r="H4059" s="2" t="s">
        <v>5</v>
      </c>
      <c r="I4059" s="6" t="s">
        <v>2300</v>
      </c>
      <c r="J4059" s="2" t="s">
        <v>5</v>
      </c>
      <c r="K4059" s="2" t="s">
        <v>5</v>
      </c>
      <c r="L4059" s="2" t="s">
        <v>5</v>
      </c>
      <c r="M4059" s="2" t="s">
        <v>5</v>
      </c>
      <c r="N4059" s="4">
        <v>0</v>
      </c>
    </row>
    <row r="4060" spans="1:14" x14ac:dyDescent="0.25">
      <c r="A4060" s="2" t="s">
        <v>274</v>
      </c>
      <c r="B4060" s="2" t="s">
        <v>275</v>
      </c>
      <c r="C4060" s="3">
        <v>40</v>
      </c>
      <c r="D4060" s="4">
        <v>644.4</v>
      </c>
      <c r="E4060" s="4">
        <v>144</v>
      </c>
      <c r="F4060" s="4">
        <f t="shared" si="265"/>
        <v>500.4</v>
      </c>
      <c r="G4060" s="5">
        <f t="shared" si="266"/>
        <v>0.77653631284916202</v>
      </c>
      <c r="H4060" s="2" t="s">
        <v>5</v>
      </c>
      <c r="I4060" s="6" t="s">
        <v>2300</v>
      </c>
      <c r="J4060" s="2" t="s">
        <v>5</v>
      </c>
      <c r="K4060" s="2" t="s">
        <v>5</v>
      </c>
      <c r="L4060" s="2" t="s">
        <v>5</v>
      </c>
      <c r="M4060" s="2" t="s">
        <v>5</v>
      </c>
      <c r="N4060" s="4">
        <v>0</v>
      </c>
    </row>
    <row r="4061" spans="1:14" x14ac:dyDescent="0.25">
      <c r="A4061" s="2" t="s">
        <v>274</v>
      </c>
      <c r="B4061" s="2" t="s">
        <v>275</v>
      </c>
      <c r="C4061" s="3">
        <v>90</v>
      </c>
      <c r="D4061" s="4">
        <v>1449.9</v>
      </c>
      <c r="E4061" s="4">
        <v>324</v>
      </c>
      <c r="F4061" s="4">
        <f t="shared" si="265"/>
        <v>1125.9000000000001</v>
      </c>
      <c r="G4061" s="5">
        <f t="shared" si="266"/>
        <v>0.77653631284916202</v>
      </c>
      <c r="H4061" s="2" t="s">
        <v>5</v>
      </c>
      <c r="I4061" s="6" t="s">
        <v>2300</v>
      </c>
      <c r="J4061" s="2" t="s">
        <v>5</v>
      </c>
      <c r="K4061" s="2" t="s">
        <v>5</v>
      </c>
      <c r="L4061" s="2" t="s">
        <v>5</v>
      </c>
      <c r="M4061" s="2" t="s">
        <v>5</v>
      </c>
      <c r="N4061" s="4">
        <v>0</v>
      </c>
    </row>
    <row r="4062" spans="1:14" x14ac:dyDescent="0.25">
      <c r="A4062" s="2" t="s">
        <v>276</v>
      </c>
      <c r="B4062" s="2" t="s">
        <v>277</v>
      </c>
      <c r="C4062" s="3">
        <v>14.82</v>
      </c>
      <c r="D4062" s="4">
        <v>256.08960000000002</v>
      </c>
      <c r="E4062" s="4">
        <v>74.099999999999994</v>
      </c>
      <c r="F4062" s="4">
        <f t="shared" si="265"/>
        <v>181.98960000000002</v>
      </c>
      <c r="G4062" s="5">
        <f t="shared" si="266"/>
        <v>0.71064814814814814</v>
      </c>
      <c r="H4062" s="2" t="s">
        <v>5</v>
      </c>
      <c r="I4062" s="6" t="s">
        <v>2300</v>
      </c>
      <c r="J4062" s="2" t="s">
        <v>5</v>
      </c>
      <c r="K4062" s="2" t="s">
        <v>5</v>
      </c>
      <c r="L4062" s="2" t="s">
        <v>5</v>
      </c>
      <c r="M4062" s="2" t="s">
        <v>5</v>
      </c>
      <c r="N4062" s="4">
        <v>0</v>
      </c>
    </row>
    <row r="4063" spans="1:14" x14ac:dyDescent="0.25">
      <c r="A4063" s="2" t="s">
        <v>276</v>
      </c>
      <c r="B4063" s="2" t="s">
        <v>277</v>
      </c>
      <c r="C4063" s="3">
        <v>15.13</v>
      </c>
      <c r="D4063" s="4">
        <v>261.44639999999998</v>
      </c>
      <c r="E4063" s="4">
        <v>75.650000000000006</v>
      </c>
      <c r="F4063" s="4">
        <f t="shared" si="265"/>
        <v>185.79639999999998</v>
      </c>
      <c r="G4063" s="5">
        <f t="shared" si="266"/>
        <v>0.71064814814814814</v>
      </c>
      <c r="H4063" s="2" t="s">
        <v>5</v>
      </c>
      <c r="I4063" s="6" t="s">
        <v>2300</v>
      </c>
      <c r="J4063" s="2" t="s">
        <v>5</v>
      </c>
      <c r="K4063" s="2" t="s">
        <v>5</v>
      </c>
      <c r="L4063" s="2" t="s">
        <v>5</v>
      </c>
      <c r="M4063" s="2" t="s">
        <v>5</v>
      </c>
      <c r="N4063" s="4">
        <v>0</v>
      </c>
    </row>
    <row r="4064" spans="1:14" x14ac:dyDescent="0.25">
      <c r="A4064" s="2" t="s">
        <v>276</v>
      </c>
      <c r="B4064" s="2" t="s">
        <v>277</v>
      </c>
      <c r="C4064" s="3">
        <v>127.3</v>
      </c>
      <c r="D4064" s="4">
        <v>2199.7440000000001</v>
      </c>
      <c r="E4064" s="4">
        <v>636.5</v>
      </c>
      <c r="F4064" s="4">
        <f t="shared" si="265"/>
        <v>1563.2440000000001</v>
      </c>
      <c r="G4064" s="5">
        <f t="shared" si="266"/>
        <v>0.71064814814814814</v>
      </c>
      <c r="H4064" s="2" t="s">
        <v>5</v>
      </c>
      <c r="I4064" s="6" t="s">
        <v>2300</v>
      </c>
      <c r="J4064" s="2" t="s">
        <v>5</v>
      </c>
      <c r="K4064" s="2" t="s">
        <v>5</v>
      </c>
      <c r="L4064" s="2" t="s">
        <v>5</v>
      </c>
      <c r="M4064" s="2" t="s">
        <v>5</v>
      </c>
      <c r="N4064" s="4">
        <v>0</v>
      </c>
    </row>
    <row r="4065" spans="1:14" x14ac:dyDescent="0.25">
      <c r="A4065" s="2" t="s">
        <v>276</v>
      </c>
      <c r="B4065" s="2" t="s">
        <v>277</v>
      </c>
      <c r="C4065" s="3">
        <v>46.18</v>
      </c>
      <c r="D4065" s="4">
        <v>797.99040000000002</v>
      </c>
      <c r="E4065" s="4">
        <v>230.9</v>
      </c>
      <c r="F4065" s="4">
        <f t="shared" ref="F4065:F4128" si="267">D4065-E4065</f>
        <v>567.09040000000005</v>
      </c>
      <c r="G4065" s="5">
        <f t="shared" ref="G4065:G4128" si="268">IF(((D4065)=0),0,(D4065-E4065)/ D4065)</f>
        <v>0.71064814814814814</v>
      </c>
      <c r="H4065" s="2" t="s">
        <v>5</v>
      </c>
      <c r="I4065" s="6" t="s">
        <v>2300</v>
      </c>
      <c r="J4065" s="2" t="s">
        <v>5</v>
      </c>
      <c r="K4065" s="2" t="s">
        <v>5</v>
      </c>
      <c r="L4065" s="2" t="s">
        <v>5</v>
      </c>
      <c r="M4065" s="2" t="s">
        <v>5</v>
      </c>
      <c r="N4065" s="4">
        <v>0</v>
      </c>
    </row>
    <row r="4066" spans="1:14" x14ac:dyDescent="0.25">
      <c r="A4066" s="2" t="s">
        <v>276</v>
      </c>
      <c r="B4066" s="2" t="s">
        <v>277</v>
      </c>
      <c r="C4066" s="3">
        <v>78.180000000000007</v>
      </c>
      <c r="D4066" s="4">
        <v>1350.9503999999999</v>
      </c>
      <c r="E4066" s="4">
        <v>390.9</v>
      </c>
      <c r="F4066" s="4">
        <f t="shared" si="267"/>
        <v>960.05039999999997</v>
      </c>
      <c r="G4066" s="5">
        <f t="shared" si="268"/>
        <v>0.71064814814814814</v>
      </c>
      <c r="H4066" s="2" t="s">
        <v>5</v>
      </c>
      <c r="I4066" s="6" t="s">
        <v>2300</v>
      </c>
      <c r="J4066" s="2" t="s">
        <v>5</v>
      </c>
      <c r="K4066" s="2" t="s">
        <v>5</v>
      </c>
      <c r="L4066" s="2" t="s">
        <v>5</v>
      </c>
      <c r="M4066" s="2" t="s">
        <v>5</v>
      </c>
      <c r="N4066" s="4">
        <v>0</v>
      </c>
    </row>
    <row r="4067" spans="1:14" x14ac:dyDescent="0.25">
      <c r="A4067" s="2" t="s">
        <v>276</v>
      </c>
      <c r="B4067" s="2" t="s">
        <v>277</v>
      </c>
      <c r="C4067" s="3">
        <v>59.25</v>
      </c>
      <c r="D4067" s="4">
        <v>1023.84</v>
      </c>
      <c r="E4067" s="4">
        <v>296.25</v>
      </c>
      <c r="F4067" s="4">
        <f t="shared" si="267"/>
        <v>727.59</v>
      </c>
      <c r="G4067" s="5">
        <f t="shared" si="268"/>
        <v>0.71064814814814814</v>
      </c>
      <c r="H4067" s="2" t="s">
        <v>5</v>
      </c>
      <c r="I4067" s="6" t="s">
        <v>2300</v>
      </c>
      <c r="J4067" s="2" t="s">
        <v>5</v>
      </c>
      <c r="K4067" s="2" t="s">
        <v>5</v>
      </c>
      <c r="L4067" s="2" t="s">
        <v>5</v>
      </c>
      <c r="M4067" s="2" t="s">
        <v>5</v>
      </c>
      <c r="N4067" s="4">
        <v>0</v>
      </c>
    </row>
    <row r="4068" spans="1:14" x14ac:dyDescent="0.25">
      <c r="A4068" s="2" t="s">
        <v>276</v>
      </c>
      <c r="B4068" s="2" t="s">
        <v>277</v>
      </c>
      <c r="C4068" s="3">
        <v>31.364999999999998</v>
      </c>
      <c r="D4068" s="4">
        <v>541.98720000000003</v>
      </c>
      <c r="E4068" s="4">
        <v>156.82499999999999</v>
      </c>
      <c r="F4068" s="4">
        <f t="shared" si="267"/>
        <v>385.16220000000004</v>
      </c>
      <c r="G4068" s="5">
        <f t="shared" si="268"/>
        <v>0.71064814814814814</v>
      </c>
      <c r="H4068" s="2" t="s">
        <v>5</v>
      </c>
      <c r="I4068" s="6" t="s">
        <v>2300</v>
      </c>
      <c r="J4068" s="2" t="s">
        <v>5</v>
      </c>
      <c r="K4068" s="2" t="s">
        <v>5</v>
      </c>
      <c r="L4068" s="2" t="s">
        <v>5</v>
      </c>
      <c r="M4068" s="2" t="s">
        <v>5</v>
      </c>
      <c r="N4068" s="4">
        <v>0</v>
      </c>
    </row>
    <row r="4069" spans="1:14" x14ac:dyDescent="0.25">
      <c r="A4069" s="2" t="s">
        <v>276</v>
      </c>
      <c r="B4069" s="2" t="s">
        <v>277</v>
      </c>
      <c r="C4069" s="3">
        <v>15.12</v>
      </c>
      <c r="D4069" s="4">
        <v>261.27359999999999</v>
      </c>
      <c r="E4069" s="4">
        <v>75.599999999999994</v>
      </c>
      <c r="F4069" s="4">
        <f t="shared" si="267"/>
        <v>185.67359999999999</v>
      </c>
      <c r="G4069" s="5">
        <f t="shared" si="268"/>
        <v>0.71064814814814814</v>
      </c>
      <c r="H4069" s="2" t="s">
        <v>5</v>
      </c>
      <c r="I4069" s="6" t="s">
        <v>2300</v>
      </c>
      <c r="J4069" s="2" t="s">
        <v>5</v>
      </c>
      <c r="K4069" s="2" t="s">
        <v>5</v>
      </c>
      <c r="L4069" s="2" t="s">
        <v>5</v>
      </c>
      <c r="M4069" s="2" t="s">
        <v>5</v>
      </c>
      <c r="N4069" s="4">
        <v>0</v>
      </c>
    </row>
    <row r="4070" spans="1:14" x14ac:dyDescent="0.25">
      <c r="A4070" s="2" t="s">
        <v>276</v>
      </c>
      <c r="B4070" s="2" t="s">
        <v>277</v>
      </c>
      <c r="C4070" s="3">
        <v>31.62</v>
      </c>
      <c r="D4070" s="4">
        <v>546.39359999999999</v>
      </c>
      <c r="E4070" s="4">
        <v>158.1</v>
      </c>
      <c r="F4070" s="4">
        <f t="shared" si="267"/>
        <v>388.29359999999997</v>
      </c>
      <c r="G4070" s="5">
        <f t="shared" si="268"/>
        <v>0.71064814814814814</v>
      </c>
      <c r="H4070" s="2" t="s">
        <v>5</v>
      </c>
      <c r="I4070" s="6" t="s">
        <v>2300</v>
      </c>
      <c r="J4070" s="2" t="s">
        <v>5</v>
      </c>
      <c r="K4070" s="2" t="s">
        <v>5</v>
      </c>
      <c r="L4070" s="2" t="s">
        <v>5</v>
      </c>
      <c r="M4070" s="2" t="s">
        <v>5</v>
      </c>
      <c r="N4070" s="4">
        <v>0</v>
      </c>
    </row>
    <row r="4071" spans="1:14" x14ac:dyDescent="0.25">
      <c r="A4071" s="2" t="s">
        <v>276</v>
      </c>
      <c r="B4071" s="2" t="s">
        <v>277</v>
      </c>
      <c r="C4071" s="3">
        <v>31.36</v>
      </c>
      <c r="D4071" s="4">
        <v>541.9008</v>
      </c>
      <c r="E4071" s="4">
        <v>156.80000000000001</v>
      </c>
      <c r="F4071" s="4">
        <f t="shared" si="267"/>
        <v>385.10079999999999</v>
      </c>
      <c r="G4071" s="5">
        <f t="shared" si="268"/>
        <v>0.71064814814814814</v>
      </c>
      <c r="H4071" s="2" t="s">
        <v>5</v>
      </c>
      <c r="I4071" s="6" t="s">
        <v>2300</v>
      </c>
      <c r="J4071" s="2" t="s">
        <v>5</v>
      </c>
      <c r="K4071" s="2" t="s">
        <v>5</v>
      </c>
      <c r="L4071" s="2" t="s">
        <v>5</v>
      </c>
      <c r="M4071" s="2" t="s">
        <v>5</v>
      </c>
      <c r="N4071" s="4">
        <v>0</v>
      </c>
    </row>
    <row r="4072" spans="1:14" x14ac:dyDescent="0.25">
      <c r="A4072" s="2" t="s">
        <v>278</v>
      </c>
      <c r="B4072" s="2" t="s">
        <v>279</v>
      </c>
      <c r="C4072" s="3">
        <v>43.24</v>
      </c>
      <c r="D4072" s="4">
        <v>291.0052</v>
      </c>
      <c r="E4072" s="4">
        <v>155.66399999999999</v>
      </c>
      <c r="F4072" s="4">
        <f t="shared" si="267"/>
        <v>135.34120000000001</v>
      </c>
      <c r="G4072" s="5">
        <f t="shared" si="268"/>
        <v>0.46508172362555728</v>
      </c>
      <c r="H4072" s="2" t="s">
        <v>5</v>
      </c>
      <c r="I4072" s="6" t="s">
        <v>2300</v>
      </c>
      <c r="J4072" s="2" t="s">
        <v>5</v>
      </c>
      <c r="K4072" s="2" t="s">
        <v>5</v>
      </c>
      <c r="L4072" s="2" t="s">
        <v>5</v>
      </c>
      <c r="M4072" s="2" t="s">
        <v>5</v>
      </c>
      <c r="N4072" s="4">
        <v>0</v>
      </c>
    </row>
    <row r="4073" spans="1:14" x14ac:dyDescent="0.25">
      <c r="A4073" s="2" t="s">
        <v>278</v>
      </c>
      <c r="B4073" s="2" t="s">
        <v>279</v>
      </c>
      <c r="C4073" s="3">
        <v>46.67</v>
      </c>
      <c r="D4073" s="4">
        <v>314.08909999999997</v>
      </c>
      <c r="E4073" s="4">
        <v>168.012</v>
      </c>
      <c r="F4073" s="4">
        <f t="shared" si="267"/>
        <v>146.07709999999997</v>
      </c>
      <c r="G4073" s="5">
        <f t="shared" si="268"/>
        <v>0.46508172362555716</v>
      </c>
      <c r="H4073" s="2" t="s">
        <v>5</v>
      </c>
      <c r="I4073" s="6" t="s">
        <v>2300</v>
      </c>
      <c r="J4073" s="2" t="s">
        <v>5</v>
      </c>
      <c r="K4073" s="2" t="s">
        <v>5</v>
      </c>
      <c r="L4073" s="2" t="s">
        <v>5</v>
      </c>
      <c r="M4073" s="2" t="s">
        <v>5</v>
      </c>
      <c r="N4073" s="4">
        <v>0</v>
      </c>
    </row>
    <row r="4074" spans="1:14" x14ac:dyDescent="0.25">
      <c r="A4074" s="2" t="s">
        <v>278</v>
      </c>
      <c r="B4074" s="2" t="s">
        <v>279</v>
      </c>
      <c r="C4074" s="3">
        <v>30.43</v>
      </c>
      <c r="D4074" s="4">
        <v>204.79390000000001</v>
      </c>
      <c r="E4074" s="4">
        <v>109.548</v>
      </c>
      <c r="F4074" s="4">
        <f t="shared" si="267"/>
        <v>95.245900000000006</v>
      </c>
      <c r="G4074" s="5">
        <f t="shared" si="268"/>
        <v>0.46508172362555722</v>
      </c>
      <c r="H4074" s="2" t="s">
        <v>5</v>
      </c>
      <c r="I4074" s="6" t="s">
        <v>2300</v>
      </c>
      <c r="J4074" s="2" t="s">
        <v>5</v>
      </c>
      <c r="K4074" s="2" t="s">
        <v>5</v>
      </c>
      <c r="L4074" s="2" t="s">
        <v>5</v>
      </c>
      <c r="M4074" s="2" t="s">
        <v>5</v>
      </c>
      <c r="N4074" s="4">
        <v>0</v>
      </c>
    </row>
    <row r="4075" spans="1:14" x14ac:dyDescent="0.25">
      <c r="A4075" s="2" t="s">
        <v>278</v>
      </c>
      <c r="B4075" s="2" t="s">
        <v>279</v>
      </c>
      <c r="C4075" s="3">
        <v>46.76</v>
      </c>
      <c r="D4075" s="4">
        <v>314.69479999999999</v>
      </c>
      <c r="E4075" s="4">
        <v>168.33600000000001</v>
      </c>
      <c r="F4075" s="4">
        <f t="shared" si="267"/>
        <v>146.35879999999997</v>
      </c>
      <c r="G4075" s="5">
        <f t="shared" si="268"/>
        <v>0.46508172362555716</v>
      </c>
      <c r="H4075" s="2" t="s">
        <v>5</v>
      </c>
      <c r="I4075" s="6" t="s">
        <v>2300</v>
      </c>
      <c r="J4075" s="2" t="s">
        <v>5</v>
      </c>
      <c r="K4075" s="2" t="s">
        <v>5</v>
      </c>
      <c r="L4075" s="2" t="s">
        <v>5</v>
      </c>
      <c r="M4075" s="2" t="s">
        <v>5</v>
      </c>
      <c r="N4075" s="4">
        <v>0</v>
      </c>
    </row>
    <row r="4076" spans="1:14" x14ac:dyDescent="0.25">
      <c r="A4076" s="2" t="s">
        <v>278</v>
      </c>
      <c r="B4076" s="2" t="s">
        <v>279</v>
      </c>
      <c r="C4076" s="3">
        <v>107.25</v>
      </c>
      <c r="D4076" s="4">
        <v>721.79250000000002</v>
      </c>
      <c r="E4076" s="4">
        <v>386.1</v>
      </c>
      <c r="F4076" s="4">
        <f t="shared" si="267"/>
        <v>335.6925</v>
      </c>
      <c r="G4076" s="5">
        <f t="shared" si="268"/>
        <v>0.46508172362555716</v>
      </c>
      <c r="H4076" s="2" t="s">
        <v>5</v>
      </c>
      <c r="I4076" s="6" t="s">
        <v>2300</v>
      </c>
      <c r="J4076" s="2" t="s">
        <v>5</v>
      </c>
      <c r="K4076" s="2" t="s">
        <v>5</v>
      </c>
      <c r="L4076" s="2" t="s">
        <v>5</v>
      </c>
      <c r="M4076" s="2" t="s">
        <v>5</v>
      </c>
      <c r="N4076" s="4">
        <v>0</v>
      </c>
    </row>
    <row r="4077" spans="1:14" x14ac:dyDescent="0.25">
      <c r="A4077" s="2" t="s">
        <v>278</v>
      </c>
      <c r="B4077" s="2" t="s">
        <v>279</v>
      </c>
      <c r="C4077" s="3">
        <v>31.38</v>
      </c>
      <c r="D4077" s="4">
        <v>211.1874</v>
      </c>
      <c r="E4077" s="4">
        <v>112.968</v>
      </c>
      <c r="F4077" s="4">
        <f t="shared" si="267"/>
        <v>98.219399999999993</v>
      </c>
      <c r="G4077" s="5">
        <f t="shared" si="268"/>
        <v>0.46508172362555716</v>
      </c>
      <c r="H4077" s="2" t="s">
        <v>5</v>
      </c>
      <c r="I4077" s="6" t="s">
        <v>2300</v>
      </c>
      <c r="J4077" s="2" t="s">
        <v>5</v>
      </c>
      <c r="K4077" s="2" t="s">
        <v>5</v>
      </c>
      <c r="L4077" s="2" t="s">
        <v>5</v>
      </c>
      <c r="M4077" s="2" t="s">
        <v>5</v>
      </c>
      <c r="N4077" s="4">
        <v>0</v>
      </c>
    </row>
    <row r="4078" spans="1:14" x14ac:dyDescent="0.25">
      <c r="A4078" s="2" t="s">
        <v>278</v>
      </c>
      <c r="B4078" s="2" t="s">
        <v>279</v>
      </c>
      <c r="C4078" s="3">
        <v>31.02</v>
      </c>
      <c r="D4078" s="4">
        <v>208.7646</v>
      </c>
      <c r="E4078" s="4">
        <v>111.672</v>
      </c>
      <c r="F4078" s="4">
        <f t="shared" si="267"/>
        <v>97.092600000000004</v>
      </c>
      <c r="G4078" s="5">
        <f t="shared" si="268"/>
        <v>0.46508172362555722</v>
      </c>
      <c r="H4078" s="2" t="s">
        <v>5</v>
      </c>
      <c r="I4078" s="6" t="s">
        <v>2300</v>
      </c>
      <c r="J4078" s="2" t="s">
        <v>5</v>
      </c>
      <c r="K4078" s="2" t="s">
        <v>5</v>
      </c>
      <c r="L4078" s="2" t="s">
        <v>5</v>
      </c>
      <c r="M4078" s="2" t="s">
        <v>5</v>
      </c>
      <c r="N4078" s="4">
        <v>0</v>
      </c>
    </row>
    <row r="4079" spans="1:14" x14ac:dyDescent="0.25">
      <c r="A4079" s="2" t="s">
        <v>280</v>
      </c>
      <c r="B4079" s="2" t="s">
        <v>281</v>
      </c>
      <c r="C4079" s="3">
        <v>15.82</v>
      </c>
      <c r="D4079" s="4">
        <v>257.07499999999999</v>
      </c>
      <c r="E4079" s="4">
        <v>109.158</v>
      </c>
      <c r="F4079" s="4">
        <f t="shared" si="267"/>
        <v>147.91699999999997</v>
      </c>
      <c r="G4079" s="5">
        <f t="shared" si="268"/>
        <v>0.57538461538461527</v>
      </c>
      <c r="H4079" s="2" t="s">
        <v>5</v>
      </c>
      <c r="I4079" s="6" t="s">
        <v>2300</v>
      </c>
      <c r="J4079" s="2" t="s">
        <v>5</v>
      </c>
      <c r="K4079" s="2" t="s">
        <v>5</v>
      </c>
      <c r="L4079" s="2" t="s">
        <v>5</v>
      </c>
      <c r="M4079" s="2" t="s">
        <v>5</v>
      </c>
      <c r="N4079" s="4">
        <v>0</v>
      </c>
    </row>
    <row r="4080" spans="1:14" x14ac:dyDescent="0.25">
      <c r="A4080" s="2" t="s">
        <v>280</v>
      </c>
      <c r="B4080" s="2" t="s">
        <v>281</v>
      </c>
      <c r="C4080" s="3">
        <v>260.95</v>
      </c>
      <c r="D4080" s="4">
        <v>4240.4375</v>
      </c>
      <c r="E4080" s="4">
        <v>1800.5550000000001</v>
      </c>
      <c r="F4080" s="4">
        <f t="shared" si="267"/>
        <v>2439.8824999999997</v>
      </c>
      <c r="G4080" s="5">
        <f t="shared" si="268"/>
        <v>0.57538461538461527</v>
      </c>
      <c r="H4080" s="2" t="s">
        <v>5</v>
      </c>
      <c r="I4080" s="6" t="s">
        <v>2300</v>
      </c>
      <c r="J4080" s="2" t="s">
        <v>5</v>
      </c>
      <c r="K4080" s="2" t="s">
        <v>5</v>
      </c>
      <c r="L4080" s="2" t="s">
        <v>5</v>
      </c>
      <c r="M4080" s="2" t="s">
        <v>5</v>
      </c>
      <c r="N4080" s="4">
        <v>0</v>
      </c>
    </row>
    <row r="4081" spans="1:14" x14ac:dyDescent="0.25">
      <c r="A4081" s="2" t="s">
        <v>280</v>
      </c>
      <c r="B4081" s="2" t="s">
        <v>281</v>
      </c>
      <c r="C4081" s="3">
        <v>29.82</v>
      </c>
      <c r="D4081" s="4">
        <v>484.57499999999999</v>
      </c>
      <c r="E4081" s="4">
        <v>205.75800000000001</v>
      </c>
      <c r="F4081" s="4">
        <f t="shared" si="267"/>
        <v>278.81700000000001</v>
      </c>
      <c r="G4081" s="5">
        <f t="shared" si="268"/>
        <v>0.57538461538461538</v>
      </c>
      <c r="H4081" s="2" t="s">
        <v>5</v>
      </c>
      <c r="I4081" s="6" t="s">
        <v>2300</v>
      </c>
      <c r="J4081" s="2" t="s">
        <v>5</v>
      </c>
      <c r="K4081" s="2" t="s">
        <v>5</v>
      </c>
      <c r="L4081" s="2" t="s">
        <v>5</v>
      </c>
      <c r="M4081" s="2" t="s">
        <v>5</v>
      </c>
      <c r="N4081" s="4">
        <v>0</v>
      </c>
    </row>
    <row r="4082" spans="1:14" x14ac:dyDescent="0.25">
      <c r="A4082" s="2" t="s">
        <v>280</v>
      </c>
      <c r="B4082" s="2" t="s">
        <v>281</v>
      </c>
      <c r="C4082" s="3">
        <v>46.395000000000003</v>
      </c>
      <c r="D4082" s="4">
        <v>753.91875000000005</v>
      </c>
      <c r="E4082" s="4">
        <v>320.12549999999999</v>
      </c>
      <c r="F4082" s="4">
        <f t="shared" si="267"/>
        <v>433.79325000000006</v>
      </c>
      <c r="G4082" s="5">
        <f t="shared" si="268"/>
        <v>0.57538461538461538</v>
      </c>
      <c r="H4082" s="2" t="s">
        <v>5</v>
      </c>
      <c r="I4082" s="6" t="s">
        <v>2300</v>
      </c>
      <c r="J4082" s="2" t="s">
        <v>5</v>
      </c>
      <c r="K4082" s="2" t="s">
        <v>5</v>
      </c>
      <c r="L4082" s="2" t="s">
        <v>5</v>
      </c>
      <c r="M4082" s="2" t="s">
        <v>5</v>
      </c>
      <c r="N4082" s="4">
        <v>0</v>
      </c>
    </row>
    <row r="4083" spans="1:14" x14ac:dyDescent="0.25">
      <c r="A4083" s="2" t="s">
        <v>280</v>
      </c>
      <c r="B4083" s="2" t="s">
        <v>281</v>
      </c>
      <c r="C4083" s="3">
        <v>30.434999999999999</v>
      </c>
      <c r="D4083" s="4">
        <v>494.56875000000002</v>
      </c>
      <c r="E4083" s="4">
        <v>210.00149999999999</v>
      </c>
      <c r="F4083" s="4">
        <f t="shared" si="267"/>
        <v>284.56725000000006</v>
      </c>
      <c r="G4083" s="5">
        <f t="shared" si="268"/>
        <v>0.57538461538461549</v>
      </c>
      <c r="H4083" s="2" t="s">
        <v>5</v>
      </c>
      <c r="I4083" s="6" t="s">
        <v>2300</v>
      </c>
      <c r="J4083" s="2" t="s">
        <v>5</v>
      </c>
      <c r="K4083" s="2" t="s">
        <v>5</v>
      </c>
      <c r="L4083" s="2" t="s">
        <v>5</v>
      </c>
      <c r="M4083" s="2" t="s">
        <v>5</v>
      </c>
      <c r="N4083" s="4">
        <v>0</v>
      </c>
    </row>
    <row r="4084" spans="1:14" x14ac:dyDescent="0.25">
      <c r="A4084" s="2" t="s">
        <v>280</v>
      </c>
      <c r="B4084" s="2" t="s">
        <v>281</v>
      </c>
      <c r="C4084" s="3">
        <v>109.19499999999999</v>
      </c>
      <c r="D4084" s="4">
        <v>1774.41875</v>
      </c>
      <c r="E4084" s="4">
        <v>753.44550000000004</v>
      </c>
      <c r="F4084" s="4">
        <f t="shared" si="267"/>
        <v>1020.97325</v>
      </c>
      <c r="G4084" s="5">
        <f t="shared" si="268"/>
        <v>0.57538461538461538</v>
      </c>
      <c r="H4084" s="2" t="s">
        <v>5</v>
      </c>
      <c r="I4084" s="6" t="s">
        <v>2300</v>
      </c>
      <c r="J4084" s="2" t="s">
        <v>5</v>
      </c>
      <c r="K4084" s="2" t="s">
        <v>5</v>
      </c>
      <c r="L4084" s="2" t="s">
        <v>5</v>
      </c>
      <c r="M4084" s="2" t="s">
        <v>5</v>
      </c>
      <c r="N4084" s="4">
        <v>0</v>
      </c>
    </row>
    <row r="4085" spans="1:14" x14ac:dyDescent="0.25">
      <c r="A4085" s="2" t="s">
        <v>280</v>
      </c>
      <c r="B4085" s="2" t="s">
        <v>281</v>
      </c>
      <c r="C4085" s="3">
        <v>76.844999999999999</v>
      </c>
      <c r="D4085" s="4">
        <v>1248.73125</v>
      </c>
      <c r="E4085" s="4">
        <v>530.23050000000001</v>
      </c>
      <c r="F4085" s="4">
        <f t="shared" si="267"/>
        <v>718.50075000000004</v>
      </c>
      <c r="G4085" s="5">
        <f t="shared" si="268"/>
        <v>0.57538461538461538</v>
      </c>
      <c r="H4085" s="2" t="s">
        <v>5</v>
      </c>
      <c r="I4085" s="6" t="s">
        <v>2300</v>
      </c>
      <c r="J4085" s="2" t="s">
        <v>5</v>
      </c>
      <c r="K4085" s="2" t="s">
        <v>5</v>
      </c>
      <c r="L4085" s="2" t="s">
        <v>5</v>
      </c>
      <c r="M4085" s="2" t="s">
        <v>5</v>
      </c>
      <c r="N4085" s="4">
        <v>0</v>
      </c>
    </row>
    <row r="4086" spans="1:14" x14ac:dyDescent="0.25">
      <c r="A4086" s="2" t="s">
        <v>280</v>
      </c>
      <c r="B4086" s="2" t="s">
        <v>281</v>
      </c>
      <c r="C4086" s="3">
        <v>58.29</v>
      </c>
      <c r="D4086" s="4">
        <v>947.21249999999998</v>
      </c>
      <c r="E4086" s="4">
        <v>402.20100000000002</v>
      </c>
      <c r="F4086" s="4">
        <f t="shared" si="267"/>
        <v>545.01149999999996</v>
      </c>
      <c r="G4086" s="5">
        <f t="shared" si="268"/>
        <v>0.57538461538461538</v>
      </c>
      <c r="H4086" s="2" t="s">
        <v>5</v>
      </c>
      <c r="I4086" s="6" t="s">
        <v>2300</v>
      </c>
      <c r="J4086" s="2" t="s">
        <v>5</v>
      </c>
      <c r="K4086" s="2" t="s">
        <v>5</v>
      </c>
      <c r="L4086" s="2" t="s">
        <v>5</v>
      </c>
      <c r="M4086" s="2" t="s">
        <v>5</v>
      </c>
      <c r="N4086" s="4">
        <v>0</v>
      </c>
    </row>
    <row r="4087" spans="1:14" x14ac:dyDescent="0.25">
      <c r="A4087" s="2" t="s">
        <v>280</v>
      </c>
      <c r="B4087" s="2" t="s">
        <v>281</v>
      </c>
      <c r="C4087" s="3">
        <v>45.604999999999997</v>
      </c>
      <c r="D4087" s="4">
        <v>741.08124999999995</v>
      </c>
      <c r="E4087" s="4">
        <v>314.67450000000002</v>
      </c>
      <c r="F4087" s="4">
        <f t="shared" si="267"/>
        <v>426.40674999999993</v>
      </c>
      <c r="G4087" s="5">
        <f t="shared" si="268"/>
        <v>0.57538461538461527</v>
      </c>
      <c r="H4087" s="2" t="s">
        <v>5</v>
      </c>
      <c r="I4087" s="6" t="s">
        <v>2300</v>
      </c>
      <c r="J4087" s="2" t="s">
        <v>5</v>
      </c>
      <c r="K4087" s="2" t="s">
        <v>5</v>
      </c>
      <c r="L4087" s="2" t="s">
        <v>5</v>
      </c>
      <c r="M4087" s="2" t="s">
        <v>5</v>
      </c>
      <c r="N4087" s="4">
        <v>0</v>
      </c>
    </row>
    <row r="4088" spans="1:14" x14ac:dyDescent="0.25">
      <c r="A4088" s="2" t="s">
        <v>280</v>
      </c>
      <c r="B4088" s="2" t="s">
        <v>281</v>
      </c>
      <c r="C4088" s="3">
        <v>15.33</v>
      </c>
      <c r="D4088" s="4">
        <v>249.11250000000001</v>
      </c>
      <c r="E4088" s="4">
        <v>105.777</v>
      </c>
      <c r="F4088" s="4">
        <f t="shared" si="267"/>
        <v>143.33550000000002</v>
      </c>
      <c r="G4088" s="5">
        <f t="shared" si="268"/>
        <v>0.57538461538461549</v>
      </c>
      <c r="H4088" s="2" t="s">
        <v>5</v>
      </c>
      <c r="I4088" s="6" t="s">
        <v>2300</v>
      </c>
      <c r="J4088" s="2" t="s">
        <v>5</v>
      </c>
      <c r="K4088" s="2" t="s">
        <v>5</v>
      </c>
      <c r="L4088" s="2" t="s">
        <v>5</v>
      </c>
      <c r="M4088" s="2" t="s">
        <v>5</v>
      </c>
      <c r="N4088" s="4">
        <v>0</v>
      </c>
    </row>
    <row r="4089" spans="1:14" x14ac:dyDescent="0.25">
      <c r="A4089" s="2" t="s">
        <v>280</v>
      </c>
      <c r="B4089" s="2" t="s">
        <v>281</v>
      </c>
      <c r="C4089" s="3">
        <v>46.18</v>
      </c>
      <c r="D4089" s="4">
        <v>750.42499999999995</v>
      </c>
      <c r="E4089" s="4">
        <v>318.642</v>
      </c>
      <c r="F4089" s="4">
        <f t="shared" si="267"/>
        <v>431.78299999999996</v>
      </c>
      <c r="G4089" s="5">
        <f t="shared" si="268"/>
        <v>0.57538461538461538</v>
      </c>
      <c r="H4089" s="2" t="s">
        <v>5</v>
      </c>
      <c r="I4089" s="6" t="s">
        <v>2300</v>
      </c>
      <c r="J4089" s="2" t="s">
        <v>5</v>
      </c>
      <c r="K4089" s="2" t="s">
        <v>5</v>
      </c>
      <c r="L4089" s="2" t="s">
        <v>5</v>
      </c>
      <c r="M4089" s="2" t="s">
        <v>5</v>
      </c>
      <c r="N4089" s="4">
        <v>0</v>
      </c>
    </row>
    <row r="4090" spans="1:14" x14ac:dyDescent="0.25">
      <c r="A4090" s="2" t="s">
        <v>280</v>
      </c>
      <c r="B4090" s="2" t="s">
        <v>281</v>
      </c>
      <c r="C4090" s="3">
        <v>17.122</v>
      </c>
      <c r="D4090" s="4">
        <v>278.23250000000002</v>
      </c>
      <c r="E4090" s="4">
        <v>118.1418</v>
      </c>
      <c r="F4090" s="4">
        <f t="shared" si="267"/>
        <v>160.09070000000003</v>
      </c>
      <c r="G4090" s="5">
        <f t="shared" si="268"/>
        <v>0.57538461538461549</v>
      </c>
      <c r="H4090" s="2" t="s">
        <v>5</v>
      </c>
      <c r="I4090" s="6" t="s">
        <v>2300</v>
      </c>
      <c r="J4090" s="2" t="s">
        <v>5</v>
      </c>
      <c r="K4090" s="2" t="s">
        <v>5</v>
      </c>
      <c r="L4090" s="2" t="s">
        <v>5</v>
      </c>
      <c r="M4090" s="2" t="s">
        <v>5</v>
      </c>
      <c r="N4090" s="4">
        <v>0</v>
      </c>
    </row>
    <row r="4091" spans="1:14" x14ac:dyDescent="0.25">
      <c r="A4091" s="2" t="s">
        <v>1307</v>
      </c>
      <c r="B4091" s="2" t="s">
        <v>1308</v>
      </c>
      <c r="C4091" s="3">
        <v>36</v>
      </c>
      <c r="D4091" s="4">
        <v>722.88</v>
      </c>
      <c r="E4091" s="4">
        <v>270</v>
      </c>
      <c r="F4091" s="4">
        <f t="shared" si="267"/>
        <v>452.88</v>
      </c>
      <c r="G4091" s="5">
        <f t="shared" si="268"/>
        <v>0.62649402390438247</v>
      </c>
      <c r="H4091" s="2" t="s">
        <v>5</v>
      </c>
      <c r="I4091" s="6" t="s">
        <v>2300</v>
      </c>
      <c r="J4091" s="2" t="s">
        <v>5</v>
      </c>
      <c r="K4091" s="2" t="s">
        <v>5</v>
      </c>
      <c r="L4091" s="2" t="s">
        <v>5</v>
      </c>
      <c r="M4091" s="2" t="s">
        <v>5</v>
      </c>
      <c r="N4091" s="4">
        <v>0</v>
      </c>
    </row>
    <row r="4092" spans="1:14" x14ac:dyDescent="0.25">
      <c r="A4092" s="2" t="s">
        <v>1307</v>
      </c>
      <c r="B4092" s="2" t="s">
        <v>1308</v>
      </c>
      <c r="C4092" s="3">
        <v>36</v>
      </c>
      <c r="D4092" s="4">
        <v>722.88</v>
      </c>
      <c r="E4092" s="4">
        <v>270</v>
      </c>
      <c r="F4092" s="4">
        <f t="shared" si="267"/>
        <v>452.88</v>
      </c>
      <c r="G4092" s="5">
        <f t="shared" si="268"/>
        <v>0.62649402390438247</v>
      </c>
      <c r="H4092" s="2" t="s">
        <v>5</v>
      </c>
      <c r="I4092" s="6" t="s">
        <v>2300</v>
      </c>
      <c r="J4092" s="2" t="s">
        <v>5</v>
      </c>
      <c r="K4092" s="2" t="s">
        <v>5</v>
      </c>
      <c r="L4092" s="2" t="s">
        <v>5</v>
      </c>
      <c r="M4092" s="2" t="s">
        <v>5</v>
      </c>
      <c r="N4092" s="4">
        <v>0</v>
      </c>
    </row>
    <row r="4093" spans="1:14" x14ac:dyDescent="0.25">
      <c r="A4093" s="2" t="s">
        <v>282</v>
      </c>
      <c r="B4093" s="2" t="s">
        <v>283</v>
      </c>
      <c r="C4093" s="3">
        <v>11.02</v>
      </c>
      <c r="D4093" s="4">
        <v>119.78740000000001</v>
      </c>
      <c r="E4093" s="4">
        <v>66.009799999999998</v>
      </c>
      <c r="F4093" s="4">
        <f t="shared" si="267"/>
        <v>53.777600000000007</v>
      </c>
      <c r="G4093" s="5">
        <f t="shared" si="268"/>
        <v>0.44894204231830731</v>
      </c>
      <c r="H4093" s="2" t="s">
        <v>5</v>
      </c>
      <c r="I4093" s="6" t="s">
        <v>2300</v>
      </c>
      <c r="J4093" s="2" t="s">
        <v>5</v>
      </c>
      <c r="K4093" s="2" t="s">
        <v>5</v>
      </c>
      <c r="L4093" s="2" t="s">
        <v>5</v>
      </c>
      <c r="M4093" s="2" t="s">
        <v>5</v>
      </c>
      <c r="N4093" s="4">
        <v>0</v>
      </c>
    </row>
    <row r="4094" spans="1:14" x14ac:dyDescent="0.25">
      <c r="A4094" s="2" t="s">
        <v>282</v>
      </c>
      <c r="B4094" s="2" t="s">
        <v>283</v>
      </c>
      <c r="C4094" s="3">
        <v>10</v>
      </c>
      <c r="D4094" s="4">
        <v>108.7</v>
      </c>
      <c r="E4094" s="4">
        <v>59.9</v>
      </c>
      <c r="F4094" s="4">
        <f t="shared" si="267"/>
        <v>48.800000000000004</v>
      </c>
      <c r="G4094" s="5">
        <f t="shared" si="268"/>
        <v>0.44894204231830731</v>
      </c>
      <c r="H4094" s="2" t="s">
        <v>5</v>
      </c>
      <c r="I4094" s="6" t="s">
        <v>2300</v>
      </c>
      <c r="J4094" s="2" t="s">
        <v>5</v>
      </c>
      <c r="K4094" s="2" t="s">
        <v>5</v>
      </c>
      <c r="L4094" s="2" t="s">
        <v>5</v>
      </c>
      <c r="M4094" s="2" t="s">
        <v>5</v>
      </c>
      <c r="N4094" s="4">
        <v>0</v>
      </c>
    </row>
    <row r="4095" spans="1:14" x14ac:dyDescent="0.25">
      <c r="A4095" s="2" t="s">
        <v>282</v>
      </c>
      <c r="B4095" s="2" t="s">
        <v>283</v>
      </c>
      <c r="C4095" s="3">
        <v>10</v>
      </c>
      <c r="D4095" s="4">
        <v>108.7</v>
      </c>
      <c r="E4095" s="4">
        <v>59.9</v>
      </c>
      <c r="F4095" s="4">
        <f t="shared" si="267"/>
        <v>48.800000000000004</v>
      </c>
      <c r="G4095" s="5">
        <f t="shared" si="268"/>
        <v>0.44894204231830731</v>
      </c>
      <c r="H4095" s="2" t="s">
        <v>5</v>
      </c>
      <c r="I4095" s="6" t="s">
        <v>2300</v>
      </c>
      <c r="J4095" s="2" t="s">
        <v>5</v>
      </c>
      <c r="K4095" s="2" t="s">
        <v>5</v>
      </c>
      <c r="L4095" s="2" t="s">
        <v>5</v>
      </c>
      <c r="M4095" s="2" t="s">
        <v>5</v>
      </c>
      <c r="N4095" s="4">
        <v>0</v>
      </c>
    </row>
    <row r="4096" spans="1:14" x14ac:dyDescent="0.25">
      <c r="A4096" s="2" t="s">
        <v>282</v>
      </c>
      <c r="B4096" s="2" t="s">
        <v>283</v>
      </c>
      <c r="C4096" s="3">
        <v>5</v>
      </c>
      <c r="D4096" s="4">
        <v>54.35</v>
      </c>
      <c r="E4096" s="4">
        <v>29.95</v>
      </c>
      <c r="F4096" s="4">
        <f t="shared" si="267"/>
        <v>24.400000000000002</v>
      </c>
      <c r="G4096" s="5">
        <f t="shared" si="268"/>
        <v>0.44894204231830731</v>
      </c>
      <c r="H4096" s="2" t="s">
        <v>5</v>
      </c>
      <c r="I4096" s="6" t="s">
        <v>2300</v>
      </c>
      <c r="J4096" s="2" t="s">
        <v>5</v>
      </c>
      <c r="K4096" s="2" t="s">
        <v>5</v>
      </c>
      <c r="L4096" s="2" t="s">
        <v>5</v>
      </c>
      <c r="M4096" s="2" t="s">
        <v>5</v>
      </c>
      <c r="N4096" s="4">
        <v>0</v>
      </c>
    </row>
    <row r="4097" spans="1:14" x14ac:dyDescent="0.25">
      <c r="A4097" s="2" t="s">
        <v>282</v>
      </c>
      <c r="B4097" s="2" t="s">
        <v>283</v>
      </c>
      <c r="C4097" s="3">
        <v>23.68</v>
      </c>
      <c r="D4097" s="4">
        <v>257.40159999999997</v>
      </c>
      <c r="E4097" s="4">
        <v>141.8432</v>
      </c>
      <c r="F4097" s="4">
        <f t="shared" si="267"/>
        <v>115.55839999999998</v>
      </c>
      <c r="G4097" s="5">
        <f t="shared" si="268"/>
        <v>0.4489420423183072</v>
      </c>
      <c r="H4097" s="2" t="s">
        <v>5</v>
      </c>
      <c r="I4097" s="6" t="s">
        <v>2300</v>
      </c>
      <c r="J4097" s="2" t="s">
        <v>5</v>
      </c>
      <c r="K4097" s="2" t="s">
        <v>5</v>
      </c>
      <c r="L4097" s="2" t="s">
        <v>5</v>
      </c>
      <c r="M4097" s="2" t="s">
        <v>5</v>
      </c>
      <c r="N4097" s="4">
        <v>0</v>
      </c>
    </row>
    <row r="4098" spans="1:14" x14ac:dyDescent="0.25">
      <c r="A4098" s="2" t="s">
        <v>282</v>
      </c>
      <c r="B4098" s="2" t="s">
        <v>283</v>
      </c>
      <c r="C4098" s="3">
        <v>20</v>
      </c>
      <c r="D4098" s="4">
        <v>217.4</v>
      </c>
      <c r="E4098" s="4">
        <v>119.8</v>
      </c>
      <c r="F4098" s="4">
        <f t="shared" si="267"/>
        <v>97.600000000000009</v>
      </c>
      <c r="G4098" s="5">
        <f t="shared" si="268"/>
        <v>0.44894204231830731</v>
      </c>
      <c r="H4098" s="2" t="s">
        <v>5</v>
      </c>
      <c r="I4098" s="6" t="s">
        <v>2300</v>
      </c>
      <c r="J4098" s="2" t="s">
        <v>5</v>
      </c>
      <c r="K4098" s="2" t="s">
        <v>5</v>
      </c>
      <c r="L4098" s="2" t="s">
        <v>5</v>
      </c>
      <c r="M4098" s="2" t="s">
        <v>5</v>
      </c>
      <c r="N4098" s="4">
        <v>0</v>
      </c>
    </row>
    <row r="4099" spans="1:14" x14ac:dyDescent="0.25">
      <c r="A4099" s="2" t="s">
        <v>282</v>
      </c>
      <c r="B4099" s="2" t="s">
        <v>283</v>
      </c>
      <c r="C4099" s="3">
        <v>5</v>
      </c>
      <c r="D4099" s="4">
        <v>54.35</v>
      </c>
      <c r="E4099" s="4">
        <v>29.95</v>
      </c>
      <c r="F4099" s="4">
        <f t="shared" si="267"/>
        <v>24.400000000000002</v>
      </c>
      <c r="G4099" s="5">
        <f t="shared" si="268"/>
        <v>0.44894204231830731</v>
      </c>
      <c r="H4099" s="2" t="s">
        <v>5</v>
      </c>
      <c r="I4099" s="6" t="s">
        <v>2300</v>
      </c>
      <c r="J4099" s="2" t="s">
        <v>5</v>
      </c>
      <c r="K4099" s="2" t="s">
        <v>5</v>
      </c>
      <c r="L4099" s="2" t="s">
        <v>5</v>
      </c>
      <c r="M4099" s="2" t="s">
        <v>5</v>
      </c>
      <c r="N4099" s="4">
        <v>0</v>
      </c>
    </row>
    <row r="4100" spans="1:14" x14ac:dyDescent="0.25">
      <c r="A4100" s="2" t="s">
        <v>1309</v>
      </c>
      <c r="B4100" s="2" t="s">
        <v>1310</v>
      </c>
      <c r="C4100" s="3">
        <v>29.99</v>
      </c>
      <c r="D4100" s="4">
        <v>341.58609999999999</v>
      </c>
      <c r="E4100" s="4">
        <v>365.87799999999999</v>
      </c>
      <c r="F4100" s="4">
        <f t="shared" si="267"/>
        <v>-24.291899999999998</v>
      </c>
      <c r="G4100" s="5">
        <f t="shared" si="268"/>
        <v>-7.1115013169446878E-2</v>
      </c>
      <c r="H4100" s="2" t="s">
        <v>5</v>
      </c>
      <c r="I4100" s="6" t="s">
        <v>2300</v>
      </c>
      <c r="J4100" s="2" t="s">
        <v>5</v>
      </c>
      <c r="K4100" s="2" t="s">
        <v>5</v>
      </c>
      <c r="L4100" s="2" t="s">
        <v>5</v>
      </c>
      <c r="M4100" s="2" t="s">
        <v>5</v>
      </c>
      <c r="N4100" s="4">
        <v>0</v>
      </c>
    </row>
    <row r="4101" spans="1:14" x14ac:dyDescent="0.25">
      <c r="A4101" s="2" t="s">
        <v>1309</v>
      </c>
      <c r="B4101" s="2" t="s">
        <v>1310</v>
      </c>
      <c r="C4101" s="3">
        <v>15.6</v>
      </c>
      <c r="D4101" s="4">
        <v>177.684</v>
      </c>
      <c r="E4101" s="4">
        <v>190.32</v>
      </c>
      <c r="F4101" s="4">
        <f t="shared" si="267"/>
        <v>-12.635999999999996</v>
      </c>
      <c r="G4101" s="5">
        <f t="shared" si="268"/>
        <v>-7.1115013169446864E-2</v>
      </c>
      <c r="H4101" s="2" t="s">
        <v>5</v>
      </c>
      <c r="I4101" s="6" t="s">
        <v>2300</v>
      </c>
      <c r="J4101" s="2" t="s">
        <v>5</v>
      </c>
      <c r="K4101" s="2" t="s">
        <v>5</v>
      </c>
      <c r="L4101" s="2" t="s">
        <v>5</v>
      </c>
      <c r="M4101" s="2" t="s">
        <v>5</v>
      </c>
      <c r="N4101" s="4">
        <v>0</v>
      </c>
    </row>
    <row r="4102" spans="1:14" x14ac:dyDescent="0.25">
      <c r="A4102" s="2" t="s">
        <v>1309</v>
      </c>
      <c r="B4102" s="2" t="s">
        <v>1310</v>
      </c>
      <c r="C4102" s="3">
        <v>14.71</v>
      </c>
      <c r="D4102" s="4">
        <v>167.54689999999999</v>
      </c>
      <c r="E4102" s="4">
        <v>179.46199999999999</v>
      </c>
      <c r="F4102" s="4">
        <f t="shared" si="267"/>
        <v>-11.915099999999995</v>
      </c>
      <c r="G4102" s="5">
        <f t="shared" si="268"/>
        <v>-7.1115013169446864E-2</v>
      </c>
      <c r="H4102" s="2" t="s">
        <v>5</v>
      </c>
      <c r="I4102" s="6" t="s">
        <v>2300</v>
      </c>
      <c r="J4102" s="2" t="s">
        <v>5</v>
      </c>
      <c r="K4102" s="2" t="s">
        <v>5</v>
      </c>
      <c r="L4102" s="2" t="s">
        <v>5</v>
      </c>
      <c r="M4102" s="2" t="s">
        <v>5</v>
      </c>
      <c r="N4102" s="4">
        <v>0</v>
      </c>
    </row>
    <row r="4103" spans="1:14" x14ac:dyDescent="0.25">
      <c r="A4103" s="2" t="s">
        <v>754</v>
      </c>
      <c r="B4103" s="2" t="s">
        <v>755</v>
      </c>
      <c r="C4103" s="3">
        <v>4.79</v>
      </c>
      <c r="D4103" s="4">
        <v>111.5591</v>
      </c>
      <c r="E4103" s="4">
        <v>61.407800000000002</v>
      </c>
      <c r="F4103" s="4">
        <f t="shared" si="267"/>
        <v>50.151299999999999</v>
      </c>
      <c r="G4103" s="5">
        <f t="shared" si="268"/>
        <v>0.44954916273078571</v>
      </c>
      <c r="H4103" s="2" t="s">
        <v>5</v>
      </c>
      <c r="I4103" s="6" t="s">
        <v>2300</v>
      </c>
      <c r="J4103" s="2" t="s">
        <v>5</v>
      </c>
      <c r="K4103" s="2" t="s">
        <v>5</v>
      </c>
      <c r="L4103" s="2" t="s">
        <v>5</v>
      </c>
      <c r="M4103" s="2" t="s">
        <v>5</v>
      </c>
      <c r="N4103" s="4">
        <v>0</v>
      </c>
    </row>
    <row r="4104" spans="1:14" x14ac:dyDescent="0.25">
      <c r="A4104" s="2" t="s">
        <v>754</v>
      </c>
      <c r="B4104" s="2" t="s">
        <v>755</v>
      </c>
      <c r="C4104" s="3">
        <v>5</v>
      </c>
      <c r="D4104" s="4">
        <v>116.45</v>
      </c>
      <c r="E4104" s="4">
        <v>64.099999999999994</v>
      </c>
      <c r="F4104" s="4">
        <f t="shared" si="267"/>
        <v>52.350000000000009</v>
      </c>
      <c r="G4104" s="5">
        <f t="shared" si="268"/>
        <v>0.44954916273078582</v>
      </c>
      <c r="H4104" s="2" t="s">
        <v>5</v>
      </c>
      <c r="I4104" s="6" t="s">
        <v>2300</v>
      </c>
      <c r="J4104" s="2" t="s">
        <v>5</v>
      </c>
      <c r="K4104" s="2" t="s">
        <v>5</v>
      </c>
      <c r="L4104" s="2" t="s">
        <v>5</v>
      </c>
      <c r="M4104" s="2" t="s">
        <v>5</v>
      </c>
      <c r="N4104" s="4">
        <v>0</v>
      </c>
    </row>
    <row r="4105" spans="1:14" x14ac:dyDescent="0.25">
      <c r="A4105" s="2" t="s">
        <v>754</v>
      </c>
      <c r="B4105" s="2" t="s">
        <v>755</v>
      </c>
      <c r="C4105" s="3">
        <v>5</v>
      </c>
      <c r="D4105" s="4">
        <v>116.45</v>
      </c>
      <c r="E4105" s="4">
        <v>64.099999999999994</v>
      </c>
      <c r="F4105" s="4">
        <f t="shared" si="267"/>
        <v>52.350000000000009</v>
      </c>
      <c r="G4105" s="5">
        <f t="shared" si="268"/>
        <v>0.44954916273078582</v>
      </c>
      <c r="H4105" s="2" t="s">
        <v>5</v>
      </c>
      <c r="I4105" s="6" t="s">
        <v>2300</v>
      </c>
      <c r="J4105" s="2" t="s">
        <v>5</v>
      </c>
      <c r="K4105" s="2" t="s">
        <v>5</v>
      </c>
      <c r="L4105" s="2" t="s">
        <v>5</v>
      </c>
      <c r="M4105" s="2" t="s">
        <v>5</v>
      </c>
      <c r="N4105" s="4">
        <v>0</v>
      </c>
    </row>
    <row r="4106" spans="1:14" x14ac:dyDescent="0.25">
      <c r="A4106" s="2" t="s">
        <v>754</v>
      </c>
      <c r="B4106" s="2" t="s">
        <v>755</v>
      </c>
      <c r="C4106" s="3">
        <v>9.7899999999999991</v>
      </c>
      <c r="D4106" s="4">
        <v>228.00909999999999</v>
      </c>
      <c r="E4106" s="4">
        <v>125.5078</v>
      </c>
      <c r="F4106" s="4">
        <f t="shared" si="267"/>
        <v>102.50129999999999</v>
      </c>
      <c r="G4106" s="5">
        <f t="shared" si="268"/>
        <v>0.44954916273078571</v>
      </c>
      <c r="H4106" s="2" t="s">
        <v>5</v>
      </c>
      <c r="I4106" s="6" t="s">
        <v>2300</v>
      </c>
      <c r="J4106" s="2" t="s">
        <v>5</v>
      </c>
      <c r="K4106" s="2" t="s">
        <v>5</v>
      </c>
      <c r="L4106" s="2" t="s">
        <v>5</v>
      </c>
      <c r="M4106" s="2" t="s">
        <v>5</v>
      </c>
      <c r="N4106" s="4">
        <v>0</v>
      </c>
    </row>
    <row r="4107" spans="1:14" x14ac:dyDescent="0.25">
      <c r="A4107" s="2" t="s">
        <v>754</v>
      </c>
      <c r="B4107" s="2" t="s">
        <v>755</v>
      </c>
      <c r="C4107" s="3">
        <v>4.49</v>
      </c>
      <c r="D4107" s="4">
        <v>104.57210000000001</v>
      </c>
      <c r="E4107" s="4">
        <v>57.561799999999998</v>
      </c>
      <c r="F4107" s="4">
        <f t="shared" si="267"/>
        <v>47.010300000000008</v>
      </c>
      <c r="G4107" s="5">
        <f t="shared" si="268"/>
        <v>0.44954916273078582</v>
      </c>
      <c r="H4107" s="2" t="s">
        <v>5</v>
      </c>
      <c r="I4107" s="6" t="s">
        <v>2300</v>
      </c>
      <c r="J4107" s="2" t="s">
        <v>5</v>
      </c>
      <c r="K4107" s="2" t="s">
        <v>5</v>
      </c>
      <c r="L4107" s="2" t="s">
        <v>5</v>
      </c>
      <c r="M4107" s="2" t="s">
        <v>5</v>
      </c>
      <c r="N4107" s="4">
        <v>0</v>
      </c>
    </row>
    <row r="4108" spans="1:14" x14ac:dyDescent="0.25">
      <c r="A4108" s="2" t="s">
        <v>1311</v>
      </c>
      <c r="B4108" s="2" t="s">
        <v>1312</v>
      </c>
      <c r="C4108" s="3">
        <v>9.8000000000000007</v>
      </c>
      <c r="D4108" s="4">
        <v>171.20599999999999</v>
      </c>
      <c r="E4108" s="4">
        <v>97.313999999999993</v>
      </c>
      <c r="F4108" s="4">
        <f t="shared" si="267"/>
        <v>73.891999999999996</v>
      </c>
      <c r="G4108" s="5">
        <f t="shared" si="268"/>
        <v>0.43159702346880369</v>
      </c>
      <c r="H4108" s="2" t="s">
        <v>5</v>
      </c>
      <c r="I4108" s="6" t="s">
        <v>2300</v>
      </c>
      <c r="J4108" s="2" t="s">
        <v>5</v>
      </c>
      <c r="K4108" s="2" t="s">
        <v>5</v>
      </c>
      <c r="L4108" s="2" t="s">
        <v>5</v>
      </c>
      <c r="M4108" s="2" t="s">
        <v>5</v>
      </c>
      <c r="N4108" s="4">
        <v>0</v>
      </c>
    </row>
    <row r="4109" spans="1:14" x14ac:dyDescent="0.25">
      <c r="A4109" s="2" t="s">
        <v>1311</v>
      </c>
      <c r="B4109" s="2" t="s">
        <v>1312</v>
      </c>
      <c r="C4109" s="3">
        <v>4.88</v>
      </c>
      <c r="D4109" s="4">
        <v>85.253600000000006</v>
      </c>
      <c r="E4109" s="4">
        <v>48.458399999999997</v>
      </c>
      <c r="F4109" s="4">
        <f t="shared" si="267"/>
        <v>36.795200000000008</v>
      </c>
      <c r="G4109" s="5">
        <f t="shared" si="268"/>
        <v>0.43159702346880374</v>
      </c>
      <c r="H4109" s="2" t="s">
        <v>5</v>
      </c>
      <c r="I4109" s="6" t="s">
        <v>2300</v>
      </c>
      <c r="J4109" s="2" t="s">
        <v>5</v>
      </c>
      <c r="K4109" s="2" t="s">
        <v>5</v>
      </c>
      <c r="L4109" s="2" t="s">
        <v>5</v>
      </c>
      <c r="M4109" s="2" t="s">
        <v>5</v>
      </c>
      <c r="N4109" s="4">
        <v>0</v>
      </c>
    </row>
    <row r="4110" spans="1:14" x14ac:dyDescent="0.25">
      <c r="A4110" s="2" t="s">
        <v>1330</v>
      </c>
      <c r="B4110" s="2" t="s">
        <v>1331</v>
      </c>
      <c r="C4110" s="3">
        <v>15.01</v>
      </c>
      <c r="D4110" s="4">
        <v>173.9659</v>
      </c>
      <c r="E4110" s="4">
        <v>109.57299999999999</v>
      </c>
      <c r="F4110" s="4">
        <f t="shared" si="267"/>
        <v>64.392900000000012</v>
      </c>
      <c r="G4110" s="5">
        <f t="shared" si="268"/>
        <v>0.37014667817083696</v>
      </c>
      <c r="H4110" s="2" t="s">
        <v>5</v>
      </c>
      <c r="I4110" s="6" t="s">
        <v>2300</v>
      </c>
      <c r="J4110" s="2" t="s">
        <v>5</v>
      </c>
      <c r="K4110" s="2" t="s">
        <v>5</v>
      </c>
      <c r="L4110" s="2" t="s">
        <v>5</v>
      </c>
      <c r="M4110" s="2" t="s">
        <v>5</v>
      </c>
      <c r="N4110" s="4">
        <v>0</v>
      </c>
    </row>
    <row r="4111" spans="1:14" x14ac:dyDescent="0.25">
      <c r="A4111" s="2" t="s">
        <v>756</v>
      </c>
      <c r="B4111" s="2" t="s">
        <v>757</v>
      </c>
      <c r="C4111" s="3">
        <v>206.07499999999999</v>
      </c>
      <c r="D4111" s="4">
        <v>1386.8847499999999</v>
      </c>
      <c r="E4111" s="4">
        <v>741.87</v>
      </c>
      <c r="F4111" s="4">
        <f t="shared" si="267"/>
        <v>645.01474999999994</v>
      </c>
      <c r="G4111" s="5">
        <f t="shared" si="268"/>
        <v>0.46508172362555716</v>
      </c>
      <c r="H4111" s="2" t="s">
        <v>5</v>
      </c>
      <c r="I4111" s="6" t="s">
        <v>2300</v>
      </c>
      <c r="J4111" s="2" t="s">
        <v>5</v>
      </c>
      <c r="K4111" s="2" t="s">
        <v>5</v>
      </c>
      <c r="L4111" s="2" t="s">
        <v>5</v>
      </c>
      <c r="M4111" s="2" t="s">
        <v>5</v>
      </c>
      <c r="N4111" s="4">
        <v>0</v>
      </c>
    </row>
    <row r="4112" spans="1:14" x14ac:dyDescent="0.25">
      <c r="A4112" s="2" t="s">
        <v>756</v>
      </c>
      <c r="B4112" s="2" t="s">
        <v>757</v>
      </c>
      <c r="C4112" s="3">
        <v>46.27</v>
      </c>
      <c r="D4112" s="4">
        <v>311.39710000000002</v>
      </c>
      <c r="E4112" s="4">
        <v>166.572</v>
      </c>
      <c r="F4112" s="4">
        <f t="shared" si="267"/>
        <v>144.82510000000002</v>
      </c>
      <c r="G4112" s="5">
        <f t="shared" si="268"/>
        <v>0.46508172362555722</v>
      </c>
      <c r="H4112" s="2" t="s">
        <v>5</v>
      </c>
      <c r="I4112" s="6" t="s">
        <v>2300</v>
      </c>
      <c r="J4112" s="2" t="s">
        <v>5</v>
      </c>
      <c r="K4112" s="2" t="s">
        <v>5</v>
      </c>
      <c r="L4112" s="2" t="s">
        <v>5</v>
      </c>
      <c r="M4112" s="2" t="s">
        <v>5</v>
      </c>
      <c r="N4112" s="4">
        <v>0</v>
      </c>
    </row>
    <row r="4113" spans="1:14" x14ac:dyDescent="0.25">
      <c r="A4113" s="2" t="s">
        <v>756</v>
      </c>
      <c r="B4113" s="2" t="s">
        <v>757</v>
      </c>
      <c r="C4113" s="3">
        <v>37.880000000000003</v>
      </c>
      <c r="D4113" s="4">
        <v>254.9324</v>
      </c>
      <c r="E4113" s="4">
        <v>136.36799999999999</v>
      </c>
      <c r="F4113" s="4">
        <f t="shared" si="267"/>
        <v>118.56440000000001</v>
      </c>
      <c r="G4113" s="5">
        <f t="shared" si="268"/>
        <v>0.46508172362555722</v>
      </c>
      <c r="H4113" s="2" t="s">
        <v>5</v>
      </c>
      <c r="I4113" s="6" t="s">
        <v>2300</v>
      </c>
      <c r="J4113" s="2" t="s">
        <v>5</v>
      </c>
      <c r="K4113" s="2" t="s">
        <v>5</v>
      </c>
      <c r="L4113" s="2" t="s">
        <v>5</v>
      </c>
      <c r="M4113" s="2" t="s">
        <v>5</v>
      </c>
      <c r="N4113" s="4">
        <v>0</v>
      </c>
    </row>
    <row r="4114" spans="1:14" x14ac:dyDescent="0.25">
      <c r="A4114" s="2" t="s">
        <v>1332</v>
      </c>
      <c r="B4114" s="2" t="s">
        <v>1333</v>
      </c>
      <c r="C4114" s="3">
        <v>36</v>
      </c>
      <c r="D4114" s="4">
        <v>555.12</v>
      </c>
      <c r="E4114" s="4">
        <v>262.8</v>
      </c>
      <c r="F4114" s="4">
        <f t="shared" si="267"/>
        <v>292.32</v>
      </c>
      <c r="G4114" s="5">
        <f t="shared" si="268"/>
        <v>0.52658884565499353</v>
      </c>
      <c r="H4114" s="2" t="s">
        <v>5</v>
      </c>
      <c r="I4114" s="6" t="s">
        <v>2300</v>
      </c>
      <c r="J4114" s="2" t="s">
        <v>5</v>
      </c>
      <c r="K4114" s="2" t="s">
        <v>5</v>
      </c>
      <c r="L4114" s="2" t="s">
        <v>5</v>
      </c>
      <c r="M4114" s="2" t="s">
        <v>5</v>
      </c>
      <c r="N4114" s="4">
        <v>0</v>
      </c>
    </row>
    <row r="4115" spans="1:14" x14ac:dyDescent="0.25">
      <c r="A4115" s="2" t="s">
        <v>1332</v>
      </c>
      <c r="B4115" s="2" t="s">
        <v>1333</v>
      </c>
      <c r="C4115" s="3">
        <v>63.05</v>
      </c>
      <c r="D4115" s="4">
        <v>972.23099999999999</v>
      </c>
      <c r="E4115" s="4">
        <v>460.26499999999999</v>
      </c>
      <c r="F4115" s="4">
        <f t="shared" si="267"/>
        <v>511.96600000000001</v>
      </c>
      <c r="G4115" s="5">
        <f t="shared" si="268"/>
        <v>0.52658884565499353</v>
      </c>
      <c r="H4115" s="2" t="s">
        <v>5</v>
      </c>
      <c r="I4115" s="6" t="s">
        <v>2300</v>
      </c>
      <c r="J4115" s="2" t="s">
        <v>5</v>
      </c>
      <c r="K4115" s="2" t="s">
        <v>5</v>
      </c>
      <c r="L4115" s="2" t="s">
        <v>5</v>
      </c>
      <c r="M4115" s="2" t="s">
        <v>5</v>
      </c>
      <c r="N4115" s="4">
        <v>0</v>
      </c>
    </row>
    <row r="4116" spans="1:14" x14ac:dyDescent="0.25">
      <c r="A4116" s="2" t="s">
        <v>758</v>
      </c>
      <c r="B4116" s="2" t="s">
        <v>759</v>
      </c>
      <c r="C4116" s="3">
        <v>15.69</v>
      </c>
      <c r="D4116" s="4">
        <v>271.1232</v>
      </c>
      <c r="E4116" s="4">
        <v>78.45</v>
      </c>
      <c r="F4116" s="4">
        <f t="shared" si="267"/>
        <v>192.67320000000001</v>
      </c>
      <c r="G4116" s="5">
        <f t="shared" si="268"/>
        <v>0.71064814814814814</v>
      </c>
      <c r="H4116" s="2" t="s">
        <v>5</v>
      </c>
      <c r="I4116" s="6" t="s">
        <v>2300</v>
      </c>
      <c r="J4116" s="2" t="s">
        <v>5</v>
      </c>
      <c r="K4116" s="2" t="s">
        <v>5</v>
      </c>
      <c r="L4116" s="2" t="s">
        <v>5</v>
      </c>
      <c r="M4116" s="2" t="s">
        <v>5</v>
      </c>
      <c r="N4116" s="4">
        <v>0</v>
      </c>
    </row>
    <row r="4117" spans="1:14" x14ac:dyDescent="0.25">
      <c r="A4117" s="2" t="s">
        <v>758</v>
      </c>
      <c r="B4117" s="2" t="s">
        <v>759</v>
      </c>
      <c r="C4117" s="3">
        <v>14.404999999999999</v>
      </c>
      <c r="D4117" s="4">
        <v>248.91839999999999</v>
      </c>
      <c r="E4117" s="4">
        <v>72.025000000000006</v>
      </c>
      <c r="F4117" s="4">
        <f t="shared" si="267"/>
        <v>176.89339999999999</v>
      </c>
      <c r="G4117" s="5">
        <f t="shared" si="268"/>
        <v>0.71064814814814814</v>
      </c>
      <c r="H4117" s="2" t="s">
        <v>5</v>
      </c>
      <c r="I4117" s="6" t="s">
        <v>2300</v>
      </c>
      <c r="J4117" s="2" t="s">
        <v>5</v>
      </c>
      <c r="K4117" s="2" t="s">
        <v>5</v>
      </c>
      <c r="L4117" s="2" t="s">
        <v>5</v>
      </c>
      <c r="M4117" s="2" t="s">
        <v>5</v>
      </c>
      <c r="N4117" s="4">
        <v>0</v>
      </c>
    </row>
    <row r="4118" spans="1:14" x14ac:dyDescent="0.25">
      <c r="A4118" s="2" t="s">
        <v>760</v>
      </c>
      <c r="B4118" s="2" t="s">
        <v>761</v>
      </c>
      <c r="C4118" s="3">
        <v>65.165000000000006</v>
      </c>
      <c r="D4118" s="4">
        <v>438.56045</v>
      </c>
      <c r="E4118" s="4">
        <v>234.59399999999999</v>
      </c>
      <c r="F4118" s="4">
        <f t="shared" si="267"/>
        <v>203.96645000000001</v>
      </c>
      <c r="G4118" s="5">
        <f t="shared" si="268"/>
        <v>0.46508172362555722</v>
      </c>
      <c r="H4118" s="2" t="s">
        <v>5</v>
      </c>
      <c r="I4118" s="6" t="s">
        <v>2300</v>
      </c>
      <c r="J4118" s="2" t="s">
        <v>5</v>
      </c>
      <c r="K4118" s="2" t="s">
        <v>5</v>
      </c>
      <c r="L4118" s="2" t="s">
        <v>5</v>
      </c>
      <c r="M4118" s="2" t="s">
        <v>5</v>
      </c>
      <c r="N4118" s="4">
        <v>0</v>
      </c>
    </row>
    <row r="4119" spans="1:14" x14ac:dyDescent="0.25">
      <c r="A4119" s="2" t="s">
        <v>760</v>
      </c>
      <c r="B4119" s="2" t="s">
        <v>761</v>
      </c>
      <c r="C4119" s="3">
        <v>43.115000000000002</v>
      </c>
      <c r="D4119" s="4">
        <v>290.16395</v>
      </c>
      <c r="E4119" s="4">
        <v>155.214</v>
      </c>
      <c r="F4119" s="4">
        <f t="shared" si="267"/>
        <v>134.94995</v>
      </c>
      <c r="G4119" s="5">
        <f t="shared" si="268"/>
        <v>0.46508172362555722</v>
      </c>
      <c r="H4119" s="2" t="s">
        <v>5</v>
      </c>
      <c r="I4119" s="6" t="s">
        <v>2300</v>
      </c>
      <c r="J4119" s="2" t="s">
        <v>5</v>
      </c>
      <c r="K4119" s="2" t="s">
        <v>5</v>
      </c>
      <c r="L4119" s="2" t="s">
        <v>5</v>
      </c>
      <c r="M4119" s="2" t="s">
        <v>5</v>
      </c>
      <c r="N4119" s="4">
        <v>0</v>
      </c>
    </row>
    <row r="4120" spans="1:14" x14ac:dyDescent="0.25">
      <c r="A4120" s="2" t="s">
        <v>760</v>
      </c>
      <c r="B4120" s="2" t="s">
        <v>761</v>
      </c>
      <c r="C4120" s="3">
        <v>36</v>
      </c>
      <c r="D4120" s="4">
        <v>242.28</v>
      </c>
      <c r="E4120" s="4">
        <v>129.6</v>
      </c>
      <c r="F4120" s="4">
        <f t="shared" si="267"/>
        <v>112.68</v>
      </c>
      <c r="G4120" s="5">
        <f t="shared" si="268"/>
        <v>0.46508172362555722</v>
      </c>
      <c r="H4120" s="2" t="s">
        <v>5</v>
      </c>
      <c r="I4120" s="6" t="s">
        <v>2300</v>
      </c>
      <c r="J4120" s="2" t="s">
        <v>5</v>
      </c>
      <c r="K4120" s="2" t="s">
        <v>5</v>
      </c>
      <c r="L4120" s="2" t="s">
        <v>5</v>
      </c>
      <c r="M4120" s="2" t="s">
        <v>5</v>
      </c>
      <c r="N4120" s="4">
        <v>0</v>
      </c>
    </row>
    <row r="4121" spans="1:14" x14ac:dyDescent="0.25">
      <c r="A4121" s="2" t="s">
        <v>760</v>
      </c>
      <c r="B4121" s="2" t="s">
        <v>761</v>
      </c>
      <c r="C4121" s="3">
        <v>12</v>
      </c>
      <c r="D4121" s="4">
        <v>80.760000000000005</v>
      </c>
      <c r="E4121" s="4">
        <v>43.2</v>
      </c>
      <c r="F4121" s="4">
        <f t="shared" si="267"/>
        <v>37.56</v>
      </c>
      <c r="G4121" s="5">
        <f t="shared" si="268"/>
        <v>0.46508172362555722</v>
      </c>
      <c r="H4121" s="2" t="s">
        <v>5</v>
      </c>
      <c r="I4121" s="6" t="s">
        <v>2300</v>
      </c>
      <c r="J4121" s="2" t="s">
        <v>5</v>
      </c>
      <c r="K4121" s="2" t="s">
        <v>5</v>
      </c>
      <c r="L4121" s="2" t="s">
        <v>5</v>
      </c>
      <c r="M4121" s="2" t="s">
        <v>5</v>
      </c>
      <c r="N4121" s="4">
        <v>0</v>
      </c>
    </row>
    <row r="4122" spans="1:14" x14ac:dyDescent="0.25">
      <c r="A4122" s="2" t="s">
        <v>760</v>
      </c>
      <c r="B4122" s="2" t="s">
        <v>761</v>
      </c>
      <c r="C4122" s="3">
        <v>47.98</v>
      </c>
      <c r="D4122" s="4">
        <v>322.90539999999999</v>
      </c>
      <c r="E4122" s="4">
        <v>172.72800000000001</v>
      </c>
      <c r="F4122" s="4">
        <f t="shared" si="267"/>
        <v>150.17739999999998</v>
      </c>
      <c r="G4122" s="5">
        <f t="shared" si="268"/>
        <v>0.46508172362555716</v>
      </c>
      <c r="H4122" s="2" t="s">
        <v>5</v>
      </c>
      <c r="I4122" s="6" t="s">
        <v>2300</v>
      </c>
      <c r="J4122" s="2" t="s">
        <v>5</v>
      </c>
      <c r="K4122" s="2" t="s">
        <v>5</v>
      </c>
      <c r="L4122" s="2" t="s">
        <v>5</v>
      </c>
      <c r="M4122" s="2" t="s">
        <v>5</v>
      </c>
      <c r="N4122" s="4">
        <v>0</v>
      </c>
    </row>
    <row r="4123" spans="1:14" x14ac:dyDescent="0.25">
      <c r="A4123" s="2" t="s">
        <v>760</v>
      </c>
      <c r="B4123" s="2" t="s">
        <v>761</v>
      </c>
      <c r="C4123" s="3">
        <v>130.11539999999999</v>
      </c>
      <c r="D4123" s="4">
        <v>875.67664200000002</v>
      </c>
      <c r="E4123" s="4">
        <v>468.41543999999999</v>
      </c>
      <c r="F4123" s="4">
        <f t="shared" si="267"/>
        <v>407.26120200000003</v>
      </c>
      <c r="G4123" s="5">
        <f t="shared" si="268"/>
        <v>0.46508172362555722</v>
      </c>
      <c r="H4123" s="2" t="s">
        <v>5</v>
      </c>
      <c r="I4123" s="6" t="s">
        <v>2300</v>
      </c>
      <c r="J4123" s="2" t="s">
        <v>5</v>
      </c>
      <c r="K4123" s="2" t="s">
        <v>5</v>
      </c>
      <c r="L4123" s="2" t="s">
        <v>5</v>
      </c>
      <c r="M4123" s="2" t="s">
        <v>5</v>
      </c>
      <c r="N4123" s="4">
        <v>0</v>
      </c>
    </row>
    <row r="4124" spans="1:14" x14ac:dyDescent="0.25">
      <c r="A4124" s="2" t="s">
        <v>284</v>
      </c>
      <c r="B4124" s="2" t="s">
        <v>285</v>
      </c>
      <c r="C4124" s="3">
        <v>105.74</v>
      </c>
      <c r="D4124" s="4">
        <v>574.16819999999996</v>
      </c>
      <c r="E4124" s="4">
        <v>264.35000000000002</v>
      </c>
      <c r="F4124" s="4">
        <f t="shared" si="267"/>
        <v>309.81819999999993</v>
      </c>
      <c r="G4124" s="5">
        <f t="shared" si="268"/>
        <v>0.53959484346224673</v>
      </c>
      <c r="H4124" s="2" t="s">
        <v>5</v>
      </c>
      <c r="I4124" s="6" t="s">
        <v>2300</v>
      </c>
      <c r="J4124" s="2" t="s">
        <v>5</v>
      </c>
      <c r="K4124" s="2" t="s">
        <v>5</v>
      </c>
      <c r="L4124" s="2" t="s">
        <v>5</v>
      </c>
      <c r="M4124" s="2" t="s">
        <v>5</v>
      </c>
      <c r="N4124" s="4">
        <v>0</v>
      </c>
    </row>
    <row r="4125" spans="1:14" x14ac:dyDescent="0.25">
      <c r="A4125" s="2" t="s">
        <v>284</v>
      </c>
      <c r="B4125" s="2" t="s">
        <v>285</v>
      </c>
      <c r="C4125" s="3">
        <v>16.95</v>
      </c>
      <c r="D4125" s="4">
        <v>92.038499999999999</v>
      </c>
      <c r="E4125" s="4">
        <v>42.375</v>
      </c>
      <c r="F4125" s="4">
        <f t="shared" si="267"/>
        <v>49.663499999999999</v>
      </c>
      <c r="G4125" s="5">
        <f t="shared" si="268"/>
        <v>0.53959484346224673</v>
      </c>
      <c r="H4125" s="2" t="s">
        <v>5</v>
      </c>
      <c r="I4125" s="6" t="s">
        <v>2300</v>
      </c>
      <c r="J4125" s="2" t="s">
        <v>5</v>
      </c>
      <c r="K4125" s="2" t="s">
        <v>5</v>
      </c>
      <c r="L4125" s="2" t="s">
        <v>5</v>
      </c>
      <c r="M4125" s="2" t="s">
        <v>5</v>
      </c>
      <c r="N4125" s="4">
        <v>0</v>
      </c>
    </row>
    <row r="4126" spans="1:14" x14ac:dyDescent="0.25">
      <c r="A4126" s="2" t="s">
        <v>284</v>
      </c>
      <c r="B4126" s="2" t="s">
        <v>285</v>
      </c>
      <c r="C4126" s="3">
        <v>32.869999999999997</v>
      </c>
      <c r="D4126" s="4">
        <v>178.48410000000001</v>
      </c>
      <c r="E4126" s="4">
        <v>82.174999999999997</v>
      </c>
      <c r="F4126" s="4">
        <f t="shared" si="267"/>
        <v>96.309100000000015</v>
      </c>
      <c r="G4126" s="5">
        <f t="shared" si="268"/>
        <v>0.53959484346224684</v>
      </c>
      <c r="H4126" s="2" t="s">
        <v>5</v>
      </c>
      <c r="I4126" s="6" t="s">
        <v>2300</v>
      </c>
      <c r="J4126" s="2" t="s">
        <v>5</v>
      </c>
      <c r="K4126" s="2" t="s">
        <v>5</v>
      </c>
      <c r="L4126" s="2" t="s">
        <v>5</v>
      </c>
      <c r="M4126" s="2" t="s">
        <v>5</v>
      </c>
      <c r="N4126" s="4">
        <v>0</v>
      </c>
    </row>
    <row r="4127" spans="1:14" x14ac:dyDescent="0.25">
      <c r="A4127" s="2" t="s">
        <v>284</v>
      </c>
      <c r="B4127" s="2" t="s">
        <v>285</v>
      </c>
      <c r="C4127" s="3">
        <v>29.55</v>
      </c>
      <c r="D4127" s="4">
        <v>160.45650000000001</v>
      </c>
      <c r="E4127" s="4">
        <v>73.875</v>
      </c>
      <c r="F4127" s="4">
        <f t="shared" si="267"/>
        <v>86.581500000000005</v>
      </c>
      <c r="G4127" s="5">
        <f t="shared" si="268"/>
        <v>0.53959484346224684</v>
      </c>
      <c r="H4127" s="2" t="s">
        <v>5</v>
      </c>
      <c r="I4127" s="6" t="s">
        <v>2300</v>
      </c>
      <c r="J4127" s="2" t="s">
        <v>5</v>
      </c>
      <c r="K4127" s="2" t="s">
        <v>5</v>
      </c>
      <c r="L4127" s="2" t="s">
        <v>5</v>
      </c>
      <c r="M4127" s="2" t="s">
        <v>5</v>
      </c>
      <c r="N4127" s="4">
        <v>0</v>
      </c>
    </row>
    <row r="4128" spans="1:14" x14ac:dyDescent="0.25">
      <c r="A4128" s="2" t="s">
        <v>284</v>
      </c>
      <c r="B4128" s="2" t="s">
        <v>285</v>
      </c>
      <c r="C4128" s="3">
        <v>46.95</v>
      </c>
      <c r="D4128" s="4">
        <v>254.9385</v>
      </c>
      <c r="E4128" s="4">
        <v>117.375</v>
      </c>
      <c r="F4128" s="4">
        <f t="shared" si="267"/>
        <v>137.5635</v>
      </c>
      <c r="G4128" s="5">
        <f t="shared" si="268"/>
        <v>0.53959484346224673</v>
      </c>
      <c r="H4128" s="2" t="s">
        <v>5</v>
      </c>
      <c r="I4128" s="6" t="s">
        <v>2300</v>
      </c>
      <c r="J4128" s="2" t="s">
        <v>5</v>
      </c>
      <c r="K4128" s="2" t="s">
        <v>5</v>
      </c>
      <c r="L4128" s="2" t="s">
        <v>5</v>
      </c>
      <c r="M4128" s="2" t="s">
        <v>5</v>
      </c>
      <c r="N4128" s="4">
        <v>0</v>
      </c>
    </row>
    <row r="4129" spans="1:14" x14ac:dyDescent="0.25">
      <c r="A4129" s="2" t="s">
        <v>284</v>
      </c>
      <c r="B4129" s="2" t="s">
        <v>285</v>
      </c>
      <c r="C4129" s="3">
        <v>15.48</v>
      </c>
      <c r="D4129" s="4">
        <v>84.056399999999996</v>
      </c>
      <c r="E4129" s="4">
        <v>38.700000000000003</v>
      </c>
      <c r="F4129" s="4">
        <f t="shared" ref="F4129:F4192" si="269">D4129-E4129</f>
        <v>45.356399999999994</v>
      </c>
      <c r="G4129" s="5">
        <f t="shared" ref="G4129:G4192" si="270">IF(((D4129)=0),0,(D4129-E4129)/ D4129)</f>
        <v>0.53959484346224673</v>
      </c>
      <c r="H4129" s="2" t="s">
        <v>5</v>
      </c>
      <c r="I4129" s="6" t="s">
        <v>2300</v>
      </c>
      <c r="J4129" s="2" t="s">
        <v>5</v>
      </c>
      <c r="K4129" s="2" t="s">
        <v>5</v>
      </c>
      <c r="L4129" s="2" t="s">
        <v>5</v>
      </c>
      <c r="M4129" s="2" t="s">
        <v>5</v>
      </c>
      <c r="N4129" s="4">
        <v>0</v>
      </c>
    </row>
    <row r="4130" spans="1:14" x14ac:dyDescent="0.25">
      <c r="A4130" s="2" t="s">
        <v>1313</v>
      </c>
      <c r="B4130" s="2" t="s">
        <v>1314</v>
      </c>
      <c r="C4130" s="3">
        <v>12</v>
      </c>
      <c r="D4130" s="4">
        <v>131.04</v>
      </c>
      <c r="E4130" s="4">
        <v>72.12</v>
      </c>
      <c r="F4130" s="4">
        <f t="shared" si="269"/>
        <v>58.919999999999987</v>
      </c>
      <c r="G4130" s="5">
        <f t="shared" si="270"/>
        <v>0.44963369963369959</v>
      </c>
      <c r="H4130" s="2" t="s">
        <v>5</v>
      </c>
      <c r="I4130" s="6" t="s">
        <v>2300</v>
      </c>
      <c r="J4130" s="2" t="s">
        <v>5</v>
      </c>
      <c r="K4130" s="2" t="s">
        <v>5</v>
      </c>
      <c r="L4130" s="2" t="s">
        <v>5</v>
      </c>
      <c r="M4130" s="2" t="s">
        <v>5</v>
      </c>
      <c r="N4130" s="4">
        <v>0</v>
      </c>
    </row>
    <row r="4131" spans="1:14" x14ac:dyDescent="0.25">
      <c r="A4131" s="2" t="s">
        <v>852</v>
      </c>
      <c r="B4131" s="2" t="s">
        <v>853</v>
      </c>
      <c r="C4131" s="3">
        <v>10</v>
      </c>
      <c r="D4131" s="4">
        <v>110.2</v>
      </c>
      <c r="E4131" s="4">
        <v>60.9</v>
      </c>
      <c r="F4131" s="4">
        <f t="shared" si="269"/>
        <v>49.300000000000004</v>
      </c>
      <c r="G4131" s="5">
        <f t="shared" si="270"/>
        <v>0.44736842105263158</v>
      </c>
      <c r="H4131" s="2" t="s">
        <v>5</v>
      </c>
      <c r="I4131" s="6" t="s">
        <v>2300</v>
      </c>
      <c r="J4131" s="2" t="s">
        <v>5</v>
      </c>
      <c r="K4131" s="2" t="s">
        <v>5</v>
      </c>
      <c r="L4131" s="2" t="s">
        <v>5</v>
      </c>
      <c r="M4131" s="2" t="s">
        <v>5</v>
      </c>
      <c r="N4131" s="4">
        <v>0</v>
      </c>
    </row>
    <row r="4132" spans="1:14" x14ac:dyDescent="0.25">
      <c r="A4132" s="2" t="s">
        <v>852</v>
      </c>
      <c r="B4132" s="2" t="s">
        <v>853</v>
      </c>
      <c r="C4132" s="3">
        <v>5</v>
      </c>
      <c r="D4132" s="4">
        <v>55.1</v>
      </c>
      <c r="E4132" s="4">
        <v>30.45</v>
      </c>
      <c r="F4132" s="4">
        <f t="shared" si="269"/>
        <v>24.650000000000002</v>
      </c>
      <c r="G4132" s="5">
        <f t="shared" si="270"/>
        <v>0.44736842105263158</v>
      </c>
      <c r="H4132" s="2" t="s">
        <v>5</v>
      </c>
      <c r="I4132" s="6" t="s">
        <v>2300</v>
      </c>
      <c r="J4132" s="2" t="s">
        <v>5</v>
      </c>
      <c r="K4132" s="2" t="s">
        <v>5</v>
      </c>
      <c r="L4132" s="2" t="s">
        <v>5</v>
      </c>
      <c r="M4132" s="2" t="s">
        <v>5</v>
      </c>
      <c r="N4132" s="4">
        <v>0</v>
      </c>
    </row>
    <row r="4133" spans="1:14" x14ac:dyDescent="0.25">
      <c r="A4133" s="2" t="s">
        <v>852</v>
      </c>
      <c r="B4133" s="2" t="s">
        <v>853</v>
      </c>
      <c r="C4133" s="3">
        <v>14.5</v>
      </c>
      <c r="D4133" s="4">
        <v>159.79</v>
      </c>
      <c r="E4133" s="4">
        <v>88.305000000000007</v>
      </c>
      <c r="F4133" s="4">
        <f t="shared" si="269"/>
        <v>71.484999999999985</v>
      </c>
      <c r="G4133" s="5">
        <f t="shared" si="270"/>
        <v>0.44736842105263153</v>
      </c>
      <c r="H4133" s="2" t="s">
        <v>5</v>
      </c>
      <c r="I4133" s="6" t="s">
        <v>2300</v>
      </c>
      <c r="J4133" s="2" t="s">
        <v>5</v>
      </c>
      <c r="K4133" s="2" t="s">
        <v>5</v>
      </c>
      <c r="L4133" s="2" t="s">
        <v>5</v>
      </c>
      <c r="M4133" s="2" t="s">
        <v>5</v>
      </c>
      <c r="N4133" s="4">
        <v>0</v>
      </c>
    </row>
    <row r="4134" spans="1:14" x14ac:dyDescent="0.25">
      <c r="A4134" s="2" t="s">
        <v>852</v>
      </c>
      <c r="B4134" s="2" t="s">
        <v>853</v>
      </c>
      <c r="C4134" s="3">
        <v>10</v>
      </c>
      <c r="D4134" s="4">
        <v>110.2</v>
      </c>
      <c r="E4134" s="4">
        <v>60.9</v>
      </c>
      <c r="F4134" s="4">
        <f t="shared" si="269"/>
        <v>49.300000000000004</v>
      </c>
      <c r="G4134" s="5">
        <f t="shared" si="270"/>
        <v>0.44736842105263158</v>
      </c>
      <c r="H4134" s="2" t="s">
        <v>5</v>
      </c>
      <c r="I4134" s="6" t="s">
        <v>2300</v>
      </c>
      <c r="J4134" s="2" t="s">
        <v>5</v>
      </c>
      <c r="K4134" s="2" t="s">
        <v>5</v>
      </c>
      <c r="L4134" s="2" t="s">
        <v>5</v>
      </c>
      <c r="M4134" s="2" t="s">
        <v>5</v>
      </c>
      <c r="N4134" s="4">
        <v>0</v>
      </c>
    </row>
    <row r="4135" spans="1:14" x14ac:dyDescent="0.25">
      <c r="A4135" s="2" t="s">
        <v>1543</v>
      </c>
      <c r="B4135" s="2" t="s">
        <v>1544</v>
      </c>
      <c r="C4135" s="3">
        <v>5</v>
      </c>
      <c r="D4135" s="4">
        <v>830.6</v>
      </c>
      <c r="E4135" s="4">
        <v>401.25</v>
      </c>
      <c r="F4135" s="4">
        <f t="shared" si="269"/>
        <v>429.35</v>
      </c>
      <c r="G4135" s="5">
        <f t="shared" si="270"/>
        <v>0.51691548278352994</v>
      </c>
      <c r="H4135" s="2" t="s">
        <v>5</v>
      </c>
      <c r="I4135" s="6" t="s">
        <v>2300</v>
      </c>
      <c r="J4135" s="2" t="s">
        <v>5</v>
      </c>
      <c r="K4135" s="2" t="s">
        <v>5</v>
      </c>
      <c r="L4135" s="2" t="s">
        <v>5</v>
      </c>
      <c r="M4135" s="2" t="s">
        <v>5</v>
      </c>
      <c r="N4135" s="4">
        <v>0</v>
      </c>
    </row>
    <row r="4136" spans="1:14" x14ac:dyDescent="0.25">
      <c r="A4136" s="2" t="s">
        <v>762</v>
      </c>
      <c r="B4136" s="2" t="s">
        <v>763</v>
      </c>
      <c r="C4136" s="3">
        <v>185.08500000000001</v>
      </c>
      <c r="D4136" s="4">
        <v>3351.8893499999999</v>
      </c>
      <c r="E4136" s="4">
        <v>1665.7650000000001</v>
      </c>
      <c r="F4136" s="4">
        <f t="shared" si="269"/>
        <v>1686.1243499999998</v>
      </c>
      <c r="G4136" s="5">
        <f t="shared" si="270"/>
        <v>0.50303699613473218</v>
      </c>
      <c r="H4136" s="2" t="s">
        <v>5</v>
      </c>
      <c r="I4136" s="6" t="s">
        <v>2300</v>
      </c>
      <c r="J4136" s="2" t="s">
        <v>5</v>
      </c>
      <c r="K4136" s="2" t="s">
        <v>5</v>
      </c>
      <c r="L4136" s="2" t="s">
        <v>5</v>
      </c>
      <c r="M4136" s="2" t="s">
        <v>5</v>
      </c>
      <c r="N4136" s="4">
        <v>0</v>
      </c>
    </row>
    <row r="4137" spans="1:14" x14ac:dyDescent="0.25">
      <c r="A4137" s="2" t="s">
        <v>762</v>
      </c>
      <c r="B4137" s="2" t="s">
        <v>763</v>
      </c>
      <c r="C4137" s="3">
        <v>30.02</v>
      </c>
      <c r="D4137" s="4">
        <v>543.66219999999998</v>
      </c>
      <c r="E4137" s="4">
        <v>270.18</v>
      </c>
      <c r="F4137" s="4">
        <f t="shared" si="269"/>
        <v>273.48219999999998</v>
      </c>
      <c r="G4137" s="5">
        <f t="shared" si="270"/>
        <v>0.50303699613473218</v>
      </c>
      <c r="H4137" s="2" t="s">
        <v>5</v>
      </c>
      <c r="I4137" s="6" t="s">
        <v>2300</v>
      </c>
      <c r="J4137" s="2" t="s">
        <v>5</v>
      </c>
      <c r="K4137" s="2" t="s">
        <v>5</v>
      </c>
      <c r="L4137" s="2" t="s">
        <v>5</v>
      </c>
      <c r="M4137" s="2" t="s">
        <v>5</v>
      </c>
      <c r="N4137" s="4">
        <v>0</v>
      </c>
    </row>
    <row r="4138" spans="1:14" x14ac:dyDescent="0.25">
      <c r="A4138" s="2" t="s">
        <v>286</v>
      </c>
      <c r="B4138" s="2" t="s">
        <v>287</v>
      </c>
      <c r="C4138" s="3">
        <v>48.44</v>
      </c>
      <c r="D4138" s="4">
        <v>684.45719999999994</v>
      </c>
      <c r="E4138" s="4">
        <v>401.56760000000003</v>
      </c>
      <c r="F4138" s="4">
        <f t="shared" si="269"/>
        <v>282.88959999999992</v>
      </c>
      <c r="G4138" s="5">
        <f t="shared" si="270"/>
        <v>0.41330502476999281</v>
      </c>
      <c r="H4138" s="2" t="s">
        <v>5</v>
      </c>
      <c r="I4138" s="6" t="s">
        <v>2300</v>
      </c>
      <c r="J4138" s="2" t="s">
        <v>5</v>
      </c>
      <c r="K4138" s="2" t="s">
        <v>5</v>
      </c>
      <c r="L4138" s="2" t="s">
        <v>5</v>
      </c>
      <c r="M4138" s="2" t="s">
        <v>5</v>
      </c>
      <c r="N4138" s="4">
        <v>0</v>
      </c>
    </row>
    <row r="4139" spans="1:14" x14ac:dyDescent="0.25">
      <c r="A4139" s="2" t="s">
        <v>286</v>
      </c>
      <c r="B4139" s="2" t="s">
        <v>287</v>
      </c>
      <c r="C4139" s="3">
        <v>23.68</v>
      </c>
      <c r="D4139" s="4">
        <v>334.59840000000003</v>
      </c>
      <c r="E4139" s="4">
        <v>196.30719999999999</v>
      </c>
      <c r="F4139" s="4">
        <f t="shared" si="269"/>
        <v>138.29120000000003</v>
      </c>
      <c r="G4139" s="5">
        <f t="shared" si="270"/>
        <v>0.41330502476999298</v>
      </c>
      <c r="H4139" s="2" t="s">
        <v>5</v>
      </c>
      <c r="I4139" s="6" t="s">
        <v>2300</v>
      </c>
      <c r="J4139" s="2" t="s">
        <v>5</v>
      </c>
      <c r="K4139" s="2" t="s">
        <v>5</v>
      </c>
      <c r="L4139" s="2" t="s">
        <v>5</v>
      </c>
      <c r="M4139" s="2" t="s">
        <v>5</v>
      </c>
      <c r="N4139" s="4">
        <v>0</v>
      </c>
    </row>
    <row r="4140" spans="1:14" x14ac:dyDescent="0.25">
      <c r="A4140" s="2" t="s">
        <v>286</v>
      </c>
      <c r="B4140" s="2" t="s">
        <v>287</v>
      </c>
      <c r="C4140" s="3">
        <v>24.454000000000001</v>
      </c>
      <c r="D4140" s="4">
        <v>345.53501999999997</v>
      </c>
      <c r="E4140" s="4">
        <v>202.72366</v>
      </c>
      <c r="F4140" s="4">
        <f t="shared" si="269"/>
        <v>142.81135999999998</v>
      </c>
      <c r="G4140" s="5">
        <f t="shared" si="270"/>
        <v>0.41330502476999287</v>
      </c>
      <c r="H4140" s="2" t="s">
        <v>5</v>
      </c>
      <c r="I4140" s="6" t="s">
        <v>2300</v>
      </c>
      <c r="J4140" s="2" t="s">
        <v>5</v>
      </c>
      <c r="K4140" s="2" t="s">
        <v>5</v>
      </c>
      <c r="L4140" s="2" t="s">
        <v>5</v>
      </c>
      <c r="M4140" s="2" t="s">
        <v>5</v>
      </c>
      <c r="N4140" s="4">
        <v>0</v>
      </c>
    </row>
    <row r="4141" spans="1:14" x14ac:dyDescent="0.25">
      <c r="A4141" s="2" t="s">
        <v>286</v>
      </c>
      <c r="B4141" s="2" t="s">
        <v>287</v>
      </c>
      <c r="C4141" s="3">
        <v>17.097999999999999</v>
      </c>
      <c r="D4141" s="4">
        <v>241.59474</v>
      </c>
      <c r="E4141" s="4">
        <v>141.74242000000001</v>
      </c>
      <c r="F4141" s="4">
        <f t="shared" si="269"/>
        <v>99.852319999999992</v>
      </c>
      <c r="G4141" s="5">
        <f t="shared" si="270"/>
        <v>0.41330502476999287</v>
      </c>
      <c r="H4141" s="2" t="s">
        <v>5</v>
      </c>
      <c r="I4141" s="6" t="s">
        <v>2300</v>
      </c>
      <c r="J4141" s="2" t="s">
        <v>5</v>
      </c>
      <c r="K4141" s="2" t="s">
        <v>5</v>
      </c>
      <c r="L4141" s="2" t="s">
        <v>5</v>
      </c>
      <c r="M4141" s="2" t="s">
        <v>5</v>
      </c>
      <c r="N4141" s="4">
        <v>0</v>
      </c>
    </row>
    <row r="4142" spans="1:14" x14ac:dyDescent="0.25">
      <c r="A4142" s="2" t="s">
        <v>286</v>
      </c>
      <c r="B4142" s="2" t="s">
        <v>287</v>
      </c>
      <c r="C4142" s="3">
        <v>12.022</v>
      </c>
      <c r="D4142" s="4">
        <v>169.87085999999999</v>
      </c>
      <c r="E4142" s="4">
        <v>99.662379999999999</v>
      </c>
      <c r="F4142" s="4">
        <f t="shared" si="269"/>
        <v>70.208479999999994</v>
      </c>
      <c r="G4142" s="5">
        <f t="shared" si="270"/>
        <v>0.41330502476999292</v>
      </c>
      <c r="H4142" s="2" t="s">
        <v>5</v>
      </c>
      <c r="I4142" s="6" t="s">
        <v>2300</v>
      </c>
      <c r="J4142" s="2" t="s">
        <v>5</v>
      </c>
      <c r="K4142" s="2" t="s">
        <v>5</v>
      </c>
      <c r="L4142" s="2" t="s">
        <v>5</v>
      </c>
      <c r="M4142" s="2" t="s">
        <v>5</v>
      </c>
      <c r="N4142" s="4">
        <v>0</v>
      </c>
    </row>
    <row r="4143" spans="1:14" x14ac:dyDescent="0.25">
      <c r="A4143" s="2" t="s">
        <v>286</v>
      </c>
      <c r="B4143" s="2" t="s">
        <v>287</v>
      </c>
      <c r="C4143" s="3">
        <v>18.84</v>
      </c>
      <c r="D4143" s="4">
        <v>266.20920000000001</v>
      </c>
      <c r="E4143" s="4">
        <v>156.18360000000001</v>
      </c>
      <c r="F4143" s="4">
        <f t="shared" si="269"/>
        <v>110.0256</v>
      </c>
      <c r="G4143" s="5">
        <f t="shared" si="270"/>
        <v>0.41330502476999292</v>
      </c>
      <c r="H4143" s="2" t="s">
        <v>5</v>
      </c>
      <c r="I4143" s="6" t="s">
        <v>2300</v>
      </c>
      <c r="J4143" s="2" t="s">
        <v>5</v>
      </c>
      <c r="K4143" s="2" t="s">
        <v>5</v>
      </c>
      <c r="L4143" s="2" t="s">
        <v>5</v>
      </c>
      <c r="M4143" s="2" t="s">
        <v>5</v>
      </c>
      <c r="N4143" s="4">
        <v>0</v>
      </c>
    </row>
    <row r="4144" spans="1:14" x14ac:dyDescent="0.25">
      <c r="A4144" s="2" t="s">
        <v>286</v>
      </c>
      <c r="B4144" s="2" t="s">
        <v>287</v>
      </c>
      <c r="C4144" s="3">
        <v>39.479999999999997</v>
      </c>
      <c r="D4144" s="4">
        <v>557.85239999999999</v>
      </c>
      <c r="E4144" s="4">
        <v>327.28919999999999</v>
      </c>
      <c r="F4144" s="4">
        <f t="shared" si="269"/>
        <v>230.56319999999999</v>
      </c>
      <c r="G4144" s="5">
        <f t="shared" si="270"/>
        <v>0.41330502476999292</v>
      </c>
      <c r="H4144" s="2" t="s">
        <v>5</v>
      </c>
      <c r="I4144" s="6" t="s">
        <v>2300</v>
      </c>
      <c r="J4144" s="2" t="s">
        <v>5</v>
      </c>
      <c r="K4144" s="2" t="s">
        <v>5</v>
      </c>
      <c r="L4144" s="2" t="s">
        <v>5</v>
      </c>
      <c r="M4144" s="2" t="s">
        <v>5</v>
      </c>
      <c r="N4144" s="4">
        <v>0</v>
      </c>
    </row>
    <row r="4145" spans="1:14" x14ac:dyDescent="0.25">
      <c r="A4145" s="2" t="s">
        <v>286</v>
      </c>
      <c r="B4145" s="2" t="s">
        <v>287</v>
      </c>
      <c r="C4145" s="3">
        <v>30.22</v>
      </c>
      <c r="D4145" s="4">
        <v>427.0086</v>
      </c>
      <c r="E4145" s="4">
        <v>250.52379999999999</v>
      </c>
      <c r="F4145" s="4">
        <f t="shared" si="269"/>
        <v>176.48480000000001</v>
      </c>
      <c r="G4145" s="5">
        <f t="shared" si="270"/>
        <v>0.41330502476999292</v>
      </c>
      <c r="H4145" s="2" t="s">
        <v>5</v>
      </c>
      <c r="I4145" s="6" t="s">
        <v>2300</v>
      </c>
      <c r="J4145" s="2" t="s">
        <v>5</v>
      </c>
      <c r="K4145" s="2" t="s">
        <v>5</v>
      </c>
      <c r="L4145" s="2" t="s">
        <v>5</v>
      </c>
      <c r="M4145" s="2" t="s">
        <v>5</v>
      </c>
      <c r="N4145" s="4">
        <v>0</v>
      </c>
    </row>
    <row r="4146" spans="1:14" x14ac:dyDescent="0.25">
      <c r="A4146" s="2" t="s">
        <v>286</v>
      </c>
      <c r="B4146" s="2" t="s">
        <v>287</v>
      </c>
      <c r="C4146" s="3">
        <v>23.91</v>
      </c>
      <c r="D4146" s="4">
        <v>337.84829999999999</v>
      </c>
      <c r="E4146" s="4">
        <v>198.2139</v>
      </c>
      <c r="F4146" s="4">
        <f t="shared" si="269"/>
        <v>139.6344</v>
      </c>
      <c r="G4146" s="5">
        <f t="shared" si="270"/>
        <v>0.41330502476999292</v>
      </c>
      <c r="H4146" s="2" t="s">
        <v>5</v>
      </c>
      <c r="I4146" s="6" t="s">
        <v>2300</v>
      </c>
      <c r="J4146" s="2" t="s">
        <v>5</v>
      </c>
      <c r="K4146" s="2" t="s">
        <v>5</v>
      </c>
      <c r="L4146" s="2" t="s">
        <v>5</v>
      </c>
      <c r="M4146" s="2" t="s">
        <v>5</v>
      </c>
      <c r="N4146" s="4">
        <v>0</v>
      </c>
    </row>
    <row r="4147" spans="1:14" x14ac:dyDescent="0.25">
      <c r="A4147" s="2" t="s">
        <v>286</v>
      </c>
      <c r="B4147" s="2" t="s">
        <v>287</v>
      </c>
      <c r="C4147" s="3">
        <v>35.386000000000003</v>
      </c>
      <c r="D4147" s="4">
        <v>500.00418000000002</v>
      </c>
      <c r="E4147" s="4">
        <v>293.34994</v>
      </c>
      <c r="F4147" s="4">
        <f t="shared" si="269"/>
        <v>206.65424000000002</v>
      </c>
      <c r="G4147" s="5">
        <f t="shared" si="270"/>
        <v>0.41330502476999292</v>
      </c>
      <c r="H4147" s="2" t="s">
        <v>5</v>
      </c>
      <c r="I4147" s="6" t="s">
        <v>2300</v>
      </c>
      <c r="J4147" s="2" t="s">
        <v>5</v>
      </c>
      <c r="K4147" s="2" t="s">
        <v>5</v>
      </c>
      <c r="L4147" s="2" t="s">
        <v>5</v>
      </c>
      <c r="M4147" s="2" t="s">
        <v>5</v>
      </c>
      <c r="N4147" s="4">
        <v>0</v>
      </c>
    </row>
    <row r="4148" spans="1:14" x14ac:dyDescent="0.25">
      <c r="A4148" s="2" t="s">
        <v>286</v>
      </c>
      <c r="B4148" s="2" t="s">
        <v>287</v>
      </c>
      <c r="C4148" s="3">
        <v>12.02</v>
      </c>
      <c r="D4148" s="4">
        <v>169.8426</v>
      </c>
      <c r="E4148" s="4">
        <v>99.645799999999994</v>
      </c>
      <c r="F4148" s="4">
        <f t="shared" si="269"/>
        <v>70.19680000000001</v>
      </c>
      <c r="G4148" s="5">
        <f t="shared" si="270"/>
        <v>0.41330502476999298</v>
      </c>
      <c r="H4148" s="2" t="s">
        <v>5</v>
      </c>
      <c r="I4148" s="6" t="s">
        <v>2300</v>
      </c>
      <c r="J4148" s="2" t="s">
        <v>5</v>
      </c>
      <c r="K4148" s="2" t="s">
        <v>5</v>
      </c>
      <c r="L4148" s="2" t="s">
        <v>5</v>
      </c>
      <c r="M4148" s="2" t="s">
        <v>5</v>
      </c>
      <c r="N4148" s="4">
        <v>0</v>
      </c>
    </row>
    <row r="4149" spans="1:14" x14ac:dyDescent="0.25">
      <c r="A4149" s="2" t="s">
        <v>286</v>
      </c>
      <c r="B4149" s="2" t="s">
        <v>287</v>
      </c>
      <c r="C4149" s="3">
        <v>47.552</v>
      </c>
      <c r="D4149" s="4">
        <v>671.90976000000001</v>
      </c>
      <c r="E4149" s="4">
        <v>394.20607999999999</v>
      </c>
      <c r="F4149" s="4">
        <f t="shared" si="269"/>
        <v>277.70368000000002</v>
      </c>
      <c r="G4149" s="5">
        <f t="shared" si="270"/>
        <v>0.41330502476999292</v>
      </c>
      <c r="H4149" s="2" t="s">
        <v>5</v>
      </c>
      <c r="I4149" s="6" t="s">
        <v>2300</v>
      </c>
      <c r="J4149" s="2" t="s">
        <v>5</v>
      </c>
      <c r="K4149" s="2" t="s">
        <v>5</v>
      </c>
      <c r="L4149" s="2" t="s">
        <v>5</v>
      </c>
      <c r="M4149" s="2" t="s">
        <v>5</v>
      </c>
      <c r="N4149" s="4">
        <v>0</v>
      </c>
    </row>
    <row r="4150" spans="1:14" x14ac:dyDescent="0.25">
      <c r="A4150" s="2" t="s">
        <v>286</v>
      </c>
      <c r="B4150" s="2" t="s">
        <v>287</v>
      </c>
      <c r="C4150" s="3">
        <v>77.91</v>
      </c>
      <c r="D4150" s="4">
        <v>1100.8683000000001</v>
      </c>
      <c r="E4150" s="4">
        <v>645.87390000000005</v>
      </c>
      <c r="F4150" s="4">
        <f t="shared" si="269"/>
        <v>454.99440000000004</v>
      </c>
      <c r="G4150" s="5">
        <f t="shared" si="270"/>
        <v>0.41330502476999292</v>
      </c>
      <c r="H4150" s="2" t="s">
        <v>5</v>
      </c>
      <c r="I4150" s="6" t="s">
        <v>2300</v>
      </c>
      <c r="J4150" s="2" t="s">
        <v>5</v>
      </c>
      <c r="K4150" s="2" t="s">
        <v>5</v>
      </c>
      <c r="L4150" s="2" t="s">
        <v>5</v>
      </c>
      <c r="M4150" s="2" t="s">
        <v>5</v>
      </c>
      <c r="N4150" s="4">
        <v>0</v>
      </c>
    </row>
    <row r="4151" spans="1:14" x14ac:dyDescent="0.25">
      <c r="A4151" s="2" t="s">
        <v>286</v>
      </c>
      <c r="B4151" s="2" t="s">
        <v>287</v>
      </c>
      <c r="C4151" s="3">
        <v>12.022</v>
      </c>
      <c r="D4151" s="4">
        <v>169.87085999999999</v>
      </c>
      <c r="E4151" s="4">
        <v>99.662379999999999</v>
      </c>
      <c r="F4151" s="4">
        <f t="shared" si="269"/>
        <v>70.208479999999994</v>
      </c>
      <c r="G4151" s="5">
        <f t="shared" si="270"/>
        <v>0.41330502476999292</v>
      </c>
      <c r="H4151" s="2" t="s">
        <v>5</v>
      </c>
      <c r="I4151" s="6" t="s">
        <v>2300</v>
      </c>
      <c r="J4151" s="2" t="s">
        <v>5</v>
      </c>
      <c r="K4151" s="2" t="s">
        <v>5</v>
      </c>
      <c r="L4151" s="2" t="s">
        <v>5</v>
      </c>
      <c r="M4151" s="2" t="s">
        <v>5</v>
      </c>
      <c r="N4151" s="4">
        <v>0</v>
      </c>
    </row>
    <row r="4152" spans="1:14" x14ac:dyDescent="0.25">
      <c r="A4152" s="2" t="s">
        <v>884</v>
      </c>
      <c r="B4152" s="2" t="s">
        <v>885</v>
      </c>
      <c r="C4152" s="3">
        <v>5</v>
      </c>
      <c r="D4152" s="4">
        <v>71.2</v>
      </c>
      <c r="E4152" s="4">
        <v>39.35</v>
      </c>
      <c r="F4152" s="4">
        <f t="shared" si="269"/>
        <v>31.85</v>
      </c>
      <c r="G4152" s="5">
        <f t="shared" si="270"/>
        <v>0.4473314606741573</v>
      </c>
      <c r="H4152" s="2" t="s">
        <v>5</v>
      </c>
      <c r="I4152" s="6" t="s">
        <v>2300</v>
      </c>
      <c r="J4152" s="2" t="s">
        <v>5</v>
      </c>
      <c r="K4152" s="2" t="s">
        <v>5</v>
      </c>
      <c r="L4152" s="2" t="s">
        <v>5</v>
      </c>
      <c r="M4152" s="2" t="s">
        <v>5</v>
      </c>
      <c r="N4152" s="4">
        <v>0</v>
      </c>
    </row>
    <row r="4153" spans="1:14" x14ac:dyDescent="0.25">
      <c r="A4153" s="2" t="s">
        <v>884</v>
      </c>
      <c r="B4153" s="2" t="s">
        <v>885</v>
      </c>
      <c r="C4153" s="3">
        <v>8</v>
      </c>
      <c r="D4153" s="4">
        <v>113.92</v>
      </c>
      <c r="E4153" s="4">
        <v>62.96</v>
      </c>
      <c r="F4153" s="4">
        <f t="shared" si="269"/>
        <v>50.96</v>
      </c>
      <c r="G4153" s="5">
        <f t="shared" si="270"/>
        <v>0.4473314606741573</v>
      </c>
      <c r="H4153" s="2" t="s">
        <v>5</v>
      </c>
      <c r="I4153" s="6" t="s">
        <v>2300</v>
      </c>
      <c r="J4153" s="2" t="s">
        <v>5</v>
      </c>
      <c r="K4153" s="2" t="s">
        <v>5</v>
      </c>
      <c r="L4153" s="2" t="s">
        <v>5</v>
      </c>
      <c r="M4153" s="2" t="s">
        <v>5</v>
      </c>
      <c r="N4153" s="4">
        <v>0</v>
      </c>
    </row>
    <row r="4154" spans="1:14" x14ac:dyDescent="0.25">
      <c r="A4154" s="2" t="s">
        <v>884</v>
      </c>
      <c r="B4154" s="2" t="s">
        <v>885</v>
      </c>
      <c r="C4154" s="3">
        <v>5</v>
      </c>
      <c r="D4154" s="4">
        <v>71.2</v>
      </c>
      <c r="E4154" s="4">
        <v>39.35</v>
      </c>
      <c r="F4154" s="4">
        <f t="shared" si="269"/>
        <v>31.85</v>
      </c>
      <c r="G4154" s="5">
        <f t="shared" si="270"/>
        <v>0.4473314606741573</v>
      </c>
      <c r="H4154" s="2" t="s">
        <v>5</v>
      </c>
      <c r="I4154" s="6" t="s">
        <v>2300</v>
      </c>
      <c r="J4154" s="2" t="s">
        <v>5</v>
      </c>
      <c r="K4154" s="2" t="s">
        <v>5</v>
      </c>
      <c r="L4154" s="2" t="s">
        <v>5</v>
      </c>
      <c r="M4154" s="2" t="s">
        <v>5</v>
      </c>
      <c r="N4154" s="4">
        <v>0</v>
      </c>
    </row>
    <row r="4155" spans="1:14" x14ac:dyDescent="0.25">
      <c r="A4155" s="2" t="s">
        <v>288</v>
      </c>
      <c r="B4155" s="2" t="s">
        <v>289</v>
      </c>
      <c r="C4155" s="3">
        <v>10.4</v>
      </c>
      <c r="D4155" s="4">
        <v>195.416</v>
      </c>
      <c r="E4155" s="4">
        <v>107.64</v>
      </c>
      <c r="F4155" s="4">
        <f t="shared" si="269"/>
        <v>87.775999999999996</v>
      </c>
      <c r="G4155" s="5">
        <f t="shared" si="270"/>
        <v>0.4491750931346461</v>
      </c>
      <c r="H4155" s="2" t="s">
        <v>5</v>
      </c>
      <c r="I4155" s="6" t="s">
        <v>2300</v>
      </c>
      <c r="J4155" s="2" t="s">
        <v>5</v>
      </c>
      <c r="K4155" s="2" t="s">
        <v>5</v>
      </c>
      <c r="L4155" s="2" t="s">
        <v>5</v>
      </c>
      <c r="M4155" s="2" t="s">
        <v>5</v>
      </c>
      <c r="N4155" s="4">
        <v>0</v>
      </c>
    </row>
    <row r="4156" spans="1:14" x14ac:dyDescent="0.25">
      <c r="A4156" s="2" t="s">
        <v>288</v>
      </c>
      <c r="B4156" s="2" t="s">
        <v>289</v>
      </c>
      <c r="C4156" s="3">
        <v>8.6199999999999992</v>
      </c>
      <c r="D4156" s="4">
        <v>161.96979999999999</v>
      </c>
      <c r="E4156" s="4">
        <v>89.216999999999999</v>
      </c>
      <c r="F4156" s="4">
        <f t="shared" si="269"/>
        <v>72.752799999999993</v>
      </c>
      <c r="G4156" s="5">
        <f t="shared" si="270"/>
        <v>0.4491750931346461</v>
      </c>
      <c r="H4156" s="2" t="s">
        <v>5</v>
      </c>
      <c r="I4156" s="6" t="s">
        <v>2300</v>
      </c>
      <c r="J4156" s="2" t="s">
        <v>5</v>
      </c>
      <c r="K4156" s="2" t="s">
        <v>5</v>
      </c>
      <c r="L4156" s="2" t="s">
        <v>5</v>
      </c>
      <c r="M4156" s="2" t="s">
        <v>5</v>
      </c>
      <c r="N4156" s="4">
        <v>0</v>
      </c>
    </row>
    <row r="4157" spans="1:14" x14ac:dyDescent="0.25">
      <c r="A4157" s="2" t="s">
        <v>288</v>
      </c>
      <c r="B4157" s="2" t="s">
        <v>289</v>
      </c>
      <c r="C4157" s="3">
        <v>16.399999999999999</v>
      </c>
      <c r="D4157" s="4">
        <v>308.15600000000001</v>
      </c>
      <c r="E4157" s="4">
        <v>169.74</v>
      </c>
      <c r="F4157" s="4">
        <f t="shared" si="269"/>
        <v>138.416</v>
      </c>
      <c r="G4157" s="5">
        <f t="shared" si="270"/>
        <v>0.44917509313464604</v>
      </c>
      <c r="H4157" s="2" t="s">
        <v>5</v>
      </c>
      <c r="I4157" s="6" t="s">
        <v>2300</v>
      </c>
      <c r="J4157" s="2" t="s">
        <v>5</v>
      </c>
      <c r="K4157" s="2" t="s">
        <v>5</v>
      </c>
      <c r="L4157" s="2" t="s">
        <v>5</v>
      </c>
      <c r="M4157" s="2" t="s">
        <v>5</v>
      </c>
      <c r="N4157" s="4">
        <v>0</v>
      </c>
    </row>
    <row r="4158" spans="1:14" x14ac:dyDescent="0.25">
      <c r="A4158" s="2" t="s">
        <v>288</v>
      </c>
      <c r="B4158" s="2" t="s">
        <v>289</v>
      </c>
      <c r="C4158" s="3">
        <v>5.2</v>
      </c>
      <c r="D4158" s="4">
        <v>97.707999999999998</v>
      </c>
      <c r="E4158" s="4">
        <v>53.82</v>
      </c>
      <c r="F4158" s="4">
        <f t="shared" si="269"/>
        <v>43.887999999999998</v>
      </c>
      <c r="G4158" s="5">
        <f t="shared" si="270"/>
        <v>0.4491750931346461</v>
      </c>
      <c r="H4158" s="2" t="s">
        <v>5</v>
      </c>
      <c r="I4158" s="6" t="s">
        <v>2300</v>
      </c>
      <c r="J4158" s="2" t="s">
        <v>5</v>
      </c>
      <c r="K4158" s="2" t="s">
        <v>5</v>
      </c>
      <c r="L4158" s="2" t="s">
        <v>5</v>
      </c>
      <c r="M4158" s="2" t="s">
        <v>5</v>
      </c>
      <c r="N4158" s="4">
        <v>0</v>
      </c>
    </row>
    <row r="4159" spans="1:14" x14ac:dyDescent="0.25">
      <c r="A4159" s="2" t="s">
        <v>288</v>
      </c>
      <c r="B4159" s="2" t="s">
        <v>289</v>
      </c>
      <c r="C4159" s="3">
        <v>8.3450000000000006</v>
      </c>
      <c r="D4159" s="4">
        <v>156.80255</v>
      </c>
      <c r="E4159" s="4">
        <v>86.370750000000001</v>
      </c>
      <c r="F4159" s="4">
        <f t="shared" si="269"/>
        <v>70.431799999999996</v>
      </c>
      <c r="G4159" s="5">
        <f t="shared" si="270"/>
        <v>0.4491750931346461</v>
      </c>
      <c r="H4159" s="2" t="s">
        <v>5</v>
      </c>
      <c r="I4159" s="6" t="s">
        <v>2300</v>
      </c>
      <c r="J4159" s="2" t="s">
        <v>5</v>
      </c>
      <c r="K4159" s="2" t="s">
        <v>5</v>
      </c>
      <c r="L4159" s="2" t="s">
        <v>5</v>
      </c>
      <c r="M4159" s="2" t="s">
        <v>5</v>
      </c>
      <c r="N4159" s="4">
        <v>0</v>
      </c>
    </row>
    <row r="4160" spans="1:14" x14ac:dyDescent="0.25">
      <c r="A4160" s="2" t="s">
        <v>288</v>
      </c>
      <c r="B4160" s="2" t="s">
        <v>289</v>
      </c>
      <c r="C4160" s="3">
        <v>16.734999999999999</v>
      </c>
      <c r="D4160" s="4">
        <v>314.45065</v>
      </c>
      <c r="E4160" s="4">
        <v>173.20724999999999</v>
      </c>
      <c r="F4160" s="4">
        <f t="shared" si="269"/>
        <v>141.24340000000001</v>
      </c>
      <c r="G4160" s="5">
        <f t="shared" si="270"/>
        <v>0.4491750931346461</v>
      </c>
      <c r="H4160" s="2" t="s">
        <v>5</v>
      </c>
      <c r="I4160" s="6" t="s">
        <v>2300</v>
      </c>
      <c r="J4160" s="2" t="s">
        <v>5</v>
      </c>
      <c r="K4160" s="2" t="s">
        <v>5</v>
      </c>
      <c r="L4160" s="2" t="s">
        <v>5</v>
      </c>
      <c r="M4160" s="2" t="s">
        <v>5</v>
      </c>
      <c r="N4160" s="4">
        <v>0</v>
      </c>
    </row>
    <row r="4161" spans="1:14" x14ac:dyDescent="0.25">
      <c r="A4161" s="2" t="s">
        <v>290</v>
      </c>
      <c r="B4161" s="2" t="s">
        <v>291</v>
      </c>
      <c r="C4161" s="3">
        <v>16</v>
      </c>
      <c r="D4161" s="4">
        <v>370.08</v>
      </c>
      <c r="E4161" s="4">
        <v>260</v>
      </c>
      <c r="F4161" s="4">
        <f t="shared" si="269"/>
        <v>110.07999999999998</v>
      </c>
      <c r="G4161" s="5">
        <f t="shared" si="270"/>
        <v>0.29744920017293552</v>
      </c>
      <c r="H4161" s="2" t="s">
        <v>5</v>
      </c>
      <c r="I4161" s="6" t="s">
        <v>2300</v>
      </c>
      <c r="J4161" s="2" t="s">
        <v>5</v>
      </c>
      <c r="K4161" s="2" t="s">
        <v>5</v>
      </c>
      <c r="L4161" s="2" t="s">
        <v>5</v>
      </c>
      <c r="M4161" s="2" t="s">
        <v>5</v>
      </c>
      <c r="N4161" s="4">
        <v>0</v>
      </c>
    </row>
    <row r="4162" spans="1:14" x14ac:dyDescent="0.25">
      <c r="A4162" s="2" t="s">
        <v>290</v>
      </c>
      <c r="B4162" s="2" t="s">
        <v>291</v>
      </c>
      <c r="C4162" s="3">
        <v>16</v>
      </c>
      <c r="D4162" s="4">
        <v>370.08</v>
      </c>
      <c r="E4162" s="4">
        <v>260</v>
      </c>
      <c r="F4162" s="4">
        <f t="shared" si="269"/>
        <v>110.07999999999998</v>
      </c>
      <c r="G4162" s="5">
        <f t="shared" si="270"/>
        <v>0.29744920017293552</v>
      </c>
      <c r="H4162" s="2" t="s">
        <v>5</v>
      </c>
      <c r="I4162" s="6" t="s">
        <v>2300</v>
      </c>
      <c r="J4162" s="2" t="s">
        <v>5</v>
      </c>
      <c r="K4162" s="2" t="s">
        <v>5</v>
      </c>
      <c r="L4162" s="2" t="s">
        <v>5</v>
      </c>
      <c r="M4162" s="2" t="s">
        <v>5</v>
      </c>
      <c r="N4162" s="4">
        <v>0</v>
      </c>
    </row>
    <row r="4163" spans="1:14" x14ac:dyDescent="0.25">
      <c r="A4163" s="2" t="s">
        <v>290</v>
      </c>
      <c r="B4163" s="2" t="s">
        <v>291</v>
      </c>
      <c r="C4163" s="3">
        <v>16</v>
      </c>
      <c r="D4163" s="4">
        <v>370.08</v>
      </c>
      <c r="E4163" s="4">
        <v>260</v>
      </c>
      <c r="F4163" s="4">
        <f t="shared" si="269"/>
        <v>110.07999999999998</v>
      </c>
      <c r="G4163" s="5">
        <f t="shared" si="270"/>
        <v>0.29744920017293552</v>
      </c>
      <c r="H4163" s="2" t="s">
        <v>5</v>
      </c>
      <c r="I4163" s="6" t="s">
        <v>2300</v>
      </c>
      <c r="J4163" s="2" t="s">
        <v>5</v>
      </c>
      <c r="K4163" s="2" t="s">
        <v>5</v>
      </c>
      <c r="L4163" s="2" t="s">
        <v>5</v>
      </c>
      <c r="M4163" s="2" t="s">
        <v>5</v>
      </c>
      <c r="N4163" s="4">
        <v>0</v>
      </c>
    </row>
    <row r="4164" spans="1:14" x14ac:dyDescent="0.25">
      <c r="A4164" s="2" t="s">
        <v>290</v>
      </c>
      <c r="B4164" s="2" t="s">
        <v>291</v>
      </c>
      <c r="C4164" s="3">
        <v>32</v>
      </c>
      <c r="D4164" s="4">
        <v>740.16</v>
      </c>
      <c r="E4164" s="4">
        <v>520</v>
      </c>
      <c r="F4164" s="4">
        <f t="shared" si="269"/>
        <v>220.15999999999997</v>
      </c>
      <c r="G4164" s="5">
        <f t="shared" si="270"/>
        <v>0.29744920017293552</v>
      </c>
      <c r="H4164" s="2" t="s">
        <v>5</v>
      </c>
      <c r="I4164" s="6" t="s">
        <v>2300</v>
      </c>
      <c r="J4164" s="2" t="s">
        <v>5</v>
      </c>
      <c r="K4164" s="2" t="s">
        <v>5</v>
      </c>
      <c r="L4164" s="2" t="s">
        <v>5</v>
      </c>
      <c r="M4164" s="2" t="s">
        <v>5</v>
      </c>
      <c r="N4164" s="4">
        <v>0</v>
      </c>
    </row>
    <row r="4165" spans="1:14" x14ac:dyDescent="0.25">
      <c r="A4165" s="2" t="s">
        <v>290</v>
      </c>
      <c r="B4165" s="2" t="s">
        <v>291</v>
      </c>
      <c r="C4165" s="3">
        <v>32</v>
      </c>
      <c r="D4165" s="4">
        <v>740.16</v>
      </c>
      <c r="E4165" s="4">
        <v>520</v>
      </c>
      <c r="F4165" s="4">
        <f t="shared" si="269"/>
        <v>220.15999999999997</v>
      </c>
      <c r="G4165" s="5">
        <f t="shared" si="270"/>
        <v>0.29744920017293552</v>
      </c>
      <c r="H4165" s="2" t="s">
        <v>5</v>
      </c>
      <c r="I4165" s="6" t="s">
        <v>2300</v>
      </c>
      <c r="J4165" s="2" t="s">
        <v>5</v>
      </c>
      <c r="K4165" s="2" t="s">
        <v>5</v>
      </c>
      <c r="L4165" s="2" t="s">
        <v>5</v>
      </c>
      <c r="M4165" s="2" t="s">
        <v>5</v>
      </c>
      <c r="N4165" s="4">
        <v>0</v>
      </c>
    </row>
    <row r="4166" spans="1:14" x14ac:dyDescent="0.25">
      <c r="A4166" s="2" t="s">
        <v>290</v>
      </c>
      <c r="B4166" s="2" t="s">
        <v>291</v>
      </c>
      <c r="C4166" s="3">
        <v>16</v>
      </c>
      <c r="D4166" s="4">
        <v>370.08</v>
      </c>
      <c r="E4166" s="4">
        <v>260</v>
      </c>
      <c r="F4166" s="4">
        <f t="shared" si="269"/>
        <v>110.07999999999998</v>
      </c>
      <c r="G4166" s="5">
        <f t="shared" si="270"/>
        <v>0.29744920017293552</v>
      </c>
      <c r="H4166" s="2" t="s">
        <v>5</v>
      </c>
      <c r="I4166" s="6" t="s">
        <v>2300</v>
      </c>
      <c r="J4166" s="2" t="s">
        <v>5</v>
      </c>
      <c r="K4166" s="2" t="s">
        <v>5</v>
      </c>
      <c r="L4166" s="2" t="s">
        <v>5</v>
      </c>
      <c r="M4166" s="2" t="s">
        <v>5</v>
      </c>
      <c r="N4166" s="4">
        <v>0</v>
      </c>
    </row>
    <row r="4167" spans="1:14" x14ac:dyDescent="0.25">
      <c r="A4167" s="2" t="s">
        <v>290</v>
      </c>
      <c r="B4167" s="2" t="s">
        <v>291</v>
      </c>
      <c r="C4167" s="3">
        <v>48</v>
      </c>
      <c r="D4167" s="4">
        <v>1110.24</v>
      </c>
      <c r="E4167" s="4">
        <v>780</v>
      </c>
      <c r="F4167" s="4">
        <f t="shared" si="269"/>
        <v>330.24</v>
      </c>
      <c r="G4167" s="5">
        <f t="shared" si="270"/>
        <v>0.29744920017293558</v>
      </c>
      <c r="H4167" s="2" t="s">
        <v>5</v>
      </c>
      <c r="I4167" s="6" t="s">
        <v>2300</v>
      </c>
      <c r="J4167" s="2" t="s">
        <v>5</v>
      </c>
      <c r="K4167" s="2" t="s">
        <v>5</v>
      </c>
      <c r="L4167" s="2" t="s">
        <v>5</v>
      </c>
      <c r="M4167" s="2" t="s">
        <v>5</v>
      </c>
      <c r="N4167" s="4">
        <v>0</v>
      </c>
    </row>
    <row r="4168" spans="1:14" x14ac:dyDescent="0.25">
      <c r="A4168" s="2" t="s">
        <v>290</v>
      </c>
      <c r="B4168" s="2" t="s">
        <v>291</v>
      </c>
      <c r="C4168" s="3">
        <v>16</v>
      </c>
      <c r="D4168" s="4">
        <v>370.08</v>
      </c>
      <c r="E4168" s="4">
        <v>260</v>
      </c>
      <c r="F4168" s="4">
        <f t="shared" si="269"/>
        <v>110.07999999999998</v>
      </c>
      <c r="G4168" s="5">
        <f t="shared" si="270"/>
        <v>0.29744920017293552</v>
      </c>
      <c r="H4168" s="2" t="s">
        <v>5</v>
      </c>
      <c r="I4168" s="6" t="s">
        <v>2300</v>
      </c>
      <c r="J4168" s="2" t="s">
        <v>5</v>
      </c>
      <c r="K4168" s="2" t="s">
        <v>5</v>
      </c>
      <c r="L4168" s="2" t="s">
        <v>5</v>
      </c>
      <c r="M4168" s="2" t="s">
        <v>5</v>
      </c>
      <c r="N4168" s="4">
        <v>0</v>
      </c>
    </row>
    <row r="4169" spans="1:14" x14ac:dyDescent="0.25">
      <c r="A4169" s="2" t="s">
        <v>290</v>
      </c>
      <c r="B4169" s="2" t="s">
        <v>291</v>
      </c>
      <c r="C4169" s="3">
        <v>16</v>
      </c>
      <c r="D4169" s="4">
        <v>370.08</v>
      </c>
      <c r="E4169" s="4">
        <v>260</v>
      </c>
      <c r="F4169" s="4">
        <f t="shared" si="269"/>
        <v>110.07999999999998</v>
      </c>
      <c r="G4169" s="5">
        <f t="shared" si="270"/>
        <v>0.29744920017293552</v>
      </c>
      <c r="H4169" s="2" t="s">
        <v>5</v>
      </c>
      <c r="I4169" s="6" t="s">
        <v>2300</v>
      </c>
      <c r="J4169" s="2" t="s">
        <v>5</v>
      </c>
      <c r="K4169" s="2" t="s">
        <v>5</v>
      </c>
      <c r="L4169" s="2" t="s">
        <v>5</v>
      </c>
      <c r="M4169" s="2" t="s">
        <v>5</v>
      </c>
      <c r="N4169" s="4">
        <v>0</v>
      </c>
    </row>
    <row r="4170" spans="1:14" x14ac:dyDescent="0.25">
      <c r="A4170" s="2" t="s">
        <v>290</v>
      </c>
      <c r="B4170" s="2" t="s">
        <v>291</v>
      </c>
      <c r="C4170" s="3">
        <v>16</v>
      </c>
      <c r="D4170" s="4">
        <v>370.08</v>
      </c>
      <c r="E4170" s="4">
        <v>260</v>
      </c>
      <c r="F4170" s="4">
        <f t="shared" si="269"/>
        <v>110.07999999999998</v>
      </c>
      <c r="G4170" s="5">
        <f t="shared" si="270"/>
        <v>0.29744920017293552</v>
      </c>
      <c r="H4170" s="2" t="s">
        <v>5</v>
      </c>
      <c r="I4170" s="6" t="s">
        <v>2300</v>
      </c>
      <c r="J4170" s="2" t="s">
        <v>5</v>
      </c>
      <c r="K4170" s="2" t="s">
        <v>5</v>
      </c>
      <c r="L4170" s="2" t="s">
        <v>5</v>
      </c>
      <c r="M4170" s="2" t="s">
        <v>5</v>
      </c>
      <c r="N4170" s="4">
        <v>0</v>
      </c>
    </row>
    <row r="4171" spans="1:14" x14ac:dyDescent="0.25">
      <c r="A4171" s="2" t="s">
        <v>290</v>
      </c>
      <c r="B4171" s="2" t="s">
        <v>291</v>
      </c>
      <c r="C4171" s="3">
        <v>48</v>
      </c>
      <c r="D4171" s="4">
        <v>1110.24</v>
      </c>
      <c r="E4171" s="4">
        <v>780</v>
      </c>
      <c r="F4171" s="4">
        <f t="shared" si="269"/>
        <v>330.24</v>
      </c>
      <c r="G4171" s="5">
        <f t="shared" si="270"/>
        <v>0.29744920017293558</v>
      </c>
      <c r="H4171" s="2" t="s">
        <v>5</v>
      </c>
      <c r="I4171" s="6" t="s">
        <v>2300</v>
      </c>
      <c r="J4171" s="2" t="s">
        <v>5</v>
      </c>
      <c r="K4171" s="2" t="s">
        <v>5</v>
      </c>
      <c r="L4171" s="2" t="s">
        <v>5</v>
      </c>
      <c r="M4171" s="2" t="s">
        <v>5</v>
      </c>
      <c r="N4171" s="4">
        <v>0</v>
      </c>
    </row>
    <row r="4172" spans="1:14" x14ac:dyDescent="0.25">
      <c r="A4172" s="2" t="s">
        <v>949</v>
      </c>
      <c r="B4172" s="2" t="s">
        <v>950</v>
      </c>
      <c r="C4172" s="3">
        <v>41.75</v>
      </c>
      <c r="D4172" s="4">
        <v>766.94749999999999</v>
      </c>
      <c r="E4172" s="4">
        <v>388.27499999999998</v>
      </c>
      <c r="F4172" s="4">
        <f t="shared" si="269"/>
        <v>378.67250000000001</v>
      </c>
      <c r="G4172" s="5">
        <f t="shared" si="270"/>
        <v>0.49373979314099076</v>
      </c>
      <c r="H4172" s="2" t="s">
        <v>5</v>
      </c>
      <c r="I4172" s="6" t="s">
        <v>2300</v>
      </c>
      <c r="J4172" s="2" t="s">
        <v>5</v>
      </c>
      <c r="K4172" s="2" t="s">
        <v>5</v>
      </c>
      <c r="L4172" s="2" t="s">
        <v>5</v>
      </c>
      <c r="M4172" s="2" t="s">
        <v>5</v>
      </c>
      <c r="N4172" s="4">
        <v>0</v>
      </c>
    </row>
    <row r="4173" spans="1:14" x14ac:dyDescent="0.25">
      <c r="A4173" s="2" t="s">
        <v>949</v>
      </c>
      <c r="B4173" s="2" t="s">
        <v>950</v>
      </c>
      <c r="C4173" s="3">
        <v>27.55</v>
      </c>
      <c r="D4173" s="4">
        <v>506.09350000000001</v>
      </c>
      <c r="E4173" s="4">
        <v>256.21499999999997</v>
      </c>
      <c r="F4173" s="4">
        <f t="shared" si="269"/>
        <v>249.87850000000003</v>
      </c>
      <c r="G4173" s="5">
        <f t="shared" si="270"/>
        <v>0.49373979314099081</v>
      </c>
      <c r="H4173" s="2" t="s">
        <v>5</v>
      </c>
      <c r="I4173" s="6" t="s">
        <v>2300</v>
      </c>
      <c r="J4173" s="2" t="s">
        <v>5</v>
      </c>
      <c r="K4173" s="2" t="s">
        <v>5</v>
      </c>
      <c r="L4173" s="2" t="s">
        <v>5</v>
      </c>
      <c r="M4173" s="2" t="s">
        <v>5</v>
      </c>
      <c r="N4173" s="4">
        <v>0</v>
      </c>
    </row>
    <row r="4174" spans="1:14" x14ac:dyDescent="0.25">
      <c r="A4174" s="2" t="s">
        <v>949</v>
      </c>
      <c r="B4174" s="2" t="s">
        <v>950</v>
      </c>
      <c r="C4174" s="3">
        <v>15.35</v>
      </c>
      <c r="D4174" s="4">
        <v>281.97949999999997</v>
      </c>
      <c r="E4174" s="4">
        <v>142.755</v>
      </c>
      <c r="F4174" s="4">
        <f t="shared" si="269"/>
        <v>139.22449999999998</v>
      </c>
      <c r="G4174" s="5">
        <f t="shared" si="270"/>
        <v>0.4937397931409907</v>
      </c>
      <c r="H4174" s="2" t="s">
        <v>5</v>
      </c>
      <c r="I4174" s="6" t="s">
        <v>2300</v>
      </c>
      <c r="J4174" s="2" t="s">
        <v>5</v>
      </c>
      <c r="K4174" s="2" t="s">
        <v>5</v>
      </c>
      <c r="L4174" s="2" t="s">
        <v>5</v>
      </c>
      <c r="M4174" s="2" t="s">
        <v>5</v>
      </c>
      <c r="N4174" s="4">
        <v>0</v>
      </c>
    </row>
    <row r="4175" spans="1:14" x14ac:dyDescent="0.25">
      <c r="A4175" s="2" t="s">
        <v>764</v>
      </c>
      <c r="B4175" s="2" t="s">
        <v>765</v>
      </c>
      <c r="C4175" s="3">
        <v>12</v>
      </c>
      <c r="D4175" s="4">
        <v>143.88</v>
      </c>
      <c r="E4175" s="4">
        <v>94.8</v>
      </c>
      <c r="F4175" s="4">
        <f t="shared" si="269"/>
        <v>49.08</v>
      </c>
      <c r="G4175" s="5">
        <f t="shared" si="270"/>
        <v>0.34111759799833197</v>
      </c>
      <c r="H4175" s="2" t="s">
        <v>5</v>
      </c>
      <c r="I4175" s="6" t="s">
        <v>2300</v>
      </c>
      <c r="J4175" s="2" t="s">
        <v>5</v>
      </c>
      <c r="K4175" s="2" t="s">
        <v>5</v>
      </c>
      <c r="L4175" s="2" t="s">
        <v>5</v>
      </c>
      <c r="M4175" s="2" t="s">
        <v>5</v>
      </c>
      <c r="N4175" s="4">
        <v>0</v>
      </c>
    </row>
    <row r="4176" spans="1:14" x14ac:dyDescent="0.25">
      <c r="A4176" s="2" t="s">
        <v>292</v>
      </c>
      <c r="B4176" s="2" t="s">
        <v>293</v>
      </c>
      <c r="C4176" s="3">
        <v>57.37</v>
      </c>
      <c r="D4176" s="4">
        <v>1169.7743</v>
      </c>
      <c r="E4176" s="4">
        <v>946.60500000000002</v>
      </c>
      <c r="F4176" s="4">
        <f t="shared" si="269"/>
        <v>223.16930000000002</v>
      </c>
      <c r="G4176" s="5">
        <f t="shared" si="270"/>
        <v>0.19077979401667486</v>
      </c>
      <c r="H4176" s="2" t="s">
        <v>5</v>
      </c>
      <c r="I4176" s="6" t="s">
        <v>2300</v>
      </c>
      <c r="J4176" s="2" t="s">
        <v>5</v>
      </c>
      <c r="K4176" s="2" t="s">
        <v>5</v>
      </c>
      <c r="L4176" s="2" t="s">
        <v>5</v>
      </c>
      <c r="M4176" s="2" t="s">
        <v>5</v>
      </c>
      <c r="N4176" s="4">
        <v>0</v>
      </c>
    </row>
    <row r="4177" spans="1:14" x14ac:dyDescent="0.25">
      <c r="A4177" s="2" t="s">
        <v>292</v>
      </c>
      <c r="B4177" s="2" t="s">
        <v>293</v>
      </c>
      <c r="C4177" s="3">
        <v>66.540000000000006</v>
      </c>
      <c r="D4177" s="4">
        <v>1356.7506000000001</v>
      </c>
      <c r="E4177" s="4">
        <v>1097.9100000000001</v>
      </c>
      <c r="F4177" s="4">
        <f t="shared" si="269"/>
        <v>258.84059999999999</v>
      </c>
      <c r="G4177" s="5">
        <f t="shared" si="270"/>
        <v>0.19077979401667483</v>
      </c>
      <c r="H4177" s="2" t="s">
        <v>5</v>
      </c>
      <c r="I4177" s="6" t="s">
        <v>2300</v>
      </c>
      <c r="J4177" s="2" t="s">
        <v>5</v>
      </c>
      <c r="K4177" s="2" t="s">
        <v>5</v>
      </c>
      <c r="L4177" s="2" t="s">
        <v>5</v>
      </c>
      <c r="M4177" s="2" t="s">
        <v>5</v>
      </c>
      <c r="N4177" s="4">
        <v>0</v>
      </c>
    </row>
    <row r="4178" spans="1:14" x14ac:dyDescent="0.25">
      <c r="A4178" s="2" t="s">
        <v>292</v>
      </c>
      <c r="B4178" s="2" t="s">
        <v>293</v>
      </c>
      <c r="C4178" s="3">
        <v>42.92</v>
      </c>
      <c r="D4178" s="4">
        <v>875.13879999999995</v>
      </c>
      <c r="E4178" s="4">
        <v>708.18</v>
      </c>
      <c r="F4178" s="4">
        <f t="shared" si="269"/>
        <v>166.9588</v>
      </c>
      <c r="G4178" s="5">
        <f t="shared" si="270"/>
        <v>0.19077979401667486</v>
      </c>
      <c r="H4178" s="2" t="s">
        <v>5</v>
      </c>
      <c r="I4178" s="6" t="s">
        <v>2300</v>
      </c>
      <c r="J4178" s="2" t="s">
        <v>5</v>
      </c>
      <c r="K4178" s="2" t="s">
        <v>5</v>
      </c>
      <c r="L4178" s="2" t="s">
        <v>5</v>
      </c>
      <c r="M4178" s="2" t="s">
        <v>5</v>
      </c>
      <c r="N4178" s="4">
        <v>0</v>
      </c>
    </row>
    <row r="4179" spans="1:14" x14ac:dyDescent="0.25">
      <c r="A4179" s="2" t="s">
        <v>292</v>
      </c>
      <c r="B4179" s="2" t="s">
        <v>293</v>
      </c>
      <c r="C4179" s="3">
        <v>66.819999999999993</v>
      </c>
      <c r="D4179" s="4">
        <v>1362.4598000000001</v>
      </c>
      <c r="E4179" s="4">
        <v>1102.53</v>
      </c>
      <c r="F4179" s="4">
        <f t="shared" si="269"/>
        <v>259.92980000000011</v>
      </c>
      <c r="G4179" s="5">
        <f t="shared" si="270"/>
        <v>0.19077979401667491</v>
      </c>
      <c r="H4179" s="2" t="s">
        <v>5</v>
      </c>
      <c r="I4179" s="6" t="s">
        <v>2300</v>
      </c>
      <c r="J4179" s="2" t="s">
        <v>5</v>
      </c>
      <c r="K4179" s="2" t="s">
        <v>5</v>
      </c>
      <c r="L4179" s="2" t="s">
        <v>5</v>
      </c>
      <c r="M4179" s="2" t="s">
        <v>5</v>
      </c>
      <c r="N4179" s="4">
        <v>0</v>
      </c>
    </row>
    <row r="4180" spans="1:14" x14ac:dyDescent="0.25">
      <c r="A4180" s="2" t="s">
        <v>292</v>
      </c>
      <c r="B4180" s="2" t="s">
        <v>293</v>
      </c>
      <c r="C4180" s="3">
        <v>26.35</v>
      </c>
      <c r="D4180" s="4">
        <v>537.27650000000006</v>
      </c>
      <c r="E4180" s="4">
        <v>434.77499999999998</v>
      </c>
      <c r="F4180" s="4">
        <f t="shared" si="269"/>
        <v>102.50150000000008</v>
      </c>
      <c r="G4180" s="5">
        <f t="shared" si="270"/>
        <v>0.19077979401667497</v>
      </c>
      <c r="H4180" s="2" t="s">
        <v>5</v>
      </c>
      <c r="I4180" s="6" t="s">
        <v>2300</v>
      </c>
      <c r="J4180" s="2" t="s">
        <v>5</v>
      </c>
      <c r="K4180" s="2" t="s">
        <v>5</v>
      </c>
      <c r="L4180" s="2" t="s">
        <v>5</v>
      </c>
      <c r="M4180" s="2" t="s">
        <v>5</v>
      </c>
      <c r="N4180" s="4">
        <v>0</v>
      </c>
    </row>
    <row r="4181" spans="1:14" x14ac:dyDescent="0.25">
      <c r="A4181" s="2" t="s">
        <v>292</v>
      </c>
      <c r="B4181" s="2" t="s">
        <v>293</v>
      </c>
      <c r="C4181" s="3">
        <v>74.63</v>
      </c>
      <c r="D4181" s="4">
        <v>1521.7057</v>
      </c>
      <c r="E4181" s="4">
        <v>1231.395</v>
      </c>
      <c r="F4181" s="4">
        <f t="shared" si="269"/>
        <v>290.3107</v>
      </c>
      <c r="G4181" s="5">
        <f t="shared" si="270"/>
        <v>0.19077979401667483</v>
      </c>
      <c r="H4181" s="2" t="s">
        <v>5</v>
      </c>
      <c r="I4181" s="6" t="s">
        <v>2300</v>
      </c>
      <c r="J4181" s="2" t="s">
        <v>5</v>
      </c>
      <c r="K4181" s="2" t="s">
        <v>5</v>
      </c>
      <c r="L4181" s="2" t="s">
        <v>5</v>
      </c>
      <c r="M4181" s="2" t="s">
        <v>5</v>
      </c>
      <c r="N4181" s="4">
        <v>0</v>
      </c>
    </row>
    <row r="4182" spans="1:14" x14ac:dyDescent="0.25">
      <c r="A4182" s="2" t="s">
        <v>292</v>
      </c>
      <c r="B4182" s="2" t="s">
        <v>293</v>
      </c>
      <c r="C4182" s="3">
        <v>97.22</v>
      </c>
      <c r="D4182" s="4">
        <v>1982.3158000000001</v>
      </c>
      <c r="E4182" s="4">
        <v>1604.13</v>
      </c>
      <c r="F4182" s="4">
        <f t="shared" si="269"/>
        <v>378.18579999999997</v>
      </c>
      <c r="G4182" s="5">
        <f t="shared" si="270"/>
        <v>0.19077979401667483</v>
      </c>
      <c r="H4182" s="2" t="s">
        <v>5</v>
      </c>
      <c r="I4182" s="6" t="s">
        <v>2300</v>
      </c>
      <c r="J4182" s="2" t="s">
        <v>5</v>
      </c>
      <c r="K4182" s="2" t="s">
        <v>5</v>
      </c>
      <c r="L4182" s="2" t="s">
        <v>5</v>
      </c>
      <c r="M4182" s="2" t="s">
        <v>5</v>
      </c>
      <c r="N4182" s="4">
        <v>0</v>
      </c>
    </row>
    <row r="4183" spans="1:14" x14ac:dyDescent="0.25">
      <c r="A4183" s="2" t="s">
        <v>292</v>
      </c>
      <c r="B4183" s="2" t="s">
        <v>293</v>
      </c>
      <c r="C4183" s="3">
        <v>103.75</v>
      </c>
      <c r="D4183" s="4">
        <v>2115.4625000000001</v>
      </c>
      <c r="E4183" s="4">
        <v>1711.875</v>
      </c>
      <c r="F4183" s="4">
        <f t="shared" si="269"/>
        <v>403.58750000000009</v>
      </c>
      <c r="G4183" s="5">
        <f t="shared" si="270"/>
        <v>0.19077979401667489</v>
      </c>
      <c r="H4183" s="2" t="s">
        <v>5</v>
      </c>
      <c r="I4183" s="6" t="s">
        <v>2300</v>
      </c>
      <c r="J4183" s="2" t="s">
        <v>5</v>
      </c>
      <c r="K4183" s="2" t="s">
        <v>5</v>
      </c>
      <c r="L4183" s="2" t="s">
        <v>5</v>
      </c>
      <c r="M4183" s="2" t="s">
        <v>5</v>
      </c>
      <c r="N4183" s="4">
        <v>0</v>
      </c>
    </row>
    <row r="4184" spans="1:14" x14ac:dyDescent="0.25">
      <c r="A4184" s="2" t="s">
        <v>292</v>
      </c>
      <c r="B4184" s="2" t="s">
        <v>293</v>
      </c>
      <c r="C4184" s="3">
        <v>62.54</v>
      </c>
      <c r="D4184" s="4">
        <v>1275.1905999999999</v>
      </c>
      <c r="E4184" s="4">
        <v>1031.9100000000001</v>
      </c>
      <c r="F4184" s="4">
        <f t="shared" si="269"/>
        <v>243.28059999999982</v>
      </c>
      <c r="G4184" s="5">
        <f t="shared" si="270"/>
        <v>0.19077979401667472</v>
      </c>
      <c r="H4184" s="2" t="s">
        <v>5</v>
      </c>
      <c r="I4184" s="6" t="s">
        <v>2300</v>
      </c>
      <c r="J4184" s="2" t="s">
        <v>5</v>
      </c>
      <c r="K4184" s="2" t="s">
        <v>5</v>
      </c>
      <c r="L4184" s="2" t="s">
        <v>5</v>
      </c>
      <c r="M4184" s="2" t="s">
        <v>5</v>
      </c>
      <c r="N4184" s="4">
        <v>0</v>
      </c>
    </row>
    <row r="4185" spans="1:14" x14ac:dyDescent="0.25">
      <c r="A4185" s="2" t="s">
        <v>292</v>
      </c>
      <c r="B4185" s="2" t="s">
        <v>293</v>
      </c>
      <c r="C4185" s="3">
        <v>42.44</v>
      </c>
      <c r="D4185" s="4">
        <v>865.35159999999996</v>
      </c>
      <c r="E4185" s="4">
        <v>700.26</v>
      </c>
      <c r="F4185" s="4">
        <f t="shared" si="269"/>
        <v>165.09159999999997</v>
      </c>
      <c r="G4185" s="5">
        <f t="shared" si="270"/>
        <v>0.1907797940166748</v>
      </c>
      <c r="H4185" s="2" t="s">
        <v>5</v>
      </c>
      <c r="I4185" s="6" t="s">
        <v>2300</v>
      </c>
      <c r="J4185" s="2" t="s">
        <v>5</v>
      </c>
      <c r="K4185" s="2" t="s">
        <v>5</v>
      </c>
      <c r="L4185" s="2" t="s">
        <v>5</v>
      </c>
      <c r="M4185" s="2" t="s">
        <v>5</v>
      </c>
      <c r="N4185" s="4">
        <v>0</v>
      </c>
    </row>
    <row r="4186" spans="1:14" x14ac:dyDescent="0.25">
      <c r="A4186" s="2" t="s">
        <v>766</v>
      </c>
      <c r="B4186" s="2" t="s">
        <v>767</v>
      </c>
      <c r="C4186" s="3">
        <v>32</v>
      </c>
      <c r="D4186" s="4">
        <v>488.64</v>
      </c>
      <c r="E4186" s="4">
        <v>304</v>
      </c>
      <c r="F4186" s="4">
        <f t="shared" si="269"/>
        <v>184.64</v>
      </c>
      <c r="G4186" s="5">
        <f t="shared" si="270"/>
        <v>0.37786509495743287</v>
      </c>
      <c r="H4186" s="2" t="s">
        <v>5</v>
      </c>
      <c r="I4186" s="6" t="s">
        <v>2300</v>
      </c>
      <c r="J4186" s="2" t="s">
        <v>5</v>
      </c>
      <c r="K4186" s="2" t="s">
        <v>5</v>
      </c>
      <c r="L4186" s="2" t="s">
        <v>5</v>
      </c>
      <c r="M4186" s="2" t="s">
        <v>5</v>
      </c>
      <c r="N4186" s="4">
        <v>0</v>
      </c>
    </row>
    <row r="4187" spans="1:14" x14ac:dyDescent="0.25">
      <c r="A4187" s="2" t="s">
        <v>766</v>
      </c>
      <c r="B4187" s="2" t="s">
        <v>767</v>
      </c>
      <c r="C4187" s="3">
        <v>16</v>
      </c>
      <c r="D4187" s="4">
        <v>244.32</v>
      </c>
      <c r="E4187" s="4">
        <v>152</v>
      </c>
      <c r="F4187" s="4">
        <f t="shared" si="269"/>
        <v>92.32</v>
      </c>
      <c r="G4187" s="5">
        <f t="shared" si="270"/>
        <v>0.37786509495743287</v>
      </c>
      <c r="H4187" s="2" t="s">
        <v>5</v>
      </c>
      <c r="I4187" s="6" t="s">
        <v>2300</v>
      </c>
      <c r="J4187" s="2" t="s">
        <v>5</v>
      </c>
      <c r="K4187" s="2" t="s">
        <v>5</v>
      </c>
      <c r="L4187" s="2" t="s">
        <v>5</v>
      </c>
      <c r="M4187" s="2" t="s">
        <v>5</v>
      </c>
      <c r="N4187" s="4">
        <v>0</v>
      </c>
    </row>
    <row r="4188" spans="1:14" x14ac:dyDescent="0.25">
      <c r="A4188" s="2" t="s">
        <v>766</v>
      </c>
      <c r="B4188" s="2" t="s">
        <v>767</v>
      </c>
      <c r="C4188" s="3">
        <v>16</v>
      </c>
      <c r="D4188" s="4">
        <v>244.32</v>
      </c>
      <c r="E4188" s="4">
        <v>152</v>
      </c>
      <c r="F4188" s="4">
        <f t="shared" si="269"/>
        <v>92.32</v>
      </c>
      <c r="G4188" s="5">
        <f t="shared" si="270"/>
        <v>0.37786509495743287</v>
      </c>
      <c r="H4188" s="2" t="s">
        <v>5</v>
      </c>
      <c r="I4188" s="6" t="s">
        <v>2300</v>
      </c>
      <c r="J4188" s="2" t="s">
        <v>5</v>
      </c>
      <c r="K4188" s="2" t="s">
        <v>5</v>
      </c>
      <c r="L4188" s="2" t="s">
        <v>5</v>
      </c>
      <c r="M4188" s="2" t="s">
        <v>5</v>
      </c>
      <c r="N4188" s="4">
        <v>0</v>
      </c>
    </row>
    <row r="4189" spans="1:14" x14ac:dyDescent="0.25">
      <c r="A4189" s="2" t="s">
        <v>1315</v>
      </c>
      <c r="B4189" s="2" t="s">
        <v>1316</v>
      </c>
      <c r="C4189" s="3">
        <v>64.3</v>
      </c>
      <c r="D4189" s="4">
        <v>1135.538</v>
      </c>
      <c r="E4189" s="4">
        <v>559.41</v>
      </c>
      <c r="F4189" s="4">
        <f t="shared" si="269"/>
        <v>576.12800000000004</v>
      </c>
      <c r="G4189" s="5">
        <f t="shared" si="270"/>
        <v>0.50736126840317108</v>
      </c>
      <c r="H4189" s="2" t="s">
        <v>5</v>
      </c>
      <c r="I4189" s="6" t="s">
        <v>2300</v>
      </c>
      <c r="J4189" s="2" t="s">
        <v>5</v>
      </c>
      <c r="K4189" s="2" t="s">
        <v>5</v>
      </c>
      <c r="L4189" s="2" t="s">
        <v>5</v>
      </c>
      <c r="M4189" s="2" t="s">
        <v>5</v>
      </c>
      <c r="N4189" s="4">
        <v>0</v>
      </c>
    </row>
    <row r="4190" spans="1:14" x14ac:dyDescent="0.25">
      <c r="A4190" s="2" t="s">
        <v>768</v>
      </c>
      <c r="B4190" s="2" t="s">
        <v>769</v>
      </c>
      <c r="C4190" s="3">
        <v>99.55</v>
      </c>
      <c r="D4190" s="4">
        <v>1757.0574999999999</v>
      </c>
      <c r="E4190" s="4">
        <v>1095.05</v>
      </c>
      <c r="F4190" s="4">
        <f t="shared" si="269"/>
        <v>662.00749999999994</v>
      </c>
      <c r="G4190" s="5">
        <f t="shared" si="270"/>
        <v>0.37677053824362605</v>
      </c>
      <c r="H4190" s="2" t="s">
        <v>5</v>
      </c>
      <c r="I4190" s="6" t="s">
        <v>2300</v>
      </c>
      <c r="J4190" s="2" t="s">
        <v>5</v>
      </c>
      <c r="K4190" s="2" t="s">
        <v>5</v>
      </c>
      <c r="L4190" s="2" t="s">
        <v>5</v>
      </c>
      <c r="M4190" s="2" t="s">
        <v>5</v>
      </c>
      <c r="N4190" s="4">
        <v>0</v>
      </c>
    </row>
    <row r="4191" spans="1:14" x14ac:dyDescent="0.25">
      <c r="A4191" s="2" t="s">
        <v>768</v>
      </c>
      <c r="B4191" s="2" t="s">
        <v>769</v>
      </c>
      <c r="C4191" s="3">
        <v>53.28</v>
      </c>
      <c r="D4191" s="4">
        <v>940.39200000000005</v>
      </c>
      <c r="E4191" s="4">
        <v>586.08000000000004</v>
      </c>
      <c r="F4191" s="4">
        <f t="shared" si="269"/>
        <v>354.31200000000001</v>
      </c>
      <c r="G4191" s="5">
        <f t="shared" si="270"/>
        <v>0.37677053824362605</v>
      </c>
      <c r="H4191" s="2" t="s">
        <v>5</v>
      </c>
      <c r="I4191" s="6" t="s">
        <v>2300</v>
      </c>
      <c r="J4191" s="2" t="s">
        <v>5</v>
      </c>
      <c r="K4191" s="2" t="s">
        <v>5</v>
      </c>
      <c r="L4191" s="2" t="s">
        <v>5</v>
      </c>
      <c r="M4191" s="2" t="s">
        <v>5</v>
      </c>
      <c r="N4191" s="4">
        <v>0</v>
      </c>
    </row>
    <row r="4192" spans="1:14" x14ac:dyDescent="0.25">
      <c r="A4192" s="2" t="s">
        <v>768</v>
      </c>
      <c r="B4192" s="2" t="s">
        <v>769</v>
      </c>
      <c r="C4192" s="3">
        <v>36.67</v>
      </c>
      <c r="D4192" s="4">
        <v>647.22550000000001</v>
      </c>
      <c r="E4192" s="4">
        <v>403.37</v>
      </c>
      <c r="F4192" s="4">
        <f t="shared" si="269"/>
        <v>243.85550000000001</v>
      </c>
      <c r="G4192" s="5">
        <f t="shared" si="270"/>
        <v>0.37677053824362605</v>
      </c>
      <c r="H4192" s="2" t="s">
        <v>5</v>
      </c>
      <c r="I4192" s="6" t="s">
        <v>2300</v>
      </c>
      <c r="J4192" s="2" t="s">
        <v>5</v>
      </c>
      <c r="K4192" s="2" t="s">
        <v>5</v>
      </c>
      <c r="L4192" s="2" t="s">
        <v>5</v>
      </c>
      <c r="M4192" s="2" t="s">
        <v>5</v>
      </c>
      <c r="N4192" s="4">
        <v>0</v>
      </c>
    </row>
    <row r="4193" spans="1:14" x14ac:dyDescent="0.25">
      <c r="A4193" s="2" t="s">
        <v>768</v>
      </c>
      <c r="B4193" s="2" t="s">
        <v>769</v>
      </c>
      <c r="C4193" s="3">
        <v>53.86</v>
      </c>
      <c r="D4193" s="4">
        <v>950.62900000000002</v>
      </c>
      <c r="E4193" s="4">
        <v>592.46</v>
      </c>
      <c r="F4193" s="4">
        <f t="shared" ref="F4193:F4256" si="271">D4193-E4193</f>
        <v>358.16899999999998</v>
      </c>
      <c r="G4193" s="5">
        <f t="shared" ref="G4193:G4256" si="272">IF(((D4193)=0),0,(D4193-E4193)/ D4193)</f>
        <v>0.37677053824362605</v>
      </c>
      <c r="H4193" s="2" t="s">
        <v>5</v>
      </c>
      <c r="I4193" s="6" t="s">
        <v>2300</v>
      </c>
      <c r="J4193" s="2" t="s">
        <v>5</v>
      </c>
      <c r="K4193" s="2" t="s">
        <v>5</v>
      </c>
      <c r="L4193" s="2" t="s">
        <v>5</v>
      </c>
      <c r="M4193" s="2" t="s">
        <v>5</v>
      </c>
      <c r="N4193" s="4">
        <v>0</v>
      </c>
    </row>
    <row r="4194" spans="1:14" x14ac:dyDescent="0.25">
      <c r="A4194" s="2" t="s">
        <v>768</v>
      </c>
      <c r="B4194" s="2" t="s">
        <v>769</v>
      </c>
      <c r="C4194" s="3">
        <v>418.29</v>
      </c>
      <c r="D4194" s="4">
        <v>7382.8185000000003</v>
      </c>
      <c r="E4194" s="4">
        <v>4601.1899999999996</v>
      </c>
      <c r="F4194" s="4">
        <f t="shared" si="271"/>
        <v>2781.6285000000007</v>
      </c>
      <c r="G4194" s="5">
        <f t="shared" si="272"/>
        <v>0.37677053824362616</v>
      </c>
      <c r="H4194" s="2" t="s">
        <v>5</v>
      </c>
      <c r="I4194" s="6" t="s">
        <v>2300</v>
      </c>
      <c r="J4194" s="2" t="s">
        <v>5</v>
      </c>
      <c r="K4194" s="2" t="s">
        <v>5</v>
      </c>
      <c r="L4194" s="2" t="s">
        <v>5</v>
      </c>
      <c r="M4194" s="2" t="s">
        <v>5</v>
      </c>
      <c r="N4194" s="4">
        <v>0</v>
      </c>
    </row>
    <row r="4195" spans="1:14" x14ac:dyDescent="0.25">
      <c r="A4195" s="2" t="s">
        <v>1317</v>
      </c>
      <c r="B4195" s="2" t="s">
        <v>1318</v>
      </c>
      <c r="C4195" s="3">
        <v>26.12</v>
      </c>
      <c r="D4195" s="4">
        <v>479.82440000000003</v>
      </c>
      <c r="E4195" s="4">
        <v>284.70800000000003</v>
      </c>
      <c r="F4195" s="4">
        <f t="shared" si="271"/>
        <v>195.1164</v>
      </c>
      <c r="G4195" s="5">
        <f t="shared" si="272"/>
        <v>0.40664126292868807</v>
      </c>
      <c r="H4195" s="2" t="s">
        <v>5</v>
      </c>
      <c r="I4195" s="6" t="s">
        <v>2300</v>
      </c>
      <c r="J4195" s="2" t="s">
        <v>5</v>
      </c>
      <c r="K4195" s="2" t="s">
        <v>5</v>
      </c>
      <c r="L4195" s="2" t="s">
        <v>5</v>
      </c>
      <c r="M4195" s="2" t="s">
        <v>5</v>
      </c>
      <c r="N4195" s="4">
        <v>0</v>
      </c>
    </row>
    <row r="4196" spans="1:14" x14ac:dyDescent="0.25">
      <c r="A4196" s="2" t="s">
        <v>1317</v>
      </c>
      <c r="B4196" s="2" t="s">
        <v>1318</v>
      </c>
      <c r="C4196" s="3">
        <v>12.72</v>
      </c>
      <c r="D4196" s="4">
        <v>233.66640000000001</v>
      </c>
      <c r="E4196" s="4">
        <v>138.648</v>
      </c>
      <c r="F4196" s="4">
        <f t="shared" si="271"/>
        <v>95.018400000000014</v>
      </c>
      <c r="G4196" s="5">
        <f t="shared" si="272"/>
        <v>0.40664126292868813</v>
      </c>
      <c r="H4196" s="2" t="s">
        <v>5</v>
      </c>
      <c r="I4196" s="6" t="s">
        <v>2300</v>
      </c>
      <c r="J4196" s="2" t="s">
        <v>5</v>
      </c>
      <c r="K4196" s="2" t="s">
        <v>5</v>
      </c>
      <c r="L4196" s="2" t="s">
        <v>5</v>
      </c>
      <c r="M4196" s="2" t="s">
        <v>5</v>
      </c>
      <c r="N4196" s="4">
        <v>0</v>
      </c>
    </row>
    <row r="4197" spans="1:14" x14ac:dyDescent="0.25">
      <c r="A4197" s="2" t="s">
        <v>886</v>
      </c>
      <c r="B4197" s="2" t="s">
        <v>887</v>
      </c>
      <c r="C4197" s="3">
        <v>30.1</v>
      </c>
      <c r="D4197" s="4">
        <v>306.71899999999999</v>
      </c>
      <c r="E4197" s="4">
        <v>213.71</v>
      </c>
      <c r="F4197" s="4">
        <f t="shared" si="271"/>
        <v>93.008999999999986</v>
      </c>
      <c r="G4197" s="5">
        <f t="shared" si="272"/>
        <v>0.30323846908734048</v>
      </c>
      <c r="H4197" s="2" t="s">
        <v>5</v>
      </c>
      <c r="I4197" s="6" t="s">
        <v>2300</v>
      </c>
      <c r="J4197" s="2" t="s">
        <v>5</v>
      </c>
      <c r="K4197" s="2" t="s">
        <v>5</v>
      </c>
      <c r="L4197" s="2" t="s">
        <v>5</v>
      </c>
      <c r="M4197" s="2" t="s">
        <v>5</v>
      </c>
      <c r="N4197" s="4">
        <v>0</v>
      </c>
    </row>
    <row r="4198" spans="1:14" x14ac:dyDescent="0.25">
      <c r="A4198" s="2" t="s">
        <v>886</v>
      </c>
      <c r="B4198" s="2" t="s">
        <v>887</v>
      </c>
      <c r="C4198" s="3">
        <v>15.66</v>
      </c>
      <c r="D4198" s="4">
        <v>159.5754</v>
      </c>
      <c r="E4198" s="4">
        <v>111.18600000000001</v>
      </c>
      <c r="F4198" s="4">
        <f t="shared" si="271"/>
        <v>48.389399999999995</v>
      </c>
      <c r="G4198" s="5">
        <f t="shared" si="272"/>
        <v>0.30323846908734048</v>
      </c>
      <c r="H4198" s="2" t="s">
        <v>5</v>
      </c>
      <c r="I4198" s="6" t="s">
        <v>2300</v>
      </c>
      <c r="J4198" s="2" t="s">
        <v>5</v>
      </c>
      <c r="K4198" s="2" t="s">
        <v>5</v>
      </c>
      <c r="L4198" s="2" t="s">
        <v>5</v>
      </c>
      <c r="M4198" s="2" t="s">
        <v>5</v>
      </c>
      <c r="N4198" s="4">
        <v>0</v>
      </c>
    </row>
    <row r="4199" spans="1:14" x14ac:dyDescent="0.25">
      <c r="A4199" s="2" t="s">
        <v>886</v>
      </c>
      <c r="B4199" s="2" t="s">
        <v>887</v>
      </c>
      <c r="C4199" s="3">
        <v>20.83</v>
      </c>
      <c r="D4199" s="4">
        <v>212.2577</v>
      </c>
      <c r="E4199" s="4">
        <v>147.893</v>
      </c>
      <c r="F4199" s="4">
        <f t="shared" si="271"/>
        <v>64.364699999999999</v>
      </c>
      <c r="G4199" s="5">
        <f t="shared" si="272"/>
        <v>0.30323846908734053</v>
      </c>
      <c r="H4199" s="2" t="s">
        <v>5</v>
      </c>
      <c r="I4199" s="6" t="s">
        <v>2300</v>
      </c>
      <c r="J4199" s="2" t="s">
        <v>5</v>
      </c>
      <c r="K4199" s="2" t="s">
        <v>5</v>
      </c>
      <c r="L4199" s="2" t="s">
        <v>5</v>
      </c>
      <c r="M4199" s="2" t="s">
        <v>5</v>
      </c>
      <c r="N4199" s="4">
        <v>0</v>
      </c>
    </row>
    <row r="4200" spans="1:14" x14ac:dyDescent="0.25">
      <c r="A4200" s="2" t="s">
        <v>886</v>
      </c>
      <c r="B4200" s="2" t="s">
        <v>887</v>
      </c>
      <c r="C4200" s="3">
        <v>1.792</v>
      </c>
      <c r="D4200" s="4">
        <v>18.260480000000001</v>
      </c>
      <c r="E4200" s="4">
        <v>12.7232</v>
      </c>
      <c r="F4200" s="4">
        <f t="shared" si="271"/>
        <v>5.5372800000000009</v>
      </c>
      <c r="G4200" s="5">
        <f t="shared" si="272"/>
        <v>0.30323846908734053</v>
      </c>
      <c r="H4200" s="2" t="s">
        <v>5</v>
      </c>
      <c r="I4200" s="6" t="s">
        <v>2300</v>
      </c>
      <c r="J4200" s="2" t="s">
        <v>5</v>
      </c>
      <c r="K4200" s="2" t="s">
        <v>5</v>
      </c>
      <c r="L4200" s="2" t="s">
        <v>5</v>
      </c>
      <c r="M4200" s="2" t="s">
        <v>5</v>
      </c>
      <c r="N4200" s="4">
        <v>0</v>
      </c>
    </row>
    <row r="4201" spans="1:14" x14ac:dyDescent="0.25">
      <c r="A4201" s="2" t="s">
        <v>770</v>
      </c>
      <c r="B4201" s="2" t="s">
        <v>771</v>
      </c>
      <c r="C4201" s="3">
        <v>30</v>
      </c>
      <c r="D4201" s="4">
        <v>442.5</v>
      </c>
      <c r="E4201" s="4">
        <v>262.5</v>
      </c>
      <c r="F4201" s="4">
        <f t="shared" si="271"/>
        <v>180</v>
      </c>
      <c r="G4201" s="5">
        <f t="shared" si="272"/>
        <v>0.40677966101694918</v>
      </c>
      <c r="H4201" s="2" t="s">
        <v>5</v>
      </c>
      <c r="I4201" s="6" t="s">
        <v>2300</v>
      </c>
      <c r="J4201" s="2" t="s">
        <v>5</v>
      </c>
      <c r="K4201" s="2" t="s">
        <v>5</v>
      </c>
      <c r="L4201" s="2" t="s">
        <v>5</v>
      </c>
      <c r="M4201" s="2" t="s">
        <v>5</v>
      </c>
      <c r="N4201" s="4">
        <v>0</v>
      </c>
    </row>
    <row r="4202" spans="1:14" x14ac:dyDescent="0.25">
      <c r="A4202" s="2" t="s">
        <v>770</v>
      </c>
      <c r="B4202" s="2" t="s">
        <v>771</v>
      </c>
      <c r="C4202" s="3">
        <v>77.900000000000006</v>
      </c>
      <c r="D4202" s="4">
        <v>1149.0250000000001</v>
      </c>
      <c r="E4202" s="4">
        <v>681.625</v>
      </c>
      <c r="F4202" s="4">
        <f t="shared" si="271"/>
        <v>467.40000000000009</v>
      </c>
      <c r="G4202" s="5">
        <f t="shared" si="272"/>
        <v>0.40677966101694918</v>
      </c>
      <c r="H4202" s="2" t="s">
        <v>5</v>
      </c>
      <c r="I4202" s="6" t="s">
        <v>2300</v>
      </c>
      <c r="J4202" s="2" t="s">
        <v>5</v>
      </c>
      <c r="K4202" s="2" t="s">
        <v>5</v>
      </c>
      <c r="L4202" s="2" t="s">
        <v>5</v>
      </c>
      <c r="M4202" s="2" t="s">
        <v>5</v>
      </c>
      <c r="N4202" s="4">
        <v>0</v>
      </c>
    </row>
    <row r="4203" spans="1:14" x14ac:dyDescent="0.25">
      <c r="A4203" s="2" t="s">
        <v>770</v>
      </c>
      <c r="B4203" s="2" t="s">
        <v>771</v>
      </c>
      <c r="C4203" s="3">
        <v>30</v>
      </c>
      <c r="D4203" s="4">
        <v>442.5</v>
      </c>
      <c r="E4203" s="4">
        <v>262.5</v>
      </c>
      <c r="F4203" s="4">
        <f t="shared" si="271"/>
        <v>180</v>
      </c>
      <c r="G4203" s="5">
        <f t="shared" si="272"/>
        <v>0.40677966101694918</v>
      </c>
      <c r="H4203" s="2" t="s">
        <v>5</v>
      </c>
      <c r="I4203" s="6" t="s">
        <v>2300</v>
      </c>
      <c r="J4203" s="2" t="s">
        <v>5</v>
      </c>
      <c r="K4203" s="2" t="s">
        <v>5</v>
      </c>
      <c r="L4203" s="2" t="s">
        <v>5</v>
      </c>
      <c r="M4203" s="2" t="s">
        <v>5</v>
      </c>
      <c r="N4203" s="4">
        <v>0</v>
      </c>
    </row>
    <row r="4204" spans="1:14" x14ac:dyDescent="0.25">
      <c r="A4204" s="2" t="s">
        <v>770</v>
      </c>
      <c r="B4204" s="2" t="s">
        <v>771</v>
      </c>
      <c r="C4204" s="3">
        <v>10</v>
      </c>
      <c r="D4204" s="4">
        <v>147.5</v>
      </c>
      <c r="E4204" s="4">
        <v>87.5</v>
      </c>
      <c r="F4204" s="4">
        <f t="shared" si="271"/>
        <v>60</v>
      </c>
      <c r="G4204" s="5">
        <f t="shared" si="272"/>
        <v>0.40677966101694918</v>
      </c>
      <c r="H4204" s="2" t="s">
        <v>5</v>
      </c>
      <c r="I4204" s="6" t="s">
        <v>2300</v>
      </c>
      <c r="J4204" s="2" t="s">
        <v>5</v>
      </c>
      <c r="K4204" s="2" t="s">
        <v>5</v>
      </c>
      <c r="L4204" s="2" t="s">
        <v>5</v>
      </c>
      <c r="M4204" s="2" t="s">
        <v>5</v>
      </c>
      <c r="N4204" s="4">
        <v>0</v>
      </c>
    </row>
    <row r="4205" spans="1:14" x14ac:dyDescent="0.25">
      <c r="A4205" s="2" t="s">
        <v>770</v>
      </c>
      <c r="B4205" s="2" t="s">
        <v>771</v>
      </c>
      <c r="C4205" s="3">
        <v>160</v>
      </c>
      <c r="D4205" s="4">
        <v>2360</v>
      </c>
      <c r="E4205" s="4">
        <v>1400</v>
      </c>
      <c r="F4205" s="4">
        <f t="shared" si="271"/>
        <v>960</v>
      </c>
      <c r="G4205" s="5">
        <f t="shared" si="272"/>
        <v>0.40677966101694918</v>
      </c>
      <c r="H4205" s="2" t="s">
        <v>5</v>
      </c>
      <c r="I4205" s="6" t="s">
        <v>2300</v>
      </c>
      <c r="J4205" s="2" t="s">
        <v>5</v>
      </c>
      <c r="K4205" s="2" t="s">
        <v>5</v>
      </c>
      <c r="L4205" s="2" t="s">
        <v>5</v>
      </c>
      <c r="M4205" s="2" t="s">
        <v>5</v>
      </c>
      <c r="N4205" s="4">
        <v>0</v>
      </c>
    </row>
    <row r="4206" spans="1:14" x14ac:dyDescent="0.25">
      <c r="A4206" s="2" t="s">
        <v>294</v>
      </c>
      <c r="B4206" s="2" t="s">
        <v>295</v>
      </c>
      <c r="C4206" s="3">
        <v>20.37</v>
      </c>
      <c r="D4206" s="4">
        <v>331.01249999999999</v>
      </c>
      <c r="E4206" s="4">
        <v>164.99700000000001</v>
      </c>
      <c r="F4206" s="4">
        <f t="shared" si="271"/>
        <v>166.01549999999997</v>
      </c>
      <c r="G4206" s="5">
        <f t="shared" si="272"/>
        <v>0.50153846153846149</v>
      </c>
      <c r="H4206" s="2" t="s">
        <v>5</v>
      </c>
      <c r="I4206" s="6" t="s">
        <v>2300</v>
      </c>
      <c r="J4206" s="2" t="s">
        <v>5</v>
      </c>
      <c r="K4206" s="2" t="s">
        <v>5</v>
      </c>
      <c r="L4206" s="2" t="s">
        <v>5</v>
      </c>
      <c r="M4206" s="2" t="s">
        <v>5</v>
      </c>
      <c r="N4206" s="4">
        <v>0</v>
      </c>
    </row>
    <row r="4207" spans="1:14" x14ac:dyDescent="0.25">
      <c r="A4207" s="2" t="s">
        <v>294</v>
      </c>
      <c r="B4207" s="2" t="s">
        <v>295</v>
      </c>
      <c r="C4207" s="3">
        <v>15.07</v>
      </c>
      <c r="D4207" s="4">
        <v>244.88749999999999</v>
      </c>
      <c r="E4207" s="4">
        <v>122.06699999999999</v>
      </c>
      <c r="F4207" s="4">
        <f t="shared" si="271"/>
        <v>122.8205</v>
      </c>
      <c r="G4207" s="5">
        <f t="shared" si="272"/>
        <v>0.50153846153846149</v>
      </c>
      <c r="H4207" s="2" t="s">
        <v>5</v>
      </c>
      <c r="I4207" s="6" t="s">
        <v>2300</v>
      </c>
      <c r="J4207" s="2" t="s">
        <v>5</v>
      </c>
      <c r="K4207" s="2" t="s">
        <v>5</v>
      </c>
      <c r="L4207" s="2" t="s">
        <v>5</v>
      </c>
      <c r="M4207" s="2" t="s">
        <v>5</v>
      </c>
      <c r="N4207" s="4">
        <v>0</v>
      </c>
    </row>
    <row r="4208" spans="1:14" x14ac:dyDescent="0.25">
      <c r="A4208" s="2" t="s">
        <v>294</v>
      </c>
      <c r="B4208" s="2" t="s">
        <v>295</v>
      </c>
      <c r="C4208" s="3">
        <v>15.52</v>
      </c>
      <c r="D4208" s="4">
        <v>252.2</v>
      </c>
      <c r="E4208" s="4">
        <v>125.712</v>
      </c>
      <c r="F4208" s="4">
        <f t="shared" si="271"/>
        <v>126.48799999999999</v>
      </c>
      <c r="G4208" s="5">
        <f t="shared" si="272"/>
        <v>0.50153846153846149</v>
      </c>
      <c r="H4208" s="2" t="s">
        <v>5</v>
      </c>
      <c r="I4208" s="6" t="s">
        <v>2300</v>
      </c>
      <c r="J4208" s="2" t="s">
        <v>5</v>
      </c>
      <c r="K4208" s="2" t="s">
        <v>5</v>
      </c>
      <c r="L4208" s="2" t="s">
        <v>5</v>
      </c>
      <c r="M4208" s="2" t="s">
        <v>5</v>
      </c>
      <c r="N4208" s="4">
        <v>0</v>
      </c>
    </row>
    <row r="4209" spans="1:14" x14ac:dyDescent="0.25">
      <c r="A4209" s="2" t="s">
        <v>294</v>
      </c>
      <c r="B4209" s="2" t="s">
        <v>295</v>
      </c>
      <c r="C4209" s="3">
        <v>40.814999999999998</v>
      </c>
      <c r="D4209" s="4">
        <v>663.24374999999998</v>
      </c>
      <c r="E4209" s="4">
        <v>330.60149999999999</v>
      </c>
      <c r="F4209" s="4">
        <f t="shared" si="271"/>
        <v>332.64224999999999</v>
      </c>
      <c r="G4209" s="5">
        <f t="shared" si="272"/>
        <v>0.50153846153846149</v>
      </c>
      <c r="H4209" s="2" t="s">
        <v>5</v>
      </c>
      <c r="I4209" s="6" t="s">
        <v>2300</v>
      </c>
      <c r="J4209" s="2" t="s">
        <v>5</v>
      </c>
      <c r="K4209" s="2" t="s">
        <v>5</v>
      </c>
      <c r="L4209" s="2" t="s">
        <v>5</v>
      </c>
      <c r="M4209" s="2" t="s">
        <v>5</v>
      </c>
      <c r="N4209" s="4">
        <v>0</v>
      </c>
    </row>
    <row r="4210" spans="1:14" x14ac:dyDescent="0.25">
      <c r="A4210" s="2" t="s">
        <v>294</v>
      </c>
      <c r="B4210" s="2" t="s">
        <v>295</v>
      </c>
      <c r="C4210" s="3">
        <v>15.47</v>
      </c>
      <c r="D4210" s="4">
        <v>251.38749999999999</v>
      </c>
      <c r="E4210" s="4">
        <v>125.307</v>
      </c>
      <c r="F4210" s="4">
        <f t="shared" si="271"/>
        <v>126.08049999999999</v>
      </c>
      <c r="G4210" s="5">
        <f t="shared" si="272"/>
        <v>0.50153846153846149</v>
      </c>
      <c r="H4210" s="2" t="s">
        <v>5</v>
      </c>
      <c r="I4210" s="6" t="s">
        <v>2300</v>
      </c>
      <c r="J4210" s="2" t="s">
        <v>5</v>
      </c>
      <c r="K4210" s="2" t="s">
        <v>5</v>
      </c>
      <c r="L4210" s="2" t="s">
        <v>5</v>
      </c>
      <c r="M4210" s="2" t="s">
        <v>5</v>
      </c>
      <c r="N4210" s="4">
        <v>0</v>
      </c>
    </row>
    <row r="4211" spans="1:14" x14ac:dyDescent="0.25">
      <c r="A4211" s="2" t="s">
        <v>294</v>
      </c>
      <c r="B4211" s="2" t="s">
        <v>295</v>
      </c>
      <c r="C4211" s="3">
        <v>15.64</v>
      </c>
      <c r="D4211" s="4">
        <v>254.15</v>
      </c>
      <c r="E4211" s="4">
        <v>126.684</v>
      </c>
      <c r="F4211" s="4">
        <f t="shared" si="271"/>
        <v>127.46600000000001</v>
      </c>
      <c r="G4211" s="5">
        <f t="shared" si="272"/>
        <v>0.5015384615384616</v>
      </c>
      <c r="H4211" s="2" t="s">
        <v>5</v>
      </c>
      <c r="I4211" s="6" t="s">
        <v>2300</v>
      </c>
      <c r="J4211" s="2" t="s">
        <v>5</v>
      </c>
      <c r="K4211" s="2" t="s">
        <v>5</v>
      </c>
      <c r="L4211" s="2" t="s">
        <v>5</v>
      </c>
      <c r="M4211" s="2" t="s">
        <v>5</v>
      </c>
      <c r="N4211" s="4">
        <v>0</v>
      </c>
    </row>
    <row r="4212" spans="1:14" x14ac:dyDescent="0.25">
      <c r="A4212" s="2" t="s">
        <v>854</v>
      </c>
      <c r="B4212" s="2" t="s">
        <v>855</v>
      </c>
      <c r="C4212" s="3">
        <v>18.05</v>
      </c>
      <c r="D4212" s="4">
        <v>318.58249999999998</v>
      </c>
      <c r="E4212" s="4">
        <v>171.47499999999999</v>
      </c>
      <c r="F4212" s="4">
        <f t="shared" si="271"/>
        <v>147.10749999999999</v>
      </c>
      <c r="G4212" s="5">
        <f t="shared" si="272"/>
        <v>0.46175637393767704</v>
      </c>
      <c r="H4212" s="2" t="s">
        <v>5</v>
      </c>
      <c r="I4212" s="6" t="s">
        <v>2300</v>
      </c>
      <c r="J4212" s="2" t="s">
        <v>5</v>
      </c>
      <c r="K4212" s="2" t="s">
        <v>5</v>
      </c>
      <c r="L4212" s="2" t="s">
        <v>5</v>
      </c>
      <c r="M4212" s="2" t="s">
        <v>5</v>
      </c>
      <c r="N4212" s="4">
        <v>0</v>
      </c>
    </row>
    <row r="4213" spans="1:14" x14ac:dyDescent="0.25">
      <c r="A4213" s="2" t="s">
        <v>854</v>
      </c>
      <c r="B4213" s="2" t="s">
        <v>855</v>
      </c>
      <c r="C4213" s="3">
        <v>29.85</v>
      </c>
      <c r="D4213" s="4">
        <v>526.85249999999996</v>
      </c>
      <c r="E4213" s="4">
        <v>283.57499999999999</v>
      </c>
      <c r="F4213" s="4">
        <f t="shared" si="271"/>
        <v>243.27749999999997</v>
      </c>
      <c r="G4213" s="5">
        <f t="shared" si="272"/>
        <v>0.46175637393767704</v>
      </c>
      <c r="H4213" s="2" t="s">
        <v>5</v>
      </c>
      <c r="I4213" s="6" t="s">
        <v>2300</v>
      </c>
      <c r="J4213" s="2" t="s">
        <v>5</v>
      </c>
      <c r="K4213" s="2" t="s">
        <v>5</v>
      </c>
      <c r="L4213" s="2" t="s">
        <v>5</v>
      </c>
      <c r="M4213" s="2" t="s">
        <v>5</v>
      </c>
      <c r="N4213" s="4">
        <v>0</v>
      </c>
    </row>
    <row r="4214" spans="1:14" x14ac:dyDescent="0.25">
      <c r="A4214" s="2" t="s">
        <v>854</v>
      </c>
      <c r="B4214" s="2" t="s">
        <v>855</v>
      </c>
      <c r="C4214" s="3">
        <v>76.319999999999993</v>
      </c>
      <c r="D4214" s="4">
        <v>1347.048</v>
      </c>
      <c r="E4214" s="4">
        <v>725.04</v>
      </c>
      <c r="F4214" s="4">
        <f t="shared" si="271"/>
        <v>622.00800000000004</v>
      </c>
      <c r="G4214" s="5">
        <f t="shared" si="272"/>
        <v>0.4617563739376771</v>
      </c>
      <c r="H4214" s="2" t="s">
        <v>5</v>
      </c>
      <c r="I4214" s="6" t="s">
        <v>2300</v>
      </c>
      <c r="J4214" s="2" t="s">
        <v>5</v>
      </c>
      <c r="K4214" s="2" t="s">
        <v>5</v>
      </c>
      <c r="L4214" s="2" t="s">
        <v>5</v>
      </c>
      <c r="M4214" s="2" t="s">
        <v>5</v>
      </c>
      <c r="N4214" s="4">
        <v>0</v>
      </c>
    </row>
    <row r="4215" spans="1:14" x14ac:dyDescent="0.25">
      <c r="A4215" s="2" t="s">
        <v>296</v>
      </c>
      <c r="B4215" s="2" t="s">
        <v>297</v>
      </c>
      <c r="C4215" s="3">
        <v>86.45</v>
      </c>
      <c r="D4215" s="4">
        <v>1001.9555</v>
      </c>
      <c r="E4215" s="4">
        <v>631.08500000000004</v>
      </c>
      <c r="F4215" s="4">
        <f t="shared" si="271"/>
        <v>370.87049999999999</v>
      </c>
      <c r="G4215" s="5">
        <f t="shared" si="272"/>
        <v>0.37014667817083691</v>
      </c>
      <c r="H4215" s="2" t="s">
        <v>5</v>
      </c>
      <c r="I4215" s="6" t="s">
        <v>2300</v>
      </c>
      <c r="J4215" s="2" t="s">
        <v>5</v>
      </c>
      <c r="K4215" s="2" t="s">
        <v>5</v>
      </c>
      <c r="L4215" s="2" t="s">
        <v>5</v>
      </c>
      <c r="M4215" s="2" t="s">
        <v>5</v>
      </c>
      <c r="N4215" s="4">
        <v>0</v>
      </c>
    </row>
    <row r="4216" spans="1:14" x14ac:dyDescent="0.25">
      <c r="A4216" s="2" t="s">
        <v>296</v>
      </c>
      <c r="B4216" s="2" t="s">
        <v>297</v>
      </c>
      <c r="C4216" s="3">
        <v>42.11</v>
      </c>
      <c r="D4216" s="4">
        <v>488.05489999999998</v>
      </c>
      <c r="E4216" s="4">
        <v>307.40300000000002</v>
      </c>
      <c r="F4216" s="4">
        <f t="shared" si="271"/>
        <v>180.65189999999996</v>
      </c>
      <c r="G4216" s="5">
        <f t="shared" si="272"/>
        <v>0.37014667817083685</v>
      </c>
      <c r="H4216" s="2" t="s">
        <v>5</v>
      </c>
      <c r="I4216" s="6" t="s">
        <v>2300</v>
      </c>
      <c r="J4216" s="2" t="s">
        <v>5</v>
      </c>
      <c r="K4216" s="2" t="s">
        <v>5</v>
      </c>
      <c r="L4216" s="2" t="s">
        <v>5</v>
      </c>
      <c r="M4216" s="2" t="s">
        <v>5</v>
      </c>
      <c r="N4216" s="4">
        <v>0</v>
      </c>
    </row>
    <row r="4217" spans="1:14" x14ac:dyDescent="0.25">
      <c r="A4217" s="2" t="s">
        <v>296</v>
      </c>
      <c r="B4217" s="2" t="s">
        <v>297</v>
      </c>
      <c r="C4217" s="3">
        <v>43.05</v>
      </c>
      <c r="D4217" s="4">
        <v>498.9495</v>
      </c>
      <c r="E4217" s="4">
        <v>314.26499999999999</v>
      </c>
      <c r="F4217" s="4">
        <f t="shared" si="271"/>
        <v>184.68450000000001</v>
      </c>
      <c r="G4217" s="5">
        <f t="shared" si="272"/>
        <v>0.37014667817083696</v>
      </c>
      <c r="H4217" s="2" t="s">
        <v>5</v>
      </c>
      <c r="I4217" s="6" t="s">
        <v>2300</v>
      </c>
      <c r="J4217" s="2" t="s">
        <v>5</v>
      </c>
      <c r="K4217" s="2" t="s">
        <v>5</v>
      </c>
      <c r="L4217" s="2" t="s">
        <v>5</v>
      </c>
      <c r="M4217" s="2" t="s">
        <v>5</v>
      </c>
      <c r="N4217" s="4">
        <v>0</v>
      </c>
    </row>
    <row r="4218" spans="1:14" x14ac:dyDescent="0.25">
      <c r="A4218" s="2" t="s">
        <v>296</v>
      </c>
      <c r="B4218" s="2" t="s">
        <v>297</v>
      </c>
      <c r="C4218" s="3">
        <v>58.4</v>
      </c>
      <c r="D4218" s="4">
        <v>676.85599999999999</v>
      </c>
      <c r="E4218" s="4">
        <v>426.32</v>
      </c>
      <c r="F4218" s="4">
        <f t="shared" si="271"/>
        <v>250.536</v>
      </c>
      <c r="G4218" s="5">
        <f t="shared" si="272"/>
        <v>0.37014667817083691</v>
      </c>
      <c r="H4218" s="2" t="s">
        <v>5</v>
      </c>
      <c r="I4218" s="6" t="s">
        <v>2300</v>
      </c>
      <c r="J4218" s="2" t="s">
        <v>5</v>
      </c>
      <c r="K4218" s="2" t="s">
        <v>5</v>
      </c>
      <c r="L4218" s="2" t="s">
        <v>5</v>
      </c>
      <c r="M4218" s="2" t="s">
        <v>5</v>
      </c>
      <c r="N4218" s="4">
        <v>0</v>
      </c>
    </row>
    <row r="4219" spans="1:14" x14ac:dyDescent="0.25">
      <c r="A4219" s="2" t="s">
        <v>296</v>
      </c>
      <c r="B4219" s="2" t="s">
        <v>297</v>
      </c>
      <c r="C4219" s="3">
        <v>166.85</v>
      </c>
      <c r="D4219" s="4">
        <v>1933.7915</v>
      </c>
      <c r="E4219" s="4">
        <v>1218.0050000000001</v>
      </c>
      <c r="F4219" s="4">
        <f t="shared" si="271"/>
        <v>715.78649999999993</v>
      </c>
      <c r="G4219" s="5">
        <f t="shared" si="272"/>
        <v>0.37014667817083691</v>
      </c>
      <c r="H4219" s="2" t="s">
        <v>5</v>
      </c>
      <c r="I4219" s="6" t="s">
        <v>2300</v>
      </c>
      <c r="J4219" s="2" t="s">
        <v>5</v>
      </c>
      <c r="K4219" s="2" t="s">
        <v>5</v>
      </c>
      <c r="L4219" s="2" t="s">
        <v>5</v>
      </c>
      <c r="M4219" s="2" t="s">
        <v>5</v>
      </c>
      <c r="N4219" s="4">
        <v>0</v>
      </c>
    </row>
    <row r="4220" spans="1:14" x14ac:dyDescent="0.25">
      <c r="A4220" s="2" t="s">
        <v>296</v>
      </c>
      <c r="B4220" s="2" t="s">
        <v>297</v>
      </c>
      <c r="C4220" s="3">
        <v>46.37</v>
      </c>
      <c r="D4220" s="4">
        <v>537.42830000000004</v>
      </c>
      <c r="E4220" s="4">
        <v>338.50099999999998</v>
      </c>
      <c r="F4220" s="4">
        <f t="shared" si="271"/>
        <v>198.92730000000006</v>
      </c>
      <c r="G4220" s="5">
        <f t="shared" si="272"/>
        <v>0.37014667817083702</v>
      </c>
      <c r="H4220" s="2" t="s">
        <v>5</v>
      </c>
      <c r="I4220" s="6" t="s">
        <v>2300</v>
      </c>
      <c r="J4220" s="2" t="s">
        <v>5</v>
      </c>
      <c r="K4220" s="2" t="s">
        <v>5</v>
      </c>
      <c r="L4220" s="2" t="s">
        <v>5</v>
      </c>
      <c r="M4220" s="2" t="s">
        <v>5</v>
      </c>
      <c r="N4220" s="4">
        <v>0</v>
      </c>
    </row>
    <row r="4221" spans="1:14" x14ac:dyDescent="0.25">
      <c r="A4221" s="2" t="s">
        <v>296</v>
      </c>
      <c r="B4221" s="2" t="s">
        <v>297</v>
      </c>
      <c r="C4221" s="3">
        <v>46.29</v>
      </c>
      <c r="D4221" s="4">
        <v>536.50109999999995</v>
      </c>
      <c r="E4221" s="4">
        <v>337.91699999999997</v>
      </c>
      <c r="F4221" s="4">
        <f t="shared" si="271"/>
        <v>198.58409999999998</v>
      </c>
      <c r="G4221" s="5">
        <f t="shared" si="272"/>
        <v>0.37014667817083691</v>
      </c>
      <c r="H4221" s="2" t="s">
        <v>5</v>
      </c>
      <c r="I4221" s="6" t="s">
        <v>2300</v>
      </c>
      <c r="J4221" s="2" t="s">
        <v>5</v>
      </c>
      <c r="K4221" s="2" t="s">
        <v>5</v>
      </c>
      <c r="L4221" s="2" t="s">
        <v>5</v>
      </c>
      <c r="M4221" s="2" t="s">
        <v>5</v>
      </c>
      <c r="N4221" s="4">
        <v>0</v>
      </c>
    </row>
    <row r="4222" spans="1:14" x14ac:dyDescent="0.25">
      <c r="A4222" s="2" t="s">
        <v>296</v>
      </c>
      <c r="B4222" s="2" t="s">
        <v>297</v>
      </c>
      <c r="C4222" s="3">
        <v>120.2</v>
      </c>
      <c r="D4222" s="4">
        <v>1393.1179999999999</v>
      </c>
      <c r="E4222" s="4">
        <v>877.46</v>
      </c>
      <c r="F4222" s="4">
        <f t="shared" si="271"/>
        <v>515.6579999999999</v>
      </c>
      <c r="G4222" s="5">
        <f t="shared" si="272"/>
        <v>0.37014667817083685</v>
      </c>
      <c r="H4222" s="2" t="s">
        <v>5</v>
      </c>
      <c r="I4222" s="6" t="s">
        <v>2300</v>
      </c>
      <c r="J4222" s="2" t="s">
        <v>5</v>
      </c>
      <c r="K4222" s="2" t="s">
        <v>5</v>
      </c>
      <c r="L4222" s="2" t="s">
        <v>5</v>
      </c>
      <c r="M4222" s="2" t="s">
        <v>5</v>
      </c>
      <c r="N4222" s="4">
        <v>0</v>
      </c>
    </row>
    <row r="4223" spans="1:14" x14ac:dyDescent="0.25">
      <c r="A4223" s="2" t="s">
        <v>296</v>
      </c>
      <c r="B4223" s="2" t="s">
        <v>297</v>
      </c>
      <c r="C4223" s="3">
        <v>195.84</v>
      </c>
      <c r="D4223" s="4">
        <v>2269.7856000000002</v>
      </c>
      <c r="E4223" s="4">
        <v>1429.6320000000001</v>
      </c>
      <c r="F4223" s="4">
        <f t="shared" si="271"/>
        <v>840.1536000000001</v>
      </c>
      <c r="G4223" s="5">
        <f t="shared" si="272"/>
        <v>0.37014667817083696</v>
      </c>
      <c r="H4223" s="2" t="s">
        <v>5</v>
      </c>
      <c r="I4223" s="6" t="s">
        <v>2300</v>
      </c>
      <c r="J4223" s="2" t="s">
        <v>5</v>
      </c>
      <c r="K4223" s="2" t="s">
        <v>5</v>
      </c>
      <c r="L4223" s="2" t="s">
        <v>5</v>
      </c>
      <c r="M4223" s="2" t="s">
        <v>5</v>
      </c>
      <c r="N4223" s="4">
        <v>0</v>
      </c>
    </row>
    <row r="4224" spans="1:14" x14ac:dyDescent="0.25">
      <c r="A4224" s="2" t="s">
        <v>296</v>
      </c>
      <c r="B4224" s="2" t="s">
        <v>297</v>
      </c>
      <c r="C4224" s="3">
        <v>43.43</v>
      </c>
      <c r="D4224" s="4">
        <v>503.3537</v>
      </c>
      <c r="E4224" s="4">
        <v>317.03899999999999</v>
      </c>
      <c r="F4224" s="4">
        <f t="shared" si="271"/>
        <v>186.31470000000002</v>
      </c>
      <c r="G4224" s="5">
        <f t="shared" si="272"/>
        <v>0.37014667817083696</v>
      </c>
      <c r="H4224" s="2" t="s">
        <v>5</v>
      </c>
      <c r="I4224" s="6" t="s">
        <v>2300</v>
      </c>
      <c r="J4224" s="2" t="s">
        <v>5</v>
      </c>
      <c r="K4224" s="2" t="s">
        <v>5</v>
      </c>
      <c r="L4224" s="2" t="s">
        <v>5</v>
      </c>
      <c r="M4224" s="2" t="s">
        <v>5</v>
      </c>
      <c r="N4224" s="4">
        <v>0</v>
      </c>
    </row>
    <row r="4225" spans="1:14" x14ac:dyDescent="0.25">
      <c r="A4225" s="2" t="s">
        <v>296</v>
      </c>
      <c r="B4225" s="2" t="s">
        <v>297</v>
      </c>
      <c r="C4225" s="3">
        <v>45.33</v>
      </c>
      <c r="D4225" s="4">
        <v>525.37469999999996</v>
      </c>
      <c r="E4225" s="4">
        <v>330.90899999999999</v>
      </c>
      <c r="F4225" s="4">
        <f t="shared" si="271"/>
        <v>194.46569999999997</v>
      </c>
      <c r="G4225" s="5">
        <f t="shared" si="272"/>
        <v>0.37014667817083691</v>
      </c>
      <c r="H4225" s="2" t="s">
        <v>5</v>
      </c>
      <c r="I4225" s="6" t="s">
        <v>2300</v>
      </c>
      <c r="J4225" s="2" t="s">
        <v>5</v>
      </c>
      <c r="K4225" s="2" t="s">
        <v>5</v>
      </c>
      <c r="L4225" s="2" t="s">
        <v>5</v>
      </c>
      <c r="M4225" s="2" t="s">
        <v>5</v>
      </c>
      <c r="N4225" s="4">
        <v>0</v>
      </c>
    </row>
    <row r="4226" spans="1:14" x14ac:dyDescent="0.25">
      <c r="A4226" s="2" t="s">
        <v>1319</v>
      </c>
      <c r="B4226" s="2" t="s">
        <v>1320</v>
      </c>
      <c r="C4226" s="3">
        <v>17.295000000000002</v>
      </c>
      <c r="D4226" s="4">
        <v>211.17195000000001</v>
      </c>
      <c r="E4226" s="4">
        <v>122.7945</v>
      </c>
      <c r="F4226" s="4">
        <f t="shared" si="271"/>
        <v>88.37745000000001</v>
      </c>
      <c r="G4226" s="5">
        <f t="shared" si="272"/>
        <v>0.41850941850941853</v>
      </c>
      <c r="H4226" s="2" t="s">
        <v>5</v>
      </c>
      <c r="I4226" s="6" t="s">
        <v>2300</v>
      </c>
      <c r="J4226" s="2" t="s">
        <v>5</v>
      </c>
      <c r="K4226" s="2" t="s">
        <v>5</v>
      </c>
      <c r="L4226" s="2" t="s">
        <v>5</v>
      </c>
      <c r="M4226" s="2" t="s">
        <v>5</v>
      </c>
      <c r="N4226" s="4">
        <v>0</v>
      </c>
    </row>
    <row r="4227" spans="1:14" x14ac:dyDescent="0.25">
      <c r="A4227" s="2" t="s">
        <v>1319</v>
      </c>
      <c r="B4227" s="2" t="s">
        <v>1320</v>
      </c>
      <c r="C4227" s="3">
        <v>55.23</v>
      </c>
      <c r="D4227" s="4">
        <v>674.35829999999999</v>
      </c>
      <c r="E4227" s="4">
        <v>392.13299999999998</v>
      </c>
      <c r="F4227" s="4">
        <f t="shared" si="271"/>
        <v>282.2253</v>
      </c>
      <c r="G4227" s="5">
        <f t="shared" si="272"/>
        <v>0.41850941850941853</v>
      </c>
      <c r="H4227" s="2" t="s">
        <v>5</v>
      </c>
      <c r="I4227" s="6" t="s">
        <v>2300</v>
      </c>
      <c r="J4227" s="2" t="s">
        <v>5</v>
      </c>
      <c r="K4227" s="2" t="s">
        <v>5</v>
      </c>
      <c r="L4227" s="2" t="s">
        <v>5</v>
      </c>
      <c r="M4227" s="2" t="s">
        <v>5</v>
      </c>
      <c r="N4227" s="4">
        <v>0</v>
      </c>
    </row>
    <row r="4228" spans="1:14" x14ac:dyDescent="0.25">
      <c r="A4228" s="2" t="s">
        <v>298</v>
      </c>
      <c r="B4228" s="2" t="s">
        <v>299</v>
      </c>
      <c r="C4228" s="3">
        <v>32.08</v>
      </c>
      <c r="D4228" s="4">
        <v>391.6968</v>
      </c>
      <c r="E4228" s="4">
        <v>234.184</v>
      </c>
      <c r="F4228" s="4">
        <f t="shared" si="271"/>
        <v>157.5128</v>
      </c>
      <c r="G4228" s="5">
        <f t="shared" si="272"/>
        <v>0.40212940212940212</v>
      </c>
      <c r="H4228" s="2" t="s">
        <v>5</v>
      </c>
      <c r="I4228" s="6" t="s">
        <v>2300</v>
      </c>
      <c r="J4228" s="2" t="s">
        <v>5</v>
      </c>
      <c r="K4228" s="2" t="s">
        <v>5</v>
      </c>
      <c r="L4228" s="2" t="s">
        <v>5</v>
      </c>
      <c r="M4228" s="2" t="s">
        <v>5</v>
      </c>
      <c r="N4228" s="4">
        <v>0</v>
      </c>
    </row>
    <row r="4229" spans="1:14" x14ac:dyDescent="0.25">
      <c r="A4229" s="2" t="s">
        <v>298</v>
      </c>
      <c r="B4229" s="2" t="s">
        <v>299</v>
      </c>
      <c r="C4229" s="3">
        <v>50.84</v>
      </c>
      <c r="D4229" s="4">
        <v>620.75639999999999</v>
      </c>
      <c r="E4229" s="4">
        <v>371.13200000000001</v>
      </c>
      <c r="F4229" s="4">
        <f t="shared" si="271"/>
        <v>249.62439999999998</v>
      </c>
      <c r="G4229" s="5">
        <f t="shared" si="272"/>
        <v>0.40212940212940212</v>
      </c>
      <c r="H4229" s="2" t="s">
        <v>5</v>
      </c>
      <c r="I4229" s="6" t="s">
        <v>2300</v>
      </c>
      <c r="J4229" s="2" t="s">
        <v>5</v>
      </c>
      <c r="K4229" s="2" t="s">
        <v>5</v>
      </c>
      <c r="L4229" s="2" t="s">
        <v>5</v>
      </c>
      <c r="M4229" s="2" t="s">
        <v>5</v>
      </c>
      <c r="N4229" s="4">
        <v>0</v>
      </c>
    </row>
    <row r="4230" spans="1:14" x14ac:dyDescent="0.25">
      <c r="A4230" s="2" t="s">
        <v>298</v>
      </c>
      <c r="B4230" s="2" t="s">
        <v>299</v>
      </c>
      <c r="C4230" s="3">
        <v>105.16</v>
      </c>
      <c r="D4230" s="4">
        <v>1284.0036</v>
      </c>
      <c r="E4230" s="4">
        <v>767.66800000000001</v>
      </c>
      <c r="F4230" s="4">
        <f t="shared" si="271"/>
        <v>516.3356</v>
      </c>
      <c r="G4230" s="5">
        <f t="shared" si="272"/>
        <v>0.40212940212940212</v>
      </c>
      <c r="H4230" s="2" t="s">
        <v>5</v>
      </c>
      <c r="I4230" s="6" t="s">
        <v>2300</v>
      </c>
      <c r="J4230" s="2" t="s">
        <v>5</v>
      </c>
      <c r="K4230" s="2" t="s">
        <v>5</v>
      </c>
      <c r="L4230" s="2" t="s">
        <v>5</v>
      </c>
      <c r="M4230" s="2" t="s">
        <v>5</v>
      </c>
      <c r="N4230" s="4">
        <v>0</v>
      </c>
    </row>
    <row r="4231" spans="1:14" x14ac:dyDescent="0.25">
      <c r="A4231" s="2" t="s">
        <v>298</v>
      </c>
      <c r="B4231" s="2" t="s">
        <v>299</v>
      </c>
      <c r="C4231" s="3">
        <v>34.340000000000003</v>
      </c>
      <c r="D4231" s="4">
        <v>419.29140000000001</v>
      </c>
      <c r="E4231" s="4">
        <v>250.68199999999999</v>
      </c>
      <c r="F4231" s="4">
        <f t="shared" si="271"/>
        <v>168.60940000000002</v>
      </c>
      <c r="G4231" s="5">
        <f t="shared" si="272"/>
        <v>0.40212940212940218</v>
      </c>
      <c r="H4231" s="2" t="s">
        <v>5</v>
      </c>
      <c r="I4231" s="6" t="s">
        <v>2300</v>
      </c>
      <c r="J4231" s="2" t="s">
        <v>5</v>
      </c>
      <c r="K4231" s="2" t="s">
        <v>5</v>
      </c>
      <c r="L4231" s="2" t="s">
        <v>5</v>
      </c>
      <c r="M4231" s="2" t="s">
        <v>5</v>
      </c>
      <c r="N4231" s="4">
        <v>0</v>
      </c>
    </row>
    <row r="4232" spans="1:14" x14ac:dyDescent="0.25">
      <c r="A4232" s="2" t="s">
        <v>298</v>
      </c>
      <c r="B4232" s="2" t="s">
        <v>299</v>
      </c>
      <c r="C4232" s="3">
        <v>31.3</v>
      </c>
      <c r="D4232" s="4">
        <v>382.173</v>
      </c>
      <c r="E4232" s="4">
        <v>228.49</v>
      </c>
      <c r="F4232" s="4">
        <f t="shared" si="271"/>
        <v>153.68299999999999</v>
      </c>
      <c r="G4232" s="5">
        <f t="shared" si="272"/>
        <v>0.40212940212940212</v>
      </c>
      <c r="H4232" s="2" t="s">
        <v>5</v>
      </c>
      <c r="I4232" s="6" t="s">
        <v>2300</v>
      </c>
      <c r="J4232" s="2" t="s">
        <v>5</v>
      </c>
      <c r="K4232" s="2" t="s">
        <v>5</v>
      </c>
      <c r="L4232" s="2" t="s">
        <v>5</v>
      </c>
      <c r="M4232" s="2" t="s">
        <v>5</v>
      </c>
      <c r="N4232" s="4">
        <v>0</v>
      </c>
    </row>
    <row r="4233" spans="1:14" x14ac:dyDescent="0.25">
      <c r="A4233" s="2" t="s">
        <v>298</v>
      </c>
      <c r="B4233" s="2" t="s">
        <v>299</v>
      </c>
      <c r="C4233" s="3">
        <v>32.54</v>
      </c>
      <c r="D4233" s="4">
        <v>397.3134</v>
      </c>
      <c r="E4233" s="4">
        <v>237.542</v>
      </c>
      <c r="F4233" s="4">
        <f t="shared" si="271"/>
        <v>159.7714</v>
      </c>
      <c r="G4233" s="5">
        <f t="shared" si="272"/>
        <v>0.40212940212940212</v>
      </c>
      <c r="H4233" s="2" t="s">
        <v>5</v>
      </c>
      <c r="I4233" s="6" t="s">
        <v>2300</v>
      </c>
      <c r="J4233" s="2" t="s">
        <v>5</v>
      </c>
      <c r="K4233" s="2" t="s">
        <v>5</v>
      </c>
      <c r="L4233" s="2" t="s">
        <v>5</v>
      </c>
      <c r="M4233" s="2" t="s">
        <v>5</v>
      </c>
      <c r="N4233" s="4">
        <v>0</v>
      </c>
    </row>
    <row r="4234" spans="1:14" x14ac:dyDescent="0.25">
      <c r="A4234" s="2" t="s">
        <v>298</v>
      </c>
      <c r="B4234" s="2" t="s">
        <v>299</v>
      </c>
      <c r="C4234" s="3">
        <v>48.16</v>
      </c>
      <c r="D4234" s="4">
        <v>588.03359999999998</v>
      </c>
      <c r="E4234" s="4">
        <v>351.56799999999998</v>
      </c>
      <c r="F4234" s="4">
        <f t="shared" si="271"/>
        <v>236.46559999999999</v>
      </c>
      <c r="G4234" s="5">
        <f t="shared" si="272"/>
        <v>0.40212940212940212</v>
      </c>
      <c r="H4234" s="2" t="s">
        <v>5</v>
      </c>
      <c r="I4234" s="6" t="s">
        <v>2300</v>
      </c>
      <c r="J4234" s="2" t="s">
        <v>5</v>
      </c>
      <c r="K4234" s="2" t="s">
        <v>5</v>
      </c>
      <c r="L4234" s="2" t="s">
        <v>5</v>
      </c>
      <c r="M4234" s="2" t="s">
        <v>5</v>
      </c>
      <c r="N4234" s="4">
        <v>0</v>
      </c>
    </row>
    <row r="4235" spans="1:14" x14ac:dyDescent="0.25">
      <c r="A4235" s="2" t="s">
        <v>951</v>
      </c>
      <c r="B4235" s="2" t="s">
        <v>952</v>
      </c>
      <c r="C4235" s="3">
        <v>85.49</v>
      </c>
      <c r="D4235" s="4">
        <v>1106.2406000000001</v>
      </c>
      <c r="E4235" s="4">
        <v>641.17499999999995</v>
      </c>
      <c r="F4235" s="4">
        <f t="shared" si="271"/>
        <v>465.06560000000013</v>
      </c>
      <c r="G4235" s="5">
        <f t="shared" si="272"/>
        <v>0.42040185471406499</v>
      </c>
      <c r="H4235" s="2" t="s">
        <v>5</v>
      </c>
      <c r="I4235" s="6" t="s">
        <v>2300</v>
      </c>
      <c r="J4235" s="2" t="s">
        <v>5</v>
      </c>
      <c r="K4235" s="2" t="s">
        <v>5</v>
      </c>
      <c r="L4235" s="2" t="s">
        <v>5</v>
      </c>
      <c r="M4235" s="2" t="s">
        <v>5</v>
      </c>
      <c r="N4235" s="4">
        <v>0</v>
      </c>
    </row>
    <row r="4236" spans="1:14" x14ac:dyDescent="0.25">
      <c r="A4236" s="2" t="s">
        <v>951</v>
      </c>
      <c r="B4236" s="2" t="s">
        <v>952</v>
      </c>
      <c r="C4236" s="3">
        <v>40.479999999999997</v>
      </c>
      <c r="D4236" s="4">
        <v>523.81119999999999</v>
      </c>
      <c r="E4236" s="4">
        <v>303.60000000000002</v>
      </c>
      <c r="F4236" s="4">
        <f t="shared" si="271"/>
        <v>220.21119999999996</v>
      </c>
      <c r="G4236" s="5">
        <f t="shared" si="272"/>
        <v>0.42040185471406488</v>
      </c>
      <c r="H4236" s="2" t="s">
        <v>5</v>
      </c>
      <c r="I4236" s="6" t="s">
        <v>2300</v>
      </c>
      <c r="J4236" s="2" t="s">
        <v>5</v>
      </c>
      <c r="K4236" s="2" t="s">
        <v>5</v>
      </c>
      <c r="L4236" s="2" t="s">
        <v>5</v>
      </c>
      <c r="M4236" s="2" t="s">
        <v>5</v>
      </c>
      <c r="N4236" s="4">
        <v>0</v>
      </c>
    </row>
    <row r="4237" spans="1:14" x14ac:dyDescent="0.25">
      <c r="A4237" s="2" t="s">
        <v>951</v>
      </c>
      <c r="B4237" s="2" t="s">
        <v>952</v>
      </c>
      <c r="C4237" s="3">
        <v>39.6</v>
      </c>
      <c r="D4237" s="4">
        <v>512.42399999999998</v>
      </c>
      <c r="E4237" s="4">
        <v>297</v>
      </c>
      <c r="F4237" s="4">
        <f t="shared" si="271"/>
        <v>215.42399999999998</v>
      </c>
      <c r="G4237" s="5">
        <f t="shared" si="272"/>
        <v>0.42040185471406488</v>
      </c>
      <c r="H4237" s="2" t="s">
        <v>5</v>
      </c>
      <c r="I4237" s="6" t="s">
        <v>2300</v>
      </c>
      <c r="J4237" s="2" t="s">
        <v>5</v>
      </c>
      <c r="K4237" s="2" t="s">
        <v>5</v>
      </c>
      <c r="L4237" s="2" t="s">
        <v>5</v>
      </c>
      <c r="M4237" s="2" t="s">
        <v>5</v>
      </c>
      <c r="N4237" s="4">
        <v>0</v>
      </c>
    </row>
    <row r="4238" spans="1:14" x14ac:dyDescent="0.25">
      <c r="A4238" s="2" t="s">
        <v>951</v>
      </c>
      <c r="B4238" s="2" t="s">
        <v>952</v>
      </c>
      <c r="C4238" s="3">
        <v>-45.08</v>
      </c>
      <c r="D4238" s="4">
        <v>-583.33519999999999</v>
      </c>
      <c r="E4238" s="4">
        <v>-338.1</v>
      </c>
      <c r="F4238" s="4">
        <f t="shared" si="271"/>
        <v>-245.23519999999996</v>
      </c>
      <c r="G4238" s="5">
        <f t="shared" si="272"/>
        <v>0.42040185471406488</v>
      </c>
      <c r="H4238" s="2" t="s">
        <v>5</v>
      </c>
      <c r="I4238" s="6" t="s">
        <v>2300</v>
      </c>
      <c r="J4238" s="2" t="s">
        <v>5</v>
      </c>
      <c r="K4238" s="2" t="s">
        <v>5</v>
      </c>
      <c r="L4238" s="2" t="s">
        <v>5</v>
      </c>
      <c r="M4238" s="2" t="s">
        <v>5</v>
      </c>
      <c r="N4238" s="4">
        <v>0</v>
      </c>
    </row>
    <row r="4239" spans="1:14" x14ac:dyDescent="0.25">
      <c r="A4239" s="2" t="s">
        <v>1790</v>
      </c>
      <c r="B4239" s="2" t="s">
        <v>1791</v>
      </c>
      <c r="C4239" s="3">
        <v>25.48</v>
      </c>
      <c r="D4239" s="4">
        <v>654.07159999999999</v>
      </c>
      <c r="E4239" s="4">
        <v>388.57</v>
      </c>
      <c r="F4239" s="4">
        <f t="shared" si="271"/>
        <v>265.5016</v>
      </c>
      <c r="G4239" s="5">
        <f t="shared" si="272"/>
        <v>0.40592130892091938</v>
      </c>
      <c r="H4239" s="2" t="s">
        <v>5</v>
      </c>
      <c r="I4239" s="6" t="s">
        <v>2300</v>
      </c>
      <c r="J4239" s="2" t="s">
        <v>5</v>
      </c>
      <c r="K4239" s="2" t="s">
        <v>5</v>
      </c>
      <c r="L4239" s="2" t="s">
        <v>5</v>
      </c>
      <c r="M4239" s="2" t="s">
        <v>5</v>
      </c>
      <c r="N4239" s="4">
        <v>0</v>
      </c>
    </row>
    <row r="4240" spans="1:14" x14ac:dyDescent="0.25">
      <c r="A4240" s="2" t="s">
        <v>300</v>
      </c>
      <c r="B4240" s="2" t="s">
        <v>301</v>
      </c>
      <c r="C4240" s="3">
        <v>45.65</v>
      </c>
      <c r="D4240" s="4">
        <v>465.17349999999999</v>
      </c>
      <c r="E4240" s="4">
        <v>324.11500000000001</v>
      </c>
      <c r="F4240" s="4">
        <f t="shared" si="271"/>
        <v>141.05849999999998</v>
      </c>
      <c r="G4240" s="5">
        <f t="shared" si="272"/>
        <v>0.30323846908734048</v>
      </c>
      <c r="H4240" s="2" t="s">
        <v>5</v>
      </c>
      <c r="I4240" s="6" t="s">
        <v>2300</v>
      </c>
      <c r="J4240" s="2" t="s">
        <v>5</v>
      </c>
      <c r="K4240" s="2" t="s">
        <v>5</v>
      </c>
      <c r="L4240" s="2" t="s">
        <v>5</v>
      </c>
      <c r="M4240" s="2" t="s">
        <v>5</v>
      </c>
      <c r="N4240" s="4">
        <v>0</v>
      </c>
    </row>
    <row r="4241" spans="1:14" x14ac:dyDescent="0.25">
      <c r="A4241" s="2" t="s">
        <v>300</v>
      </c>
      <c r="B4241" s="2" t="s">
        <v>301</v>
      </c>
      <c r="C4241" s="3">
        <v>45.295000000000002</v>
      </c>
      <c r="D4241" s="4">
        <v>461.55605000000003</v>
      </c>
      <c r="E4241" s="4">
        <v>321.59449999999998</v>
      </c>
      <c r="F4241" s="4">
        <f t="shared" si="271"/>
        <v>139.96155000000005</v>
      </c>
      <c r="G4241" s="5">
        <f t="shared" si="272"/>
        <v>0.30323846908734059</v>
      </c>
      <c r="H4241" s="2" t="s">
        <v>5</v>
      </c>
      <c r="I4241" s="6" t="s">
        <v>2300</v>
      </c>
      <c r="J4241" s="2" t="s">
        <v>5</v>
      </c>
      <c r="K4241" s="2" t="s">
        <v>5</v>
      </c>
      <c r="L4241" s="2" t="s">
        <v>5</v>
      </c>
      <c r="M4241" s="2" t="s">
        <v>5</v>
      </c>
      <c r="N4241" s="4">
        <v>0</v>
      </c>
    </row>
    <row r="4242" spans="1:14" x14ac:dyDescent="0.25">
      <c r="A4242" s="2" t="s">
        <v>300</v>
      </c>
      <c r="B4242" s="2" t="s">
        <v>301</v>
      </c>
      <c r="C4242" s="3">
        <v>29.414999999999999</v>
      </c>
      <c r="D4242" s="4">
        <v>299.73885000000001</v>
      </c>
      <c r="E4242" s="4">
        <v>208.84649999999999</v>
      </c>
      <c r="F4242" s="4">
        <f t="shared" si="271"/>
        <v>90.892350000000022</v>
      </c>
      <c r="G4242" s="5">
        <f t="shared" si="272"/>
        <v>0.30323846908734059</v>
      </c>
      <c r="H4242" s="2" t="s">
        <v>5</v>
      </c>
      <c r="I4242" s="6" t="s">
        <v>2300</v>
      </c>
      <c r="J4242" s="2" t="s">
        <v>5</v>
      </c>
      <c r="K4242" s="2" t="s">
        <v>5</v>
      </c>
      <c r="L4242" s="2" t="s">
        <v>5</v>
      </c>
      <c r="M4242" s="2" t="s">
        <v>5</v>
      </c>
      <c r="N4242" s="4">
        <v>0</v>
      </c>
    </row>
    <row r="4243" spans="1:14" x14ac:dyDescent="0.25">
      <c r="A4243" s="2" t="s">
        <v>300</v>
      </c>
      <c r="B4243" s="2" t="s">
        <v>301</v>
      </c>
      <c r="C4243" s="3">
        <v>28.434999999999999</v>
      </c>
      <c r="D4243" s="4">
        <v>289.75265000000002</v>
      </c>
      <c r="E4243" s="4">
        <v>201.88849999999999</v>
      </c>
      <c r="F4243" s="4">
        <f t="shared" si="271"/>
        <v>87.864150000000024</v>
      </c>
      <c r="G4243" s="5">
        <f t="shared" si="272"/>
        <v>0.30323846908734059</v>
      </c>
      <c r="H4243" s="2" t="s">
        <v>5</v>
      </c>
      <c r="I4243" s="6" t="s">
        <v>2300</v>
      </c>
      <c r="J4243" s="2" t="s">
        <v>5</v>
      </c>
      <c r="K4243" s="2" t="s">
        <v>5</v>
      </c>
      <c r="L4243" s="2" t="s">
        <v>5</v>
      </c>
      <c r="M4243" s="2" t="s">
        <v>5</v>
      </c>
      <c r="N4243" s="4">
        <v>0</v>
      </c>
    </row>
    <row r="4244" spans="1:14" x14ac:dyDescent="0.25">
      <c r="A4244" s="2" t="s">
        <v>300</v>
      </c>
      <c r="B4244" s="2" t="s">
        <v>301</v>
      </c>
      <c r="C4244" s="3">
        <v>29.585000000000001</v>
      </c>
      <c r="D4244" s="4">
        <v>301.47115000000002</v>
      </c>
      <c r="E4244" s="4">
        <v>210.05350000000001</v>
      </c>
      <c r="F4244" s="4">
        <f t="shared" si="271"/>
        <v>91.417650000000009</v>
      </c>
      <c r="G4244" s="5">
        <f t="shared" si="272"/>
        <v>0.30323846908734053</v>
      </c>
      <c r="H4244" s="2" t="s">
        <v>5</v>
      </c>
      <c r="I4244" s="6" t="s">
        <v>2300</v>
      </c>
      <c r="J4244" s="2" t="s">
        <v>5</v>
      </c>
      <c r="K4244" s="2" t="s">
        <v>5</v>
      </c>
      <c r="L4244" s="2" t="s">
        <v>5</v>
      </c>
      <c r="M4244" s="2" t="s">
        <v>5</v>
      </c>
      <c r="N4244" s="4">
        <v>0</v>
      </c>
    </row>
    <row r="4245" spans="1:14" x14ac:dyDescent="0.25">
      <c r="A4245" s="2" t="s">
        <v>300</v>
      </c>
      <c r="B4245" s="2" t="s">
        <v>301</v>
      </c>
      <c r="C4245" s="3">
        <v>14.54</v>
      </c>
      <c r="D4245" s="4">
        <v>148.1626</v>
      </c>
      <c r="E4245" s="4">
        <v>103.23399999999999</v>
      </c>
      <c r="F4245" s="4">
        <f t="shared" si="271"/>
        <v>44.928600000000003</v>
      </c>
      <c r="G4245" s="5">
        <f t="shared" si="272"/>
        <v>0.30323846908734053</v>
      </c>
      <c r="H4245" s="2" t="s">
        <v>5</v>
      </c>
      <c r="I4245" s="6" t="s">
        <v>2300</v>
      </c>
      <c r="J4245" s="2" t="s">
        <v>5</v>
      </c>
      <c r="K4245" s="2" t="s">
        <v>5</v>
      </c>
      <c r="L4245" s="2" t="s">
        <v>5</v>
      </c>
      <c r="M4245" s="2" t="s">
        <v>5</v>
      </c>
      <c r="N4245" s="4">
        <v>0</v>
      </c>
    </row>
    <row r="4246" spans="1:14" x14ac:dyDescent="0.25">
      <c r="A4246" s="2" t="s">
        <v>300</v>
      </c>
      <c r="B4246" s="2" t="s">
        <v>301</v>
      </c>
      <c r="C4246" s="3">
        <v>44.965000000000003</v>
      </c>
      <c r="D4246" s="4">
        <v>458.19335000000001</v>
      </c>
      <c r="E4246" s="4">
        <v>319.25150000000002</v>
      </c>
      <c r="F4246" s="4">
        <f t="shared" si="271"/>
        <v>138.94184999999999</v>
      </c>
      <c r="G4246" s="5">
        <f t="shared" si="272"/>
        <v>0.30323846908734048</v>
      </c>
      <c r="H4246" s="2" t="s">
        <v>5</v>
      </c>
      <c r="I4246" s="6" t="s">
        <v>2300</v>
      </c>
      <c r="J4246" s="2" t="s">
        <v>5</v>
      </c>
      <c r="K4246" s="2" t="s">
        <v>5</v>
      </c>
      <c r="L4246" s="2" t="s">
        <v>5</v>
      </c>
      <c r="M4246" s="2" t="s">
        <v>5</v>
      </c>
      <c r="N4246" s="4">
        <v>0</v>
      </c>
    </row>
    <row r="4247" spans="1:14" x14ac:dyDescent="0.25">
      <c r="A4247" s="2" t="s">
        <v>856</v>
      </c>
      <c r="B4247" s="2" t="s">
        <v>857</v>
      </c>
      <c r="C4247" s="3">
        <v>15.89</v>
      </c>
      <c r="D4247" s="4">
        <v>161.91909999999999</v>
      </c>
      <c r="E4247" s="4">
        <v>112.819</v>
      </c>
      <c r="F4247" s="4">
        <f t="shared" si="271"/>
        <v>49.100099999999983</v>
      </c>
      <c r="G4247" s="5">
        <f t="shared" si="272"/>
        <v>0.30323846908734048</v>
      </c>
      <c r="H4247" s="2" t="s">
        <v>5</v>
      </c>
      <c r="I4247" s="6" t="s">
        <v>2300</v>
      </c>
      <c r="J4247" s="2" t="s">
        <v>5</v>
      </c>
      <c r="K4247" s="2" t="s">
        <v>5</v>
      </c>
      <c r="L4247" s="2" t="s">
        <v>5</v>
      </c>
      <c r="M4247" s="2" t="s">
        <v>5</v>
      </c>
      <c r="N4247" s="4">
        <v>0</v>
      </c>
    </row>
    <row r="4248" spans="1:14" x14ac:dyDescent="0.25">
      <c r="A4248" s="2" t="s">
        <v>856</v>
      </c>
      <c r="B4248" s="2" t="s">
        <v>857</v>
      </c>
      <c r="C4248" s="3">
        <v>9.625</v>
      </c>
      <c r="D4248" s="4">
        <v>98.078749999999999</v>
      </c>
      <c r="E4248" s="4">
        <v>68.337500000000006</v>
      </c>
      <c r="F4248" s="4">
        <f t="shared" si="271"/>
        <v>29.741249999999994</v>
      </c>
      <c r="G4248" s="5">
        <f t="shared" si="272"/>
        <v>0.30323846908734048</v>
      </c>
      <c r="H4248" s="2" t="s">
        <v>5</v>
      </c>
      <c r="I4248" s="6" t="s">
        <v>2300</v>
      </c>
      <c r="J4248" s="2" t="s">
        <v>5</v>
      </c>
      <c r="K4248" s="2" t="s">
        <v>5</v>
      </c>
      <c r="L4248" s="2" t="s">
        <v>5</v>
      </c>
      <c r="M4248" s="2" t="s">
        <v>5</v>
      </c>
      <c r="N4248" s="4">
        <v>0</v>
      </c>
    </row>
    <row r="4249" spans="1:14" x14ac:dyDescent="0.25">
      <c r="A4249" s="2" t="s">
        <v>893</v>
      </c>
      <c r="B4249" s="2" t="s">
        <v>894</v>
      </c>
      <c r="C4249" s="3">
        <v>10.225</v>
      </c>
      <c r="D4249" s="4">
        <v>166.15625</v>
      </c>
      <c r="E4249" s="4">
        <v>89.46875</v>
      </c>
      <c r="F4249" s="4">
        <f t="shared" si="271"/>
        <v>76.6875</v>
      </c>
      <c r="G4249" s="5">
        <f t="shared" si="272"/>
        <v>0.46153846153846156</v>
      </c>
      <c r="H4249" s="2" t="s">
        <v>5</v>
      </c>
      <c r="I4249" s="6" t="s">
        <v>2300</v>
      </c>
      <c r="J4249" s="2" t="s">
        <v>5</v>
      </c>
      <c r="K4249" s="2" t="s">
        <v>5</v>
      </c>
      <c r="L4249" s="2" t="s">
        <v>5</v>
      </c>
      <c r="M4249" s="2" t="s">
        <v>5</v>
      </c>
      <c r="N4249" s="4">
        <v>0</v>
      </c>
    </row>
    <row r="4250" spans="1:14" x14ac:dyDescent="0.25">
      <c r="A4250" s="2" t="s">
        <v>893</v>
      </c>
      <c r="B4250" s="2" t="s">
        <v>894</v>
      </c>
      <c r="C4250" s="3">
        <v>45.57</v>
      </c>
      <c r="D4250" s="4">
        <v>740.51250000000005</v>
      </c>
      <c r="E4250" s="4">
        <v>398.73750000000001</v>
      </c>
      <c r="F4250" s="4">
        <f t="shared" si="271"/>
        <v>341.77500000000003</v>
      </c>
      <c r="G4250" s="5">
        <f t="shared" si="272"/>
        <v>0.46153846153846156</v>
      </c>
      <c r="H4250" s="2" t="s">
        <v>5</v>
      </c>
      <c r="I4250" s="6" t="s">
        <v>2300</v>
      </c>
      <c r="J4250" s="2" t="s">
        <v>5</v>
      </c>
      <c r="K4250" s="2" t="s">
        <v>5</v>
      </c>
      <c r="L4250" s="2" t="s">
        <v>5</v>
      </c>
      <c r="M4250" s="2" t="s">
        <v>5</v>
      </c>
      <c r="N4250" s="4">
        <v>0</v>
      </c>
    </row>
    <row r="4251" spans="1:14" x14ac:dyDescent="0.25">
      <c r="A4251" s="2" t="s">
        <v>893</v>
      </c>
      <c r="B4251" s="2" t="s">
        <v>894</v>
      </c>
      <c r="C4251" s="3">
        <v>15.14</v>
      </c>
      <c r="D4251" s="4">
        <v>246.02500000000001</v>
      </c>
      <c r="E4251" s="4">
        <v>132.47499999999999</v>
      </c>
      <c r="F4251" s="4">
        <f t="shared" si="271"/>
        <v>113.55000000000001</v>
      </c>
      <c r="G4251" s="5">
        <f t="shared" si="272"/>
        <v>0.46153846153846156</v>
      </c>
      <c r="H4251" s="2" t="s">
        <v>5</v>
      </c>
      <c r="I4251" s="6" t="s">
        <v>2300</v>
      </c>
      <c r="J4251" s="2" t="s">
        <v>5</v>
      </c>
      <c r="K4251" s="2" t="s">
        <v>5</v>
      </c>
      <c r="L4251" s="2" t="s">
        <v>5</v>
      </c>
      <c r="M4251" s="2" t="s">
        <v>5</v>
      </c>
      <c r="N4251" s="4">
        <v>0</v>
      </c>
    </row>
    <row r="4252" spans="1:14" x14ac:dyDescent="0.25">
      <c r="A4252" s="2" t="s">
        <v>682</v>
      </c>
      <c r="B4252" s="2" t="s">
        <v>683</v>
      </c>
      <c r="C4252" s="3">
        <v>-30</v>
      </c>
      <c r="D4252" s="4">
        <v>-446.1</v>
      </c>
      <c r="E4252" s="4">
        <v>-208.5</v>
      </c>
      <c r="F4252" s="4">
        <f t="shared" si="271"/>
        <v>-237.60000000000002</v>
      </c>
      <c r="G4252" s="5">
        <f t="shared" si="272"/>
        <v>0.53261600537995968</v>
      </c>
      <c r="H4252" s="2" t="s">
        <v>5</v>
      </c>
      <c r="I4252" s="6" t="s">
        <v>2300</v>
      </c>
      <c r="J4252" s="2" t="s">
        <v>5</v>
      </c>
      <c r="K4252" s="2" t="s">
        <v>5</v>
      </c>
      <c r="L4252" s="2" t="s">
        <v>5</v>
      </c>
      <c r="M4252" s="2" t="s">
        <v>5</v>
      </c>
      <c r="N4252" s="4">
        <v>0</v>
      </c>
    </row>
    <row r="4253" spans="1:14" x14ac:dyDescent="0.25">
      <c r="A4253" s="2" t="s">
        <v>682</v>
      </c>
      <c r="B4253" s="2" t="s">
        <v>683</v>
      </c>
      <c r="C4253" s="3">
        <v>5</v>
      </c>
      <c r="D4253" s="4">
        <v>76.599999999999994</v>
      </c>
      <c r="E4253" s="4">
        <v>34.75</v>
      </c>
      <c r="F4253" s="4">
        <f t="shared" si="271"/>
        <v>41.849999999999994</v>
      </c>
      <c r="G4253" s="5">
        <f t="shared" si="272"/>
        <v>0.54634464751958223</v>
      </c>
      <c r="H4253" s="2" t="s">
        <v>5</v>
      </c>
      <c r="I4253" s="6" t="s">
        <v>2300</v>
      </c>
      <c r="J4253" s="2" t="s">
        <v>5</v>
      </c>
      <c r="K4253" s="2" t="s">
        <v>5</v>
      </c>
      <c r="L4253" s="2" t="s">
        <v>5</v>
      </c>
      <c r="M4253" s="2" t="s">
        <v>5</v>
      </c>
      <c r="N4253" s="4">
        <v>0</v>
      </c>
    </row>
    <row r="4254" spans="1:14" x14ac:dyDescent="0.25">
      <c r="A4254" s="2" t="s">
        <v>682</v>
      </c>
      <c r="B4254" s="2" t="s">
        <v>683</v>
      </c>
      <c r="C4254" s="3">
        <v>49.3</v>
      </c>
      <c r="D4254" s="4">
        <v>733.09100000000001</v>
      </c>
      <c r="E4254" s="4">
        <v>342.63499999999999</v>
      </c>
      <c r="F4254" s="4">
        <f t="shared" si="271"/>
        <v>390.45600000000002</v>
      </c>
      <c r="G4254" s="5">
        <f t="shared" si="272"/>
        <v>0.53261600537995968</v>
      </c>
      <c r="H4254" s="2" t="s">
        <v>5</v>
      </c>
      <c r="I4254" s="6" t="s">
        <v>2300</v>
      </c>
      <c r="J4254" s="2" t="s">
        <v>5</v>
      </c>
      <c r="K4254" s="2" t="s">
        <v>5</v>
      </c>
      <c r="L4254" s="2" t="s">
        <v>5</v>
      </c>
      <c r="M4254" s="2" t="s">
        <v>5</v>
      </c>
      <c r="N4254" s="4">
        <v>0</v>
      </c>
    </row>
    <row r="4255" spans="1:14" x14ac:dyDescent="0.25">
      <c r="A4255" s="2" t="s">
        <v>682</v>
      </c>
      <c r="B4255" s="2" t="s">
        <v>683</v>
      </c>
      <c r="C4255" s="3">
        <v>5</v>
      </c>
      <c r="D4255" s="4">
        <v>76.599999999999994</v>
      </c>
      <c r="E4255" s="4">
        <v>34.75</v>
      </c>
      <c r="F4255" s="4">
        <f t="shared" si="271"/>
        <v>41.849999999999994</v>
      </c>
      <c r="G4255" s="5">
        <f t="shared" si="272"/>
        <v>0.54634464751958223</v>
      </c>
      <c r="H4255" s="2" t="s">
        <v>5</v>
      </c>
      <c r="I4255" s="6" t="s">
        <v>2300</v>
      </c>
      <c r="J4255" s="2" t="s">
        <v>5</v>
      </c>
      <c r="K4255" s="2" t="s">
        <v>5</v>
      </c>
      <c r="L4255" s="2" t="s">
        <v>5</v>
      </c>
      <c r="M4255" s="2" t="s">
        <v>5</v>
      </c>
      <c r="N4255" s="4">
        <v>0</v>
      </c>
    </row>
    <row r="4256" spans="1:14" x14ac:dyDescent="0.25">
      <c r="A4256" s="2" t="s">
        <v>682</v>
      </c>
      <c r="B4256" s="2" t="s">
        <v>683</v>
      </c>
      <c r="C4256" s="3">
        <v>30</v>
      </c>
      <c r="D4256" s="4">
        <v>446.1</v>
      </c>
      <c r="E4256" s="4">
        <v>208.5</v>
      </c>
      <c r="F4256" s="4">
        <f t="shared" si="271"/>
        <v>237.60000000000002</v>
      </c>
      <c r="G4256" s="5">
        <f t="shared" si="272"/>
        <v>0.53261600537995968</v>
      </c>
      <c r="H4256" s="2" t="s">
        <v>5</v>
      </c>
      <c r="I4256" s="6" t="s">
        <v>2300</v>
      </c>
      <c r="J4256" s="2" t="s">
        <v>5</v>
      </c>
      <c r="K4256" s="2" t="s">
        <v>5</v>
      </c>
      <c r="L4256" s="2" t="s">
        <v>5</v>
      </c>
      <c r="M4256" s="2" t="s">
        <v>5</v>
      </c>
      <c r="N4256" s="4">
        <v>0</v>
      </c>
    </row>
    <row r="4257" spans="1:14" x14ac:dyDescent="0.25">
      <c r="A4257" s="2" t="s">
        <v>302</v>
      </c>
      <c r="B4257" s="2" t="s">
        <v>303</v>
      </c>
      <c r="C4257" s="3">
        <v>103.02</v>
      </c>
      <c r="D4257" s="4">
        <v>2095.4268000000002</v>
      </c>
      <c r="E4257" s="4">
        <v>1287.75</v>
      </c>
      <c r="F4257" s="4">
        <f t="shared" ref="F4257:F4320" si="273">D4257-E4257</f>
        <v>807.67680000000018</v>
      </c>
      <c r="G4257" s="5">
        <f t="shared" ref="G4257:G4320" si="274">IF(((D4257)=0),0,(D4257-E4257)/ D4257)</f>
        <v>0.38544739429695185</v>
      </c>
      <c r="H4257" s="2" t="s">
        <v>5</v>
      </c>
      <c r="I4257" s="6" t="s">
        <v>2300</v>
      </c>
      <c r="J4257" s="2" t="s">
        <v>5</v>
      </c>
      <c r="K4257" s="2" t="s">
        <v>5</v>
      </c>
      <c r="L4257" s="2" t="s">
        <v>5</v>
      </c>
      <c r="M4257" s="2" t="s">
        <v>5</v>
      </c>
      <c r="N4257" s="4">
        <v>0</v>
      </c>
    </row>
    <row r="4258" spans="1:14" x14ac:dyDescent="0.25">
      <c r="A4258" s="2" t="s">
        <v>302</v>
      </c>
      <c r="B4258" s="2" t="s">
        <v>303</v>
      </c>
      <c r="C4258" s="3">
        <v>180.64500000000001</v>
      </c>
      <c r="D4258" s="4">
        <v>3674.3193000000001</v>
      </c>
      <c r="E4258" s="4">
        <v>2258.0625</v>
      </c>
      <c r="F4258" s="4">
        <f t="shared" si="273"/>
        <v>1416.2568000000001</v>
      </c>
      <c r="G4258" s="5">
        <f t="shared" si="274"/>
        <v>0.38544739429695185</v>
      </c>
      <c r="H4258" s="2" t="s">
        <v>5</v>
      </c>
      <c r="I4258" s="6" t="s">
        <v>2300</v>
      </c>
      <c r="J4258" s="2" t="s">
        <v>5</v>
      </c>
      <c r="K4258" s="2" t="s">
        <v>5</v>
      </c>
      <c r="L4258" s="2" t="s">
        <v>5</v>
      </c>
      <c r="M4258" s="2" t="s">
        <v>5</v>
      </c>
      <c r="N4258" s="4">
        <v>0</v>
      </c>
    </row>
    <row r="4259" spans="1:14" x14ac:dyDescent="0.25">
      <c r="A4259" s="2" t="s">
        <v>302</v>
      </c>
      <c r="B4259" s="2" t="s">
        <v>303</v>
      </c>
      <c r="C4259" s="3">
        <v>109.24</v>
      </c>
      <c r="D4259" s="4">
        <v>2221.9416000000001</v>
      </c>
      <c r="E4259" s="4">
        <v>1365.5</v>
      </c>
      <c r="F4259" s="4">
        <f t="shared" si="273"/>
        <v>856.44160000000011</v>
      </c>
      <c r="G4259" s="5">
        <f t="shared" si="274"/>
        <v>0.38544739429695185</v>
      </c>
      <c r="H4259" s="2" t="s">
        <v>5</v>
      </c>
      <c r="I4259" s="6" t="s">
        <v>2300</v>
      </c>
      <c r="J4259" s="2" t="s">
        <v>5</v>
      </c>
      <c r="K4259" s="2" t="s">
        <v>5</v>
      </c>
      <c r="L4259" s="2" t="s">
        <v>5</v>
      </c>
      <c r="M4259" s="2" t="s">
        <v>5</v>
      </c>
      <c r="N4259" s="4">
        <v>0</v>
      </c>
    </row>
    <row r="4260" spans="1:14" x14ac:dyDescent="0.25">
      <c r="A4260" s="2" t="s">
        <v>302</v>
      </c>
      <c r="B4260" s="2" t="s">
        <v>303</v>
      </c>
      <c r="C4260" s="3">
        <v>209.22</v>
      </c>
      <c r="D4260" s="4">
        <v>4255.5348000000004</v>
      </c>
      <c r="E4260" s="4">
        <v>2615.25</v>
      </c>
      <c r="F4260" s="4">
        <f t="shared" si="273"/>
        <v>1640.2848000000004</v>
      </c>
      <c r="G4260" s="5">
        <f t="shared" si="274"/>
        <v>0.38544739429695185</v>
      </c>
      <c r="H4260" s="2" t="s">
        <v>5</v>
      </c>
      <c r="I4260" s="6" t="s">
        <v>2300</v>
      </c>
      <c r="J4260" s="2" t="s">
        <v>5</v>
      </c>
      <c r="K4260" s="2" t="s">
        <v>5</v>
      </c>
      <c r="L4260" s="2" t="s">
        <v>5</v>
      </c>
      <c r="M4260" s="2" t="s">
        <v>5</v>
      </c>
      <c r="N4260" s="4">
        <v>0</v>
      </c>
    </row>
    <row r="4261" spans="1:14" x14ac:dyDescent="0.25">
      <c r="A4261" s="2" t="s">
        <v>302</v>
      </c>
      <c r="B4261" s="2" t="s">
        <v>303</v>
      </c>
      <c r="C4261" s="3">
        <v>118.47</v>
      </c>
      <c r="D4261" s="4">
        <v>2409.6797999999999</v>
      </c>
      <c r="E4261" s="4">
        <v>1480.875</v>
      </c>
      <c r="F4261" s="4">
        <f t="shared" si="273"/>
        <v>928.80479999999989</v>
      </c>
      <c r="G4261" s="5">
        <f t="shared" si="274"/>
        <v>0.3854473942969518</v>
      </c>
      <c r="H4261" s="2" t="s">
        <v>5</v>
      </c>
      <c r="I4261" s="6" t="s">
        <v>2300</v>
      </c>
      <c r="J4261" s="2" t="s">
        <v>5</v>
      </c>
      <c r="K4261" s="2" t="s">
        <v>5</v>
      </c>
      <c r="L4261" s="2" t="s">
        <v>5</v>
      </c>
      <c r="M4261" s="2" t="s">
        <v>5</v>
      </c>
      <c r="N4261" s="4">
        <v>0</v>
      </c>
    </row>
    <row r="4262" spans="1:14" x14ac:dyDescent="0.25">
      <c r="A4262" s="2" t="s">
        <v>302</v>
      </c>
      <c r="B4262" s="2" t="s">
        <v>303</v>
      </c>
      <c r="C4262" s="3">
        <v>266.08999999999997</v>
      </c>
      <c r="D4262" s="4">
        <v>5412.2705999999998</v>
      </c>
      <c r="E4262" s="4">
        <v>3326.125</v>
      </c>
      <c r="F4262" s="4">
        <f t="shared" si="273"/>
        <v>2086.1455999999998</v>
      </c>
      <c r="G4262" s="5">
        <f t="shared" si="274"/>
        <v>0.3854473942969518</v>
      </c>
      <c r="H4262" s="2" t="s">
        <v>5</v>
      </c>
      <c r="I4262" s="6" t="s">
        <v>2300</v>
      </c>
      <c r="J4262" s="2" t="s">
        <v>5</v>
      </c>
      <c r="K4262" s="2" t="s">
        <v>5</v>
      </c>
      <c r="L4262" s="2" t="s">
        <v>5</v>
      </c>
      <c r="M4262" s="2" t="s">
        <v>5</v>
      </c>
      <c r="N4262" s="4">
        <v>0</v>
      </c>
    </row>
    <row r="4263" spans="1:14" x14ac:dyDescent="0.25">
      <c r="A4263" s="2" t="s">
        <v>302</v>
      </c>
      <c r="B4263" s="2" t="s">
        <v>303</v>
      </c>
      <c r="C4263" s="3">
        <v>125.59</v>
      </c>
      <c r="D4263" s="4">
        <v>2554.5005999999998</v>
      </c>
      <c r="E4263" s="4">
        <v>1569.875</v>
      </c>
      <c r="F4263" s="4">
        <f t="shared" si="273"/>
        <v>984.62559999999985</v>
      </c>
      <c r="G4263" s="5">
        <f t="shared" si="274"/>
        <v>0.3854473942969518</v>
      </c>
      <c r="H4263" s="2" t="s">
        <v>5</v>
      </c>
      <c r="I4263" s="6" t="s">
        <v>2300</v>
      </c>
      <c r="J4263" s="2" t="s">
        <v>5</v>
      </c>
      <c r="K4263" s="2" t="s">
        <v>5</v>
      </c>
      <c r="L4263" s="2" t="s">
        <v>5</v>
      </c>
      <c r="M4263" s="2" t="s">
        <v>5</v>
      </c>
      <c r="N4263" s="4">
        <v>0</v>
      </c>
    </row>
    <row r="4264" spans="1:14" x14ac:dyDescent="0.25">
      <c r="A4264" s="2" t="s">
        <v>302</v>
      </c>
      <c r="B4264" s="2" t="s">
        <v>303</v>
      </c>
      <c r="C4264" s="3">
        <v>108.175</v>
      </c>
      <c r="D4264" s="4">
        <v>2200.2795000000001</v>
      </c>
      <c r="E4264" s="4">
        <v>1352.1875</v>
      </c>
      <c r="F4264" s="4">
        <f t="shared" si="273"/>
        <v>848.0920000000001</v>
      </c>
      <c r="G4264" s="5">
        <f t="shared" si="274"/>
        <v>0.38544739429695185</v>
      </c>
      <c r="H4264" s="2" t="s">
        <v>5</v>
      </c>
      <c r="I4264" s="6" t="s">
        <v>2300</v>
      </c>
      <c r="J4264" s="2" t="s">
        <v>5</v>
      </c>
      <c r="K4264" s="2" t="s">
        <v>5</v>
      </c>
      <c r="L4264" s="2" t="s">
        <v>5</v>
      </c>
      <c r="M4264" s="2" t="s">
        <v>5</v>
      </c>
      <c r="N4264" s="4">
        <v>0</v>
      </c>
    </row>
    <row r="4265" spans="1:14" x14ac:dyDescent="0.25">
      <c r="A4265" s="2" t="s">
        <v>858</v>
      </c>
      <c r="B4265" s="2" t="s">
        <v>859</v>
      </c>
      <c r="C4265" s="3">
        <v>6</v>
      </c>
      <c r="D4265" s="4">
        <v>166.14</v>
      </c>
      <c r="E4265" s="4">
        <v>91.5</v>
      </c>
      <c r="F4265" s="4">
        <f t="shared" si="273"/>
        <v>74.639999999999986</v>
      </c>
      <c r="G4265" s="5">
        <f t="shared" si="274"/>
        <v>0.44925966052726612</v>
      </c>
      <c r="H4265" s="2" t="s">
        <v>5</v>
      </c>
      <c r="I4265" s="6" t="s">
        <v>2300</v>
      </c>
      <c r="J4265" s="2" t="s">
        <v>5</v>
      </c>
      <c r="K4265" s="2" t="s">
        <v>5</v>
      </c>
      <c r="L4265" s="2" t="s">
        <v>5</v>
      </c>
      <c r="M4265" s="2" t="s">
        <v>5</v>
      </c>
      <c r="N4265" s="4">
        <v>0</v>
      </c>
    </row>
    <row r="4266" spans="1:14" x14ac:dyDescent="0.25">
      <c r="A4266" s="2" t="s">
        <v>858</v>
      </c>
      <c r="B4266" s="2" t="s">
        <v>859</v>
      </c>
      <c r="C4266" s="3">
        <v>8</v>
      </c>
      <c r="D4266" s="4">
        <v>221.52</v>
      </c>
      <c r="E4266" s="4">
        <v>122</v>
      </c>
      <c r="F4266" s="4">
        <f t="shared" si="273"/>
        <v>99.52000000000001</v>
      </c>
      <c r="G4266" s="5">
        <f t="shared" si="274"/>
        <v>0.44925966052726618</v>
      </c>
      <c r="H4266" s="2" t="s">
        <v>5</v>
      </c>
      <c r="I4266" s="6" t="s">
        <v>2300</v>
      </c>
      <c r="J4266" s="2" t="s">
        <v>5</v>
      </c>
      <c r="K4266" s="2" t="s">
        <v>5</v>
      </c>
      <c r="L4266" s="2" t="s">
        <v>5</v>
      </c>
      <c r="M4266" s="2" t="s">
        <v>5</v>
      </c>
      <c r="N4266" s="4">
        <v>0</v>
      </c>
    </row>
    <row r="4267" spans="1:14" x14ac:dyDescent="0.25">
      <c r="A4267" s="2" t="s">
        <v>858</v>
      </c>
      <c r="B4267" s="2" t="s">
        <v>859</v>
      </c>
      <c r="C4267" s="3">
        <v>4</v>
      </c>
      <c r="D4267" s="4">
        <v>110.76</v>
      </c>
      <c r="E4267" s="4">
        <v>61</v>
      </c>
      <c r="F4267" s="4">
        <f t="shared" si="273"/>
        <v>49.760000000000005</v>
      </c>
      <c r="G4267" s="5">
        <f t="shared" si="274"/>
        <v>0.44925966052726618</v>
      </c>
      <c r="H4267" s="2" t="s">
        <v>5</v>
      </c>
      <c r="I4267" s="6" t="s">
        <v>2300</v>
      </c>
      <c r="J4267" s="2" t="s">
        <v>5</v>
      </c>
      <c r="K4267" s="2" t="s">
        <v>5</v>
      </c>
      <c r="L4267" s="2" t="s">
        <v>5</v>
      </c>
      <c r="M4267" s="2" t="s">
        <v>5</v>
      </c>
      <c r="N4267" s="4">
        <v>0</v>
      </c>
    </row>
    <row r="4268" spans="1:14" x14ac:dyDescent="0.25">
      <c r="A4268" s="2" t="s">
        <v>858</v>
      </c>
      <c r="B4268" s="2" t="s">
        <v>859</v>
      </c>
      <c r="C4268" s="3">
        <v>8</v>
      </c>
      <c r="D4268" s="4">
        <v>221.52</v>
      </c>
      <c r="E4268" s="4">
        <v>122</v>
      </c>
      <c r="F4268" s="4">
        <f t="shared" si="273"/>
        <v>99.52000000000001</v>
      </c>
      <c r="G4268" s="5">
        <f t="shared" si="274"/>
        <v>0.44925966052726618</v>
      </c>
      <c r="H4268" s="2" t="s">
        <v>5</v>
      </c>
      <c r="I4268" s="6" t="s">
        <v>2300</v>
      </c>
      <c r="J4268" s="2" t="s">
        <v>5</v>
      </c>
      <c r="K4268" s="2" t="s">
        <v>5</v>
      </c>
      <c r="L4268" s="2" t="s">
        <v>5</v>
      </c>
      <c r="M4268" s="2" t="s">
        <v>5</v>
      </c>
      <c r="N4268" s="4">
        <v>0</v>
      </c>
    </row>
    <row r="4269" spans="1:14" x14ac:dyDescent="0.25">
      <c r="A4269" s="2" t="s">
        <v>858</v>
      </c>
      <c r="B4269" s="2" t="s">
        <v>859</v>
      </c>
      <c r="C4269" s="3">
        <v>5</v>
      </c>
      <c r="D4269" s="4">
        <v>138.44999999999999</v>
      </c>
      <c r="E4269" s="4">
        <v>76.25</v>
      </c>
      <c r="F4269" s="4">
        <f t="shared" si="273"/>
        <v>62.199999999999989</v>
      </c>
      <c r="G4269" s="5">
        <f t="shared" si="274"/>
        <v>0.44925966052726612</v>
      </c>
      <c r="H4269" s="2" t="s">
        <v>5</v>
      </c>
      <c r="I4269" s="6" t="s">
        <v>2300</v>
      </c>
      <c r="J4269" s="2" t="s">
        <v>5</v>
      </c>
      <c r="K4269" s="2" t="s">
        <v>5</v>
      </c>
      <c r="L4269" s="2" t="s">
        <v>5</v>
      </c>
      <c r="M4269" s="2" t="s">
        <v>5</v>
      </c>
      <c r="N4269" s="4">
        <v>0</v>
      </c>
    </row>
    <row r="4270" spans="1:14" x14ac:dyDescent="0.25">
      <c r="A4270" s="2" t="s">
        <v>858</v>
      </c>
      <c r="B4270" s="2" t="s">
        <v>859</v>
      </c>
      <c r="C4270" s="3">
        <v>8</v>
      </c>
      <c r="D4270" s="4">
        <v>221.52</v>
      </c>
      <c r="E4270" s="4">
        <v>122</v>
      </c>
      <c r="F4270" s="4">
        <f t="shared" si="273"/>
        <v>99.52000000000001</v>
      </c>
      <c r="G4270" s="5">
        <f t="shared" si="274"/>
        <v>0.44925966052726618</v>
      </c>
      <c r="H4270" s="2" t="s">
        <v>5</v>
      </c>
      <c r="I4270" s="6" t="s">
        <v>2300</v>
      </c>
      <c r="J4270" s="2" t="s">
        <v>5</v>
      </c>
      <c r="K4270" s="2" t="s">
        <v>5</v>
      </c>
      <c r="L4270" s="2" t="s">
        <v>5</v>
      </c>
      <c r="M4270" s="2" t="s">
        <v>5</v>
      </c>
      <c r="N4270" s="4">
        <v>0</v>
      </c>
    </row>
    <row r="4271" spans="1:14" x14ac:dyDescent="0.25">
      <c r="A4271" s="2" t="s">
        <v>858</v>
      </c>
      <c r="B4271" s="2" t="s">
        <v>859</v>
      </c>
      <c r="C4271" s="3">
        <v>4</v>
      </c>
      <c r="D4271" s="4">
        <v>110.76</v>
      </c>
      <c r="E4271" s="4">
        <v>61</v>
      </c>
      <c r="F4271" s="4">
        <f t="shared" si="273"/>
        <v>49.760000000000005</v>
      </c>
      <c r="G4271" s="5">
        <f t="shared" si="274"/>
        <v>0.44925966052726618</v>
      </c>
      <c r="H4271" s="2" t="s">
        <v>5</v>
      </c>
      <c r="I4271" s="6" t="s">
        <v>2300</v>
      </c>
      <c r="J4271" s="2" t="s">
        <v>5</v>
      </c>
      <c r="K4271" s="2" t="s">
        <v>5</v>
      </c>
      <c r="L4271" s="2" t="s">
        <v>5</v>
      </c>
      <c r="M4271" s="2" t="s">
        <v>5</v>
      </c>
      <c r="N4271" s="4">
        <v>0</v>
      </c>
    </row>
    <row r="4272" spans="1:14" x14ac:dyDescent="0.25">
      <c r="A4272" s="2" t="s">
        <v>1321</v>
      </c>
      <c r="B4272" s="2" t="s">
        <v>1322</v>
      </c>
      <c r="C4272" s="3">
        <v>8.1750000000000007</v>
      </c>
      <c r="D4272" s="4">
        <v>98.754000000000005</v>
      </c>
      <c r="E4272" s="4">
        <v>58.042499999999997</v>
      </c>
      <c r="F4272" s="4">
        <f t="shared" si="273"/>
        <v>40.711500000000008</v>
      </c>
      <c r="G4272" s="5">
        <f t="shared" si="274"/>
        <v>0.41225165562913912</v>
      </c>
      <c r="H4272" s="2" t="s">
        <v>5</v>
      </c>
      <c r="I4272" s="6" t="s">
        <v>2300</v>
      </c>
      <c r="J4272" s="2" t="s">
        <v>5</v>
      </c>
      <c r="K4272" s="2" t="s">
        <v>5</v>
      </c>
      <c r="L4272" s="2" t="s">
        <v>5</v>
      </c>
      <c r="M4272" s="2" t="s">
        <v>5</v>
      </c>
      <c r="N4272" s="4">
        <v>0</v>
      </c>
    </row>
    <row r="4273" spans="1:14" x14ac:dyDescent="0.25">
      <c r="A4273" s="2" t="s">
        <v>1792</v>
      </c>
      <c r="B4273" s="2" t="s">
        <v>1793</v>
      </c>
      <c r="C4273" s="3">
        <v>10</v>
      </c>
      <c r="D4273" s="4">
        <v>189.9</v>
      </c>
      <c r="E4273" s="4">
        <v>125</v>
      </c>
      <c r="F4273" s="4">
        <f t="shared" si="273"/>
        <v>64.900000000000006</v>
      </c>
      <c r="G4273" s="5">
        <f t="shared" si="274"/>
        <v>0.34175882043180622</v>
      </c>
      <c r="H4273" s="2" t="s">
        <v>5</v>
      </c>
      <c r="I4273" s="6" t="s">
        <v>2300</v>
      </c>
      <c r="J4273" s="2" t="s">
        <v>5</v>
      </c>
      <c r="K4273" s="2" t="s">
        <v>5</v>
      </c>
      <c r="L4273" s="2" t="s">
        <v>5</v>
      </c>
      <c r="M4273" s="2" t="s">
        <v>5</v>
      </c>
      <c r="N4273" s="4">
        <v>0</v>
      </c>
    </row>
    <row r="4274" spans="1:14" x14ac:dyDescent="0.25">
      <c r="A4274" s="2" t="s">
        <v>1323</v>
      </c>
      <c r="B4274" s="2" t="s">
        <v>1324</v>
      </c>
      <c r="C4274" s="3">
        <v>59.755000000000003</v>
      </c>
      <c r="D4274" s="4">
        <v>2133.8510500000002</v>
      </c>
      <c r="E4274" s="4">
        <v>941.14125000000001</v>
      </c>
      <c r="F4274" s="4">
        <f t="shared" si="273"/>
        <v>1192.7098000000001</v>
      </c>
      <c r="G4274" s="5">
        <f t="shared" si="274"/>
        <v>0.55894707364883789</v>
      </c>
      <c r="H4274" s="2" t="s">
        <v>5</v>
      </c>
      <c r="I4274" s="6" t="s">
        <v>2300</v>
      </c>
      <c r="J4274" s="2" t="s">
        <v>5</v>
      </c>
      <c r="K4274" s="2" t="s">
        <v>5</v>
      </c>
      <c r="L4274" s="2" t="s">
        <v>5</v>
      </c>
      <c r="M4274" s="2" t="s">
        <v>5</v>
      </c>
      <c r="N4274" s="4">
        <v>0</v>
      </c>
    </row>
    <row r="4275" spans="1:14" x14ac:dyDescent="0.25">
      <c r="A4275" s="2" t="s">
        <v>1323</v>
      </c>
      <c r="B4275" s="2" t="s">
        <v>1324</v>
      </c>
      <c r="C4275" s="3">
        <v>29.055</v>
      </c>
      <c r="D4275" s="4">
        <v>1037.55405</v>
      </c>
      <c r="E4275" s="4">
        <v>457.61624999999998</v>
      </c>
      <c r="F4275" s="4">
        <f t="shared" si="273"/>
        <v>579.93779999999992</v>
      </c>
      <c r="G4275" s="5">
        <f t="shared" si="274"/>
        <v>0.55894707364883778</v>
      </c>
      <c r="H4275" s="2" t="s">
        <v>5</v>
      </c>
      <c r="I4275" s="6" t="s">
        <v>2300</v>
      </c>
      <c r="J4275" s="2" t="s">
        <v>5</v>
      </c>
      <c r="K4275" s="2" t="s">
        <v>5</v>
      </c>
      <c r="L4275" s="2" t="s">
        <v>5</v>
      </c>
      <c r="M4275" s="2" t="s">
        <v>5</v>
      </c>
      <c r="N4275" s="4">
        <v>0</v>
      </c>
    </row>
    <row r="4276" spans="1:14" x14ac:dyDescent="0.25">
      <c r="A4276" s="2" t="s">
        <v>772</v>
      </c>
      <c r="B4276" s="2" t="s">
        <v>773</v>
      </c>
      <c r="C4276" s="3">
        <v>62.9</v>
      </c>
      <c r="D4276" s="4">
        <v>937.21</v>
      </c>
      <c r="E4276" s="4">
        <v>534.65</v>
      </c>
      <c r="F4276" s="4">
        <f t="shared" si="273"/>
        <v>402.56000000000006</v>
      </c>
      <c r="G4276" s="5">
        <f t="shared" si="274"/>
        <v>0.42953020134228193</v>
      </c>
      <c r="H4276" s="2" t="s">
        <v>5</v>
      </c>
      <c r="I4276" s="6" t="s">
        <v>2300</v>
      </c>
      <c r="J4276" s="2" t="s">
        <v>5</v>
      </c>
      <c r="K4276" s="2" t="s">
        <v>5</v>
      </c>
      <c r="L4276" s="2" t="s">
        <v>5</v>
      </c>
      <c r="M4276" s="2" t="s">
        <v>5</v>
      </c>
      <c r="N4276" s="4">
        <v>0</v>
      </c>
    </row>
    <row r="4277" spans="1:14" x14ac:dyDescent="0.25">
      <c r="A4277" s="2" t="s">
        <v>772</v>
      </c>
      <c r="B4277" s="2" t="s">
        <v>773</v>
      </c>
      <c r="C4277" s="3">
        <v>40.700000000000003</v>
      </c>
      <c r="D4277" s="4">
        <v>606.42999999999995</v>
      </c>
      <c r="E4277" s="4">
        <v>345.95</v>
      </c>
      <c r="F4277" s="4">
        <f t="shared" si="273"/>
        <v>260.47999999999996</v>
      </c>
      <c r="G4277" s="5">
        <f t="shared" si="274"/>
        <v>0.42953020134228187</v>
      </c>
      <c r="H4277" s="2" t="s">
        <v>5</v>
      </c>
      <c r="I4277" s="6" t="s">
        <v>2300</v>
      </c>
      <c r="J4277" s="2" t="s">
        <v>5</v>
      </c>
      <c r="K4277" s="2" t="s">
        <v>5</v>
      </c>
      <c r="L4277" s="2" t="s">
        <v>5</v>
      </c>
      <c r="M4277" s="2" t="s">
        <v>5</v>
      </c>
      <c r="N4277" s="4">
        <v>0</v>
      </c>
    </row>
    <row r="4278" spans="1:14" x14ac:dyDescent="0.25">
      <c r="A4278" s="2" t="s">
        <v>772</v>
      </c>
      <c r="B4278" s="2" t="s">
        <v>773</v>
      </c>
      <c r="C4278" s="3">
        <v>41.2</v>
      </c>
      <c r="D4278" s="4">
        <v>613.88</v>
      </c>
      <c r="E4278" s="4">
        <v>350.2</v>
      </c>
      <c r="F4278" s="4">
        <f t="shared" si="273"/>
        <v>263.68</v>
      </c>
      <c r="G4278" s="5">
        <f t="shared" si="274"/>
        <v>0.42953020134228187</v>
      </c>
      <c r="H4278" s="2" t="s">
        <v>5</v>
      </c>
      <c r="I4278" s="6" t="s">
        <v>2300</v>
      </c>
      <c r="J4278" s="2" t="s">
        <v>5</v>
      </c>
      <c r="K4278" s="2" t="s">
        <v>5</v>
      </c>
      <c r="L4278" s="2" t="s">
        <v>5</v>
      </c>
      <c r="M4278" s="2" t="s">
        <v>5</v>
      </c>
      <c r="N4278" s="4">
        <v>0</v>
      </c>
    </row>
    <row r="4279" spans="1:14" x14ac:dyDescent="0.25">
      <c r="A4279" s="2" t="s">
        <v>772</v>
      </c>
      <c r="B4279" s="2" t="s">
        <v>773</v>
      </c>
      <c r="C4279" s="3">
        <v>45</v>
      </c>
      <c r="D4279" s="4">
        <v>670.5</v>
      </c>
      <c r="E4279" s="4">
        <v>382.5</v>
      </c>
      <c r="F4279" s="4">
        <f t="shared" si="273"/>
        <v>288</v>
      </c>
      <c r="G4279" s="5">
        <f t="shared" si="274"/>
        <v>0.42953020134228187</v>
      </c>
      <c r="H4279" s="2" t="s">
        <v>5</v>
      </c>
      <c r="I4279" s="6" t="s">
        <v>2300</v>
      </c>
      <c r="J4279" s="2" t="s">
        <v>5</v>
      </c>
      <c r="K4279" s="2" t="s">
        <v>5</v>
      </c>
      <c r="L4279" s="2" t="s">
        <v>5</v>
      </c>
      <c r="M4279" s="2" t="s">
        <v>5</v>
      </c>
      <c r="N4279" s="4">
        <v>0</v>
      </c>
    </row>
    <row r="4280" spans="1:14" x14ac:dyDescent="0.25">
      <c r="A4280" s="2" t="s">
        <v>772</v>
      </c>
      <c r="B4280" s="2" t="s">
        <v>773</v>
      </c>
      <c r="C4280" s="3">
        <v>114.4</v>
      </c>
      <c r="D4280" s="4">
        <v>1704.56</v>
      </c>
      <c r="E4280" s="4">
        <v>972.4</v>
      </c>
      <c r="F4280" s="4">
        <f t="shared" si="273"/>
        <v>732.16</v>
      </c>
      <c r="G4280" s="5">
        <f t="shared" si="274"/>
        <v>0.42953020134228187</v>
      </c>
      <c r="H4280" s="2" t="s">
        <v>5</v>
      </c>
      <c r="I4280" s="6" t="s">
        <v>2300</v>
      </c>
      <c r="J4280" s="2" t="s">
        <v>5</v>
      </c>
      <c r="K4280" s="2" t="s">
        <v>5</v>
      </c>
      <c r="L4280" s="2" t="s">
        <v>5</v>
      </c>
      <c r="M4280" s="2" t="s">
        <v>5</v>
      </c>
      <c r="N4280" s="4">
        <v>0</v>
      </c>
    </row>
    <row r="4281" spans="1:14" x14ac:dyDescent="0.25">
      <c r="A4281" s="2" t="s">
        <v>772</v>
      </c>
      <c r="B4281" s="2" t="s">
        <v>773</v>
      </c>
      <c r="C4281" s="3">
        <v>25</v>
      </c>
      <c r="D4281" s="4">
        <v>372.5</v>
      </c>
      <c r="E4281" s="4">
        <v>212.5</v>
      </c>
      <c r="F4281" s="4">
        <f t="shared" si="273"/>
        <v>160</v>
      </c>
      <c r="G4281" s="5">
        <f t="shared" si="274"/>
        <v>0.42953020134228187</v>
      </c>
      <c r="H4281" s="2" t="s">
        <v>5</v>
      </c>
      <c r="I4281" s="6" t="s">
        <v>2300</v>
      </c>
      <c r="J4281" s="2" t="s">
        <v>5</v>
      </c>
      <c r="K4281" s="2" t="s">
        <v>5</v>
      </c>
      <c r="L4281" s="2" t="s">
        <v>5</v>
      </c>
      <c r="M4281" s="2" t="s">
        <v>5</v>
      </c>
      <c r="N4281" s="4">
        <v>0</v>
      </c>
    </row>
    <row r="4282" spans="1:14" x14ac:dyDescent="0.25">
      <c r="A4282" s="2" t="s">
        <v>772</v>
      </c>
      <c r="B4282" s="2" t="s">
        <v>773</v>
      </c>
      <c r="C4282" s="3">
        <v>42.1</v>
      </c>
      <c r="D4282" s="4">
        <v>627.29</v>
      </c>
      <c r="E4282" s="4">
        <v>357.85</v>
      </c>
      <c r="F4282" s="4">
        <f t="shared" si="273"/>
        <v>269.43999999999994</v>
      </c>
      <c r="G4282" s="5">
        <f t="shared" si="274"/>
        <v>0.42953020134228181</v>
      </c>
      <c r="H4282" s="2" t="s">
        <v>5</v>
      </c>
      <c r="I4282" s="6" t="s">
        <v>2300</v>
      </c>
      <c r="J4282" s="2" t="s">
        <v>5</v>
      </c>
      <c r="K4282" s="2" t="s">
        <v>5</v>
      </c>
      <c r="L4282" s="2" t="s">
        <v>5</v>
      </c>
      <c r="M4282" s="2" t="s">
        <v>5</v>
      </c>
      <c r="N4282" s="4">
        <v>0</v>
      </c>
    </row>
    <row r="4283" spans="1:14" x14ac:dyDescent="0.25">
      <c r="A4283" s="2" t="s">
        <v>304</v>
      </c>
      <c r="B4283" s="2" t="s">
        <v>305</v>
      </c>
      <c r="C4283" s="3">
        <v>29.37</v>
      </c>
      <c r="D4283" s="4">
        <v>340.39830000000001</v>
      </c>
      <c r="E4283" s="4">
        <v>234.96</v>
      </c>
      <c r="F4283" s="4">
        <f t="shared" si="273"/>
        <v>105.4383</v>
      </c>
      <c r="G4283" s="5">
        <f t="shared" si="274"/>
        <v>0.30974978429680761</v>
      </c>
      <c r="H4283" s="2" t="s">
        <v>5</v>
      </c>
      <c r="I4283" s="6" t="s">
        <v>2300</v>
      </c>
      <c r="J4283" s="2" t="s">
        <v>5</v>
      </c>
      <c r="K4283" s="2" t="s">
        <v>5</v>
      </c>
      <c r="L4283" s="2" t="s">
        <v>5</v>
      </c>
      <c r="M4283" s="2" t="s">
        <v>5</v>
      </c>
      <c r="N4283" s="4">
        <v>0</v>
      </c>
    </row>
    <row r="4284" spans="1:14" x14ac:dyDescent="0.25">
      <c r="A4284" s="2" t="s">
        <v>304</v>
      </c>
      <c r="B4284" s="2" t="s">
        <v>305</v>
      </c>
      <c r="C4284" s="3">
        <v>42.335000000000001</v>
      </c>
      <c r="D4284" s="4">
        <v>490.66264999999999</v>
      </c>
      <c r="E4284" s="4">
        <v>317.51249999999999</v>
      </c>
      <c r="F4284" s="4">
        <f t="shared" si="273"/>
        <v>173.15015</v>
      </c>
      <c r="G4284" s="5">
        <f t="shared" si="274"/>
        <v>0.35289042277825711</v>
      </c>
      <c r="H4284" s="2" t="s">
        <v>5</v>
      </c>
      <c r="I4284" s="6" t="s">
        <v>2300</v>
      </c>
      <c r="J4284" s="2" t="s">
        <v>5</v>
      </c>
      <c r="K4284" s="2" t="s">
        <v>5</v>
      </c>
      <c r="L4284" s="2" t="s">
        <v>5</v>
      </c>
      <c r="M4284" s="2" t="s">
        <v>5</v>
      </c>
      <c r="N4284" s="4">
        <v>0</v>
      </c>
    </row>
    <row r="4285" spans="1:14" x14ac:dyDescent="0.25">
      <c r="A4285" s="2" t="s">
        <v>304</v>
      </c>
      <c r="B4285" s="2" t="s">
        <v>305</v>
      </c>
      <c r="C4285" s="3">
        <v>28</v>
      </c>
      <c r="D4285" s="4">
        <v>324.52</v>
      </c>
      <c r="E4285" s="4">
        <v>224</v>
      </c>
      <c r="F4285" s="4">
        <f t="shared" si="273"/>
        <v>100.51999999999998</v>
      </c>
      <c r="G4285" s="5">
        <f t="shared" si="274"/>
        <v>0.30974978429680755</v>
      </c>
      <c r="H4285" s="2" t="s">
        <v>5</v>
      </c>
      <c r="I4285" s="6" t="s">
        <v>2300</v>
      </c>
      <c r="J4285" s="2" t="s">
        <v>5</v>
      </c>
      <c r="K4285" s="2" t="s">
        <v>5</v>
      </c>
      <c r="L4285" s="2" t="s">
        <v>5</v>
      </c>
      <c r="M4285" s="2" t="s">
        <v>5</v>
      </c>
      <c r="N4285" s="4">
        <v>0</v>
      </c>
    </row>
    <row r="4286" spans="1:14" x14ac:dyDescent="0.25">
      <c r="A4286" s="2" t="s">
        <v>304</v>
      </c>
      <c r="B4286" s="2" t="s">
        <v>305</v>
      </c>
      <c r="C4286" s="3">
        <v>29.79</v>
      </c>
      <c r="D4286" s="4">
        <v>345.26609999999999</v>
      </c>
      <c r="E4286" s="4">
        <v>238.32</v>
      </c>
      <c r="F4286" s="4">
        <f t="shared" si="273"/>
        <v>106.9461</v>
      </c>
      <c r="G4286" s="5">
        <f t="shared" si="274"/>
        <v>0.30974978429680761</v>
      </c>
      <c r="H4286" s="2" t="s">
        <v>5</v>
      </c>
      <c r="I4286" s="6" t="s">
        <v>2300</v>
      </c>
      <c r="J4286" s="2" t="s">
        <v>5</v>
      </c>
      <c r="K4286" s="2" t="s">
        <v>5</v>
      </c>
      <c r="L4286" s="2" t="s">
        <v>5</v>
      </c>
      <c r="M4286" s="2" t="s">
        <v>5</v>
      </c>
      <c r="N4286" s="4">
        <v>0</v>
      </c>
    </row>
    <row r="4287" spans="1:14" x14ac:dyDescent="0.25">
      <c r="A4287" s="2" t="s">
        <v>304</v>
      </c>
      <c r="B4287" s="2" t="s">
        <v>305</v>
      </c>
      <c r="C4287" s="3">
        <v>53.91</v>
      </c>
      <c r="D4287" s="4">
        <v>624.81690000000003</v>
      </c>
      <c r="E4287" s="4">
        <v>431.28</v>
      </c>
      <c r="F4287" s="4">
        <f t="shared" si="273"/>
        <v>193.53690000000006</v>
      </c>
      <c r="G4287" s="5">
        <f t="shared" si="274"/>
        <v>0.30974978429680766</v>
      </c>
      <c r="H4287" s="2" t="s">
        <v>5</v>
      </c>
      <c r="I4287" s="6" t="s">
        <v>2300</v>
      </c>
      <c r="J4287" s="2" t="s">
        <v>5</v>
      </c>
      <c r="K4287" s="2" t="s">
        <v>5</v>
      </c>
      <c r="L4287" s="2" t="s">
        <v>5</v>
      </c>
      <c r="M4287" s="2" t="s">
        <v>5</v>
      </c>
      <c r="N4287" s="4">
        <v>0</v>
      </c>
    </row>
    <row r="4288" spans="1:14" x14ac:dyDescent="0.25">
      <c r="A4288" s="2" t="s">
        <v>304</v>
      </c>
      <c r="B4288" s="2" t="s">
        <v>305</v>
      </c>
      <c r="C4288" s="3">
        <v>14.39</v>
      </c>
      <c r="D4288" s="4">
        <v>166.7801</v>
      </c>
      <c r="E4288" s="4">
        <v>107.925</v>
      </c>
      <c r="F4288" s="4">
        <f t="shared" si="273"/>
        <v>58.855100000000007</v>
      </c>
      <c r="G4288" s="5">
        <f t="shared" si="274"/>
        <v>0.35289042277825716</v>
      </c>
      <c r="H4288" s="2" t="s">
        <v>5</v>
      </c>
      <c r="I4288" s="6" t="s">
        <v>2300</v>
      </c>
      <c r="J4288" s="2" t="s">
        <v>5</v>
      </c>
      <c r="K4288" s="2" t="s">
        <v>5</v>
      </c>
      <c r="L4288" s="2" t="s">
        <v>5</v>
      </c>
      <c r="M4288" s="2" t="s">
        <v>5</v>
      </c>
      <c r="N4288" s="4">
        <v>0</v>
      </c>
    </row>
    <row r="4289" spans="1:14" x14ac:dyDescent="0.25">
      <c r="A4289" s="2" t="s">
        <v>306</v>
      </c>
      <c r="B4289" s="2" t="s">
        <v>307</v>
      </c>
      <c r="C4289" s="3">
        <v>42.314999999999998</v>
      </c>
      <c r="D4289" s="4">
        <v>490.43085000000002</v>
      </c>
      <c r="E4289" s="4">
        <v>401.99250000000001</v>
      </c>
      <c r="F4289" s="4">
        <f t="shared" si="273"/>
        <v>88.438350000000014</v>
      </c>
      <c r="G4289" s="5">
        <f t="shared" si="274"/>
        <v>0.18032786885245905</v>
      </c>
      <c r="H4289" s="2" t="s">
        <v>5</v>
      </c>
      <c r="I4289" s="6" t="s">
        <v>2300</v>
      </c>
      <c r="J4289" s="2" t="s">
        <v>5</v>
      </c>
      <c r="K4289" s="2" t="s">
        <v>5</v>
      </c>
      <c r="L4289" s="2" t="s">
        <v>5</v>
      </c>
      <c r="M4289" s="2" t="s">
        <v>5</v>
      </c>
      <c r="N4289" s="4">
        <v>0</v>
      </c>
    </row>
    <row r="4290" spans="1:14" x14ac:dyDescent="0.25">
      <c r="A4290" s="2" t="s">
        <v>306</v>
      </c>
      <c r="B4290" s="2" t="s">
        <v>307</v>
      </c>
      <c r="C4290" s="3">
        <v>84.41</v>
      </c>
      <c r="D4290" s="4">
        <v>978.31190000000004</v>
      </c>
      <c r="E4290" s="4">
        <v>801.89499999999998</v>
      </c>
      <c r="F4290" s="4">
        <f t="shared" si="273"/>
        <v>176.41690000000006</v>
      </c>
      <c r="G4290" s="5">
        <f t="shared" si="274"/>
        <v>0.18032786885245908</v>
      </c>
      <c r="H4290" s="2" t="s">
        <v>5</v>
      </c>
      <c r="I4290" s="6" t="s">
        <v>2300</v>
      </c>
      <c r="J4290" s="2" t="s">
        <v>5</v>
      </c>
      <c r="K4290" s="2" t="s">
        <v>5</v>
      </c>
      <c r="L4290" s="2" t="s">
        <v>5</v>
      </c>
      <c r="M4290" s="2" t="s">
        <v>5</v>
      </c>
      <c r="N4290" s="4">
        <v>0</v>
      </c>
    </row>
    <row r="4291" spans="1:14" x14ac:dyDescent="0.25">
      <c r="A4291" s="2" t="s">
        <v>306</v>
      </c>
      <c r="B4291" s="2" t="s">
        <v>307</v>
      </c>
      <c r="C4291" s="3">
        <v>15.52</v>
      </c>
      <c r="D4291" s="4">
        <v>179.8768</v>
      </c>
      <c r="E4291" s="4">
        <v>147.44</v>
      </c>
      <c r="F4291" s="4">
        <f t="shared" si="273"/>
        <v>32.436800000000005</v>
      </c>
      <c r="G4291" s="5">
        <f t="shared" si="274"/>
        <v>0.18032786885245905</v>
      </c>
      <c r="H4291" s="2" t="s">
        <v>5</v>
      </c>
      <c r="I4291" s="6" t="s">
        <v>2300</v>
      </c>
      <c r="J4291" s="2" t="s">
        <v>5</v>
      </c>
      <c r="K4291" s="2" t="s">
        <v>5</v>
      </c>
      <c r="L4291" s="2" t="s">
        <v>5</v>
      </c>
      <c r="M4291" s="2" t="s">
        <v>5</v>
      </c>
      <c r="N4291" s="4">
        <v>0</v>
      </c>
    </row>
    <row r="4292" spans="1:14" x14ac:dyDescent="0.25">
      <c r="A4292" s="2" t="s">
        <v>306</v>
      </c>
      <c r="B4292" s="2" t="s">
        <v>307</v>
      </c>
      <c r="C4292" s="3">
        <v>28.67</v>
      </c>
      <c r="D4292" s="4">
        <v>332.28530000000001</v>
      </c>
      <c r="E4292" s="4">
        <v>272.36500000000001</v>
      </c>
      <c r="F4292" s="4">
        <f t="shared" si="273"/>
        <v>59.920299999999997</v>
      </c>
      <c r="G4292" s="5">
        <f t="shared" si="274"/>
        <v>0.18032786885245899</v>
      </c>
      <c r="H4292" s="2" t="s">
        <v>5</v>
      </c>
      <c r="I4292" s="6" t="s">
        <v>2300</v>
      </c>
      <c r="J4292" s="2" t="s">
        <v>5</v>
      </c>
      <c r="K4292" s="2" t="s">
        <v>5</v>
      </c>
      <c r="L4292" s="2" t="s">
        <v>5</v>
      </c>
      <c r="M4292" s="2" t="s">
        <v>5</v>
      </c>
      <c r="N4292" s="4">
        <v>0</v>
      </c>
    </row>
    <row r="4293" spans="1:14" x14ac:dyDescent="0.25">
      <c r="A4293" s="2" t="s">
        <v>306</v>
      </c>
      <c r="B4293" s="2" t="s">
        <v>307</v>
      </c>
      <c r="C4293" s="3">
        <v>28.375</v>
      </c>
      <c r="D4293" s="4">
        <v>328.86624999999998</v>
      </c>
      <c r="E4293" s="4">
        <v>269.5625</v>
      </c>
      <c r="F4293" s="4">
        <f t="shared" si="273"/>
        <v>59.30374999999998</v>
      </c>
      <c r="G4293" s="5">
        <f t="shared" si="274"/>
        <v>0.18032786885245897</v>
      </c>
      <c r="H4293" s="2" t="s">
        <v>5</v>
      </c>
      <c r="I4293" s="6" t="s">
        <v>2300</v>
      </c>
      <c r="J4293" s="2" t="s">
        <v>5</v>
      </c>
      <c r="K4293" s="2" t="s">
        <v>5</v>
      </c>
      <c r="L4293" s="2" t="s">
        <v>5</v>
      </c>
      <c r="M4293" s="2" t="s">
        <v>5</v>
      </c>
      <c r="N4293" s="4">
        <v>0</v>
      </c>
    </row>
    <row r="4294" spans="1:14" x14ac:dyDescent="0.25">
      <c r="A4294" s="2" t="s">
        <v>306</v>
      </c>
      <c r="B4294" s="2" t="s">
        <v>307</v>
      </c>
      <c r="C4294" s="3">
        <v>29.03</v>
      </c>
      <c r="D4294" s="4">
        <v>336.45769999999999</v>
      </c>
      <c r="E4294" s="4">
        <v>275.78500000000003</v>
      </c>
      <c r="F4294" s="4">
        <f t="shared" si="273"/>
        <v>60.672699999999963</v>
      </c>
      <c r="G4294" s="5">
        <f t="shared" si="274"/>
        <v>0.18032786885245891</v>
      </c>
      <c r="H4294" s="2" t="s">
        <v>5</v>
      </c>
      <c r="I4294" s="6" t="s">
        <v>2300</v>
      </c>
      <c r="J4294" s="2" t="s">
        <v>5</v>
      </c>
      <c r="K4294" s="2" t="s">
        <v>5</v>
      </c>
      <c r="L4294" s="2" t="s">
        <v>5</v>
      </c>
      <c r="M4294" s="2" t="s">
        <v>5</v>
      </c>
      <c r="N4294" s="4">
        <v>0</v>
      </c>
    </row>
    <row r="4295" spans="1:14" x14ac:dyDescent="0.25">
      <c r="A4295" s="2" t="s">
        <v>306</v>
      </c>
      <c r="B4295" s="2" t="s">
        <v>307</v>
      </c>
      <c r="C4295" s="3">
        <v>28.82</v>
      </c>
      <c r="D4295" s="4">
        <v>334.02379999999999</v>
      </c>
      <c r="E4295" s="4">
        <v>273.79000000000002</v>
      </c>
      <c r="F4295" s="4">
        <f t="shared" si="273"/>
        <v>60.233799999999974</v>
      </c>
      <c r="G4295" s="5">
        <f t="shared" si="274"/>
        <v>0.18032786885245894</v>
      </c>
      <c r="H4295" s="2" t="s">
        <v>5</v>
      </c>
      <c r="I4295" s="6" t="s">
        <v>2300</v>
      </c>
      <c r="J4295" s="2" t="s">
        <v>5</v>
      </c>
      <c r="K4295" s="2" t="s">
        <v>5</v>
      </c>
      <c r="L4295" s="2" t="s">
        <v>5</v>
      </c>
      <c r="M4295" s="2" t="s">
        <v>5</v>
      </c>
      <c r="N4295" s="4">
        <v>0</v>
      </c>
    </row>
    <row r="4296" spans="1:14" x14ac:dyDescent="0.25">
      <c r="A4296" s="2" t="s">
        <v>306</v>
      </c>
      <c r="B4296" s="2" t="s">
        <v>307</v>
      </c>
      <c r="C4296" s="3">
        <v>43.69</v>
      </c>
      <c r="D4296" s="4">
        <v>506.36709999999999</v>
      </c>
      <c r="E4296" s="4">
        <v>415.05500000000001</v>
      </c>
      <c r="F4296" s="4">
        <f t="shared" si="273"/>
        <v>91.312099999999987</v>
      </c>
      <c r="G4296" s="5">
        <f t="shared" si="274"/>
        <v>0.18032786885245899</v>
      </c>
      <c r="H4296" s="2" t="s">
        <v>5</v>
      </c>
      <c r="I4296" s="6" t="s">
        <v>2300</v>
      </c>
      <c r="J4296" s="2" t="s">
        <v>5</v>
      </c>
      <c r="K4296" s="2" t="s">
        <v>5</v>
      </c>
      <c r="L4296" s="2" t="s">
        <v>5</v>
      </c>
      <c r="M4296" s="2" t="s">
        <v>5</v>
      </c>
      <c r="N4296" s="4">
        <v>0</v>
      </c>
    </row>
    <row r="4297" spans="1:14" x14ac:dyDescent="0.25">
      <c r="A4297" s="2" t="s">
        <v>306</v>
      </c>
      <c r="B4297" s="2" t="s">
        <v>307</v>
      </c>
      <c r="C4297" s="3">
        <v>28.864999999999998</v>
      </c>
      <c r="D4297" s="4">
        <v>334.54534999999998</v>
      </c>
      <c r="E4297" s="4">
        <v>274.21749999999997</v>
      </c>
      <c r="F4297" s="4">
        <f t="shared" si="273"/>
        <v>60.327850000000012</v>
      </c>
      <c r="G4297" s="5">
        <f t="shared" si="274"/>
        <v>0.18032786885245905</v>
      </c>
      <c r="H4297" s="2" t="s">
        <v>5</v>
      </c>
      <c r="I4297" s="6" t="s">
        <v>2300</v>
      </c>
      <c r="J4297" s="2" t="s">
        <v>5</v>
      </c>
      <c r="K4297" s="2" t="s">
        <v>5</v>
      </c>
      <c r="L4297" s="2" t="s">
        <v>5</v>
      </c>
      <c r="M4297" s="2" t="s">
        <v>5</v>
      </c>
      <c r="N4297" s="4">
        <v>0</v>
      </c>
    </row>
    <row r="4298" spans="1:14" x14ac:dyDescent="0.25">
      <c r="A4298" s="2" t="s">
        <v>953</v>
      </c>
      <c r="B4298" s="2" t="s">
        <v>954</v>
      </c>
      <c r="C4298" s="3">
        <v>16</v>
      </c>
      <c r="D4298" s="4">
        <v>279.04000000000002</v>
      </c>
      <c r="E4298" s="4">
        <v>153.44</v>
      </c>
      <c r="F4298" s="4">
        <f t="shared" si="273"/>
        <v>125.60000000000002</v>
      </c>
      <c r="G4298" s="5">
        <f t="shared" si="274"/>
        <v>0.45011467889908263</v>
      </c>
      <c r="H4298" s="2" t="s">
        <v>5</v>
      </c>
      <c r="I4298" s="6" t="s">
        <v>2300</v>
      </c>
      <c r="J4298" s="2" t="s">
        <v>5</v>
      </c>
      <c r="K4298" s="2" t="s">
        <v>5</v>
      </c>
      <c r="L4298" s="2" t="s">
        <v>5</v>
      </c>
      <c r="M4298" s="2" t="s">
        <v>5</v>
      </c>
      <c r="N4298" s="4">
        <v>0</v>
      </c>
    </row>
    <row r="4299" spans="1:14" x14ac:dyDescent="0.25">
      <c r="A4299" s="2" t="s">
        <v>1794</v>
      </c>
      <c r="B4299" s="2" t="s">
        <v>1795</v>
      </c>
      <c r="C4299" s="3">
        <v>38.18</v>
      </c>
      <c r="D4299" s="4">
        <v>934.64639999999997</v>
      </c>
      <c r="E4299" s="4">
        <v>570.79100000000005</v>
      </c>
      <c r="F4299" s="4">
        <f t="shared" si="273"/>
        <v>363.85539999999992</v>
      </c>
      <c r="G4299" s="5">
        <f t="shared" si="274"/>
        <v>0.38929738562091498</v>
      </c>
      <c r="H4299" s="2" t="s">
        <v>5</v>
      </c>
      <c r="I4299" s="6" t="s">
        <v>2300</v>
      </c>
      <c r="J4299" s="2" t="s">
        <v>5</v>
      </c>
      <c r="K4299" s="2" t="s">
        <v>5</v>
      </c>
      <c r="L4299" s="2" t="s">
        <v>5</v>
      </c>
      <c r="M4299" s="2" t="s">
        <v>5</v>
      </c>
      <c r="N4299" s="4">
        <v>0</v>
      </c>
    </row>
    <row r="4300" spans="1:14" x14ac:dyDescent="0.25">
      <c r="A4300" s="2" t="s">
        <v>150</v>
      </c>
      <c r="B4300" s="2" t="s">
        <v>151</v>
      </c>
      <c r="C4300" s="3">
        <v>15.96</v>
      </c>
      <c r="D4300" s="4">
        <v>252.64680000000001</v>
      </c>
      <c r="E4300" s="4">
        <v>156.40799999999999</v>
      </c>
      <c r="F4300" s="4">
        <f t="shared" si="273"/>
        <v>96.238800000000026</v>
      </c>
      <c r="G4300" s="5">
        <f t="shared" si="274"/>
        <v>0.38092229943145933</v>
      </c>
      <c r="H4300" s="2" t="s">
        <v>5</v>
      </c>
      <c r="I4300" s="6" t="s">
        <v>2300</v>
      </c>
      <c r="J4300" s="2" t="s">
        <v>5</v>
      </c>
      <c r="K4300" s="2" t="s">
        <v>5</v>
      </c>
      <c r="L4300" s="2" t="s">
        <v>5</v>
      </c>
      <c r="M4300" s="2" t="s">
        <v>5</v>
      </c>
      <c r="N4300" s="4">
        <v>0</v>
      </c>
    </row>
    <row r="4301" spans="1:14" x14ac:dyDescent="0.25">
      <c r="A4301" s="2" t="s">
        <v>150</v>
      </c>
      <c r="B4301" s="2" t="s">
        <v>151</v>
      </c>
      <c r="C4301" s="3">
        <v>4.18</v>
      </c>
      <c r="D4301" s="4">
        <v>70.683800000000005</v>
      </c>
      <c r="E4301" s="4">
        <v>40.963999999999999</v>
      </c>
      <c r="F4301" s="4">
        <f t="shared" si="273"/>
        <v>29.719800000000006</v>
      </c>
      <c r="G4301" s="5">
        <f t="shared" si="274"/>
        <v>0.420461265523359</v>
      </c>
      <c r="H4301" s="2" t="s">
        <v>5</v>
      </c>
      <c r="I4301" s="6" t="s">
        <v>2300</v>
      </c>
      <c r="J4301" s="2" t="s">
        <v>5</v>
      </c>
      <c r="K4301" s="2" t="s">
        <v>5</v>
      </c>
      <c r="L4301" s="2" t="s">
        <v>5</v>
      </c>
      <c r="M4301" s="2" t="s">
        <v>5</v>
      </c>
      <c r="N4301" s="4">
        <v>0</v>
      </c>
    </row>
    <row r="4302" spans="1:14" x14ac:dyDescent="0.25">
      <c r="A4302" s="2" t="s">
        <v>150</v>
      </c>
      <c r="B4302" s="2" t="s">
        <v>151</v>
      </c>
      <c r="C4302" s="3">
        <v>4.1900000000000004</v>
      </c>
      <c r="D4302" s="4">
        <v>70.852900000000005</v>
      </c>
      <c r="E4302" s="4">
        <v>41.061999999999998</v>
      </c>
      <c r="F4302" s="4">
        <f t="shared" si="273"/>
        <v>29.790900000000008</v>
      </c>
      <c r="G4302" s="5">
        <f t="shared" si="274"/>
        <v>0.42046126552335905</v>
      </c>
      <c r="H4302" s="2" t="s">
        <v>5</v>
      </c>
      <c r="I4302" s="6" t="s">
        <v>2300</v>
      </c>
      <c r="J4302" s="2" t="s">
        <v>5</v>
      </c>
      <c r="K4302" s="2" t="s">
        <v>5</v>
      </c>
      <c r="L4302" s="2" t="s">
        <v>5</v>
      </c>
      <c r="M4302" s="2" t="s">
        <v>5</v>
      </c>
      <c r="N4302" s="4">
        <v>0</v>
      </c>
    </row>
    <row r="4303" spans="1:14" x14ac:dyDescent="0.25">
      <c r="A4303" s="2" t="s">
        <v>150</v>
      </c>
      <c r="B4303" s="2" t="s">
        <v>151</v>
      </c>
      <c r="C4303" s="3">
        <v>26.215</v>
      </c>
      <c r="D4303" s="4">
        <v>366.22354999999999</v>
      </c>
      <c r="E4303" s="4">
        <v>256.90699999999998</v>
      </c>
      <c r="F4303" s="4">
        <f t="shared" si="273"/>
        <v>109.31655000000001</v>
      </c>
      <c r="G4303" s="5">
        <f t="shared" si="274"/>
        <v>0.29849677881173947</v>
      </c>
      <c r="H4303" s="2" t="s">
        <v>5</v>
      </c>
      <c r="I4303" s="6" t="s">
        <v>2300</v>
      </c>
      <c r="J4303" s="2" t="s">
        <v>5</v>
      </c>
      <c r="K4303" s="2" t="s">
        <v>5</v>
      </c>
      <c r="L4303" s="2" t="s">
        <v>5</v>
      </c>
      <c r="M4303" s="2" t="s">
        <v>5</v>
      </c>
      <c r="N4303" s="4">
        <v>0</v>
      </c>
    </row>
    <row r="4304" spans="1:14" x14ac:dyDescent="0.25">
      <c r="A4304" s="2" t="s">
        <v>150</v>
      </c>
      <c r="B4304" s="2" t="s">
        <v>151</v>
      </c>
      <c r="C4304" s="3">
        <v>20.154</v>
      </c>
      <c r="D4304" s="4">
        <v>340.80414000000002</v>
      </c>
      <c r="E4304" s="4">
        <v>197.50919999999999</v>
      </c>
      <c r="F4304" s="4">
        <f t="shared" si="273"/>
        <v>143.29494000000003</v>
      </c>
      <c r="G4304" s="5">
        <f t="shared" si="274"/>
        <v>0.420461265523359</v>
      </c>
      <c r="H4304" s="2" t="s">
        <v>5</v>
      </c>
      <c r="I4304" s="6" t="s">
        <v>2300</v>
      </c>
      <c r="J4304" s="2" t="s">
        <v>5</v>
      </c>
      <c r="K4304" s="2" t="s">
        <v>5</v>
      </c>
      <c r="L4304" s="2" t="s">
        <v>5</v>
      </c>
      <c r="M4304" s="2" t="s">
        <v>5</v>
      </c>
      <c r="N4304" s="4">
        <v>0</v>
      </c>
    </row>
    <row r="4305" spans="1:14" x14ac:dyDescent="0.25">
      <c r="A4305" s="2" t="s">
        <v>150</v>
      </c>
      <c r="B4305" s="2" t="s">
        <v>151</v>
      </c>
      <c r="C4305" s="3">
        <v>15.8</v>
      </c>
      <c r="D4305" s="4">
        <v>206.822</v>
      </c>
      <c r="E4305" s="4">
        <v>154.84</v>
      </c>
      <c r="F4305" s="4">
        <f t="shared" si="273"/>
        <v>51.981999999999999</v>
      </c>
      <c r="G4305" s="5">
        <f t="shared" si="274"/>
        <v>0.25133689839572193</v>
      </c>
      <c r="H4305" s="2" t="s">
        <v>5</v>
      </c>
      <c r="I4305" s="6" t="s">
        <v>2300</v>
      </c>
      <c r="J4305" s="2" t="s">
        <v>5</v>
      </c>
      <c r="K4305" s="2" t="s">
        <v>5</v>
      </c>
      <c r="L4305" s="2" t="s">
        <v>5</v>
      </c>
      <c r="M4305" s="2" t="s">
        <v>5</v>
      </c>
      <c r="N4305" s="4">
        <v>0</v>
      </c>
    </row>
    <row r="4306" spans="1:14" x14ac:dyDescent="0.25">
      <c r="A4306" s="2" t="s">
        <v>150</v>
      </c>
      <c r="B4306" s="2" t="s">
        <v>151</v>
      </c>
      <c r="C4306" s="3">
        <v>15.64</v>
      </c>
      <c r="D4306" s="4">
        <v>204.7276</v>
      </c>
      <c r="E4306" s="4">
        <v>153.27199999999999</v>
      </c>
      <c r="F4306" s="4">
        <f t="shared" si="273"/>
        <v>51.455600000000004</v>
      </c>
      <c r="G4306" s="5">
        <f t="shared" si="274"/>
        <v>0.25133689839572193</v>
      </c>
      <c r="H4306" s="2" t="s">
        <v>5</v>
      </c>
      <c r="I4306" s="6" t="s">
        <v>2300</v>
      </c>
      <c r="J4306" s="2" t="s">
        <v>5</v>
      </c>
      <c r="K4306" s="2" t="s">
        <v>5</v>
      </c>
      <c r="L4306" s="2" t="s">
        <v>5</v>
      </c>
      <c r="M4306" s="2" t="s">
        <v>5</v>
      </c>
      <c r="N4306" s="4">
        <v>0</v>
      </c>
    </row>
    <row r="4307" spans="1:14" x14ac:dyDescent="0.25">
      <c r="A4307" s="2" t="s">
        <v>150</v>
      </c>
      <c r="B4307" s="2" t="s">
        <v>151</v>
      </c>
      <c r="C4307" s="3">
        <v>10.455</v>
      </c>
      <c r="D4307" s="4">
        <v>176.79405</v>
      </c>
      <c r="E4307" s="4">
        <v>102.459</v>
      </c>
      <c r="F4307" s="4">
        <f t="shared" si="273"/>
        <v>74.335049999999995</v>
      </c>
      <c r="G4307" s="5">
        <f t="shared" si="274"/>
        <v>0.42046126552335894</v>
      </c>
      <c r="H4307" s="2" t="s">
        <v>5</v>
      </c>
      <c r="I4307" s="6" t="s">
        <v>2300</v>
      </c>
      <c r="J4307" s="2" t="s">
        <v>5</v>
      </c>
      <c r="K4307" s="2" t="s">
        <v>5</v>
      </c>
      <c r="L4307" s="2" t="s">
        <v>5</v>
      </c>
      <c r="M4307" s="2" t="s">
        <v>5</v>
      </c>
      <c r="N4307" s="4">
        <v>0</v>
      </c>
    </row>
    <row r="4308" spans="1:14" x14ac:dyDescent="0.25">
      <c r="A4308" s="2" t="s">
        <v>150</v>
      </c>
      <c r="B4308" s="2" t="s">
        <v>151</v>
      </c>
      <c r="C4308" s="3">
        <v>47.66</v>
      </c>
      <c r="D4308" s="4">
        <v>712.99360000000001</v>
      </c>
      <c r="E4308" s="4">
        <v>467.06799999999998</v>
      </c>
      <c r="F4308" s="4">
        <f t="shared" si="273"/>
        <v>245.92560000000003</v>
      </c>
      <c r="G4308" s="5">
        <f t="shared" si="274"/>
        <v>0.34491978609625673</v>
      </c>
      <c r="H4308" s="2" t="s">
        <v>5</v>
      </c>
      <c r="I4308" s="6" t="s">
        <v>2300</v>
      </c>
      <c r="J4308" s="2" t="s">
        <v>5</v>
      </c>
      <c r="K4308" s="2" t="s">
        <v>5</v>
      </c>
      <c r="L4308" s="2" t="s">
        <v>5</v>
      </c>
      <c r="M4308" s="2" t="s">
        <v>5</v>
      </c>
      <c r="N4308" s="4">
        <v>0</v>
      </c>
    </row>
    <row r="4309" spans="1:14" x14ac:dyDescent="0.25">
      <c r="A4309" s="2" t="s">
        <v>150</v>
      </c>
      <c r="B4309" s="2" t="s">
        <v>151</v>
      </c>
      <c r="C4309" s="3">
        <v>2.052</v>
      </c>
      <c r="D4309" s="4">
        <v>34.69932</v>
      </c>
      <c r="E4309" s="4">
        <v>20.1096</v>
      </c>
      <c r="F4309" s="4">
        <f t="shared" si="273"/>
        <v>14.58972</v>
      </c>
      <c r="G4309" s="5">
        <f t="shared" si="274"/>
        <v>0.42046126552335894</v>
      </c>
      <c r="H4309" s="2" t="s">
        <v>5</v>
      </c>
      <c r="I4309" s="6" t="s">
        <v>2300</v>
      </c>
      <c r="J4309" s="2" t="s">
        <v>5</v>
      </c>
      <c r="K4309" s="2" t="s">
        <v>5</v>
      </c>
      <c r="L4309" s="2" t="s">
        <v>5</v>
      </c>
      <c r="M4309" s="2" t="s">
        <v>5</v>
      </c>
      <c r="N4309" s="4">
        <v>0</v>
      </c>
    </row>
    <row r="4310" spans="1:14" x14ac:dyDescent="0.25">
      <c r="A4310" s="2" t="s">
        <v>150</v>
      </c>
      <c r="B4310" s="2" t="s">
        <v>151</v>
      </c>
      <c r="C4310" s="3">
        <v>15.94</v>
      </c>
      <c r="D4310" s="4">
        <v>252.33019999999999</v>
      </c>
      <c r="E4310" s="4">
        <v>156.21199999999999</v>
      </c>
      <c r="F4310" s="4">
        <f t="shared" si="273"/>
        <v>96.118200000000002</v>
      </c>
      <c r="G4310" s="5">
        <f t="shared" si="274"/>
        <v>0.38092229943145928</v>
      </c>
      <c r="H4310" s="2" t="s">
        <v>5</v>
      </c>
      <c r="I4310" s="6" t="s">
        <v>2300</v>
      </c>
      <c r="J4310" s="2" t="s">
        <v>5</v>
      </c>
      <c r="K4310" s="2" t="s">
        <v>5</v>
      </c>
      <c r="L4310" s="2" t="s">
        <v>5</v>
      </c>
      <c r="M4310" s="2" t="s">
        <v>5</v>
      </c>
      <c r="N4310" s="4">
        <v>0</v>
      </c>
    </row>
    <row r="4311" spans="1:14" x14ac:dyDescent="0.25">
      <c r="A4311" s="2" t="s">
        <v>150</v>
      </c>
      <c r="B4311" s="2" t="s">
        <v>151</v>
      </c>
      <c r="C4311" s="3">
        <v>16</v>
      </c>
      <c r="D4311" s="4">
        <v>235.52</v>
      </c>
      <c r="E4311" s="4">
        <v>156.80000000000001</v>
      </c>
      <c r="F4311" s="4">
        <f t="shared" si="273"/>
        <v>78.72</v>
      </c>
      <c r="G4311" s="5">
        <f t="shared" si="274"/>
        <v>0.33423913043478259</v>
      </c>
      <c r="H4311" s="2" t="s">
        <v>5</v>
      </c>
      <c r="I4311" s="6" t="s">
        <v>2300</v>
      </c>
      <c r="J4311" s="2" t="s">
        <v>5</v>
      </c>
      <c r="K4311" s="2" t="s">
        <v>5</v>
      </c>
      <c r="L4311" s="2" t="s">
        <v>5</v>
      </c>
      <c r="M4311" s="2" t="s">
        <v>5</v>
      </c>
      <c r="N4311" s="4">
        <v>0</v>
      </c>
    </row>
    <row r="4312" spans="1:14" x14ac:dyDescent="0.25">
      <c r="A4312" s="2" t="s">
        <v>150</v>
      </c>
      <c r="B4312" s="2" t="s">
        <v>151</v>
      </c>
      <c r="C4312" s="3">
        <v>20.172000000000001</v>
      </c>
      <c r="D4312" s="4">
        <v>326.38296000000003</v>
      </c>
      <c r="E4312" s="4">
        <v>197.68559999999999</v>
      </c>
      <c r="F4312" s="4">
        <f t="shared" si="273"/>
        <v>128.69736000000003</v>
      </c>
      <c r="G4312" s="5">
        <f t="shared" si="274"/>
        <v>0.39431396786155753</v>
      </c>
      <c r="H4312" s="2" t="s">
        <v>5</v>
      </c>
      <c r="I4312" s="6" t="s">
        <v>2300</v>
      </c>
      <c r="J4312" s="2" t="s">
        <v>5</v>
      </c>
      <c r="K4312" s="2" t="s">
        <v>5</v>
      </c>
      <c r="L4312" s="2" t="s">
        <v>5</v>
      </c>
      <c r="M4312" s="2" t="s">
        <v>5</v>
      </c>
      <c r="N4312" s="4">
        <v>0</v>
      </c>
    </row>
    <row r="4313" spans="1:14" x14ac:dyDescent="0.25">
      <c r="A4313" s="2" t="s">
        <v>1216</v>
      </c>
      <c r="B4313" s="2" t="s">
        <v>1217</v>
      </c>
      <c r="C4313" s="3">
        <v>47.65</v>
      </c>
      <c r="D4313" s="4">
        <v>344.98599999999999</v>
      </c>
      <c r="E4313" s="4">
        <v>166.77500000000001</v>
      </c>
      <c r="F4313" s="4">
        <f t="shared" si="273"/>
        <v>178.21099999999998</v>
      </c>
      <c r="G4313" s="5">
        <f t="shared" si="274"/>
        <v>0.51657458563535907</v>
      </c>
      <c r="H4313" s="2" t="s">
        <v>5</v>
      </c>
      <c r="I4313" s="6" t="s">
        <v>2300</v>
      </c>
      <c r="J4313" s="2" t="s">
        <v>5</v>
      </c>
      <c r="K4313" s="2" t="s">
        <v>5</v>
      </c>
      <c r="L4313" s="2" t="s">
        <v>5</v>
      </c>
      <c r="M4313" s="2" t="s">
        <v>5</v>
      </c>
      <c r="N4313" s="4">
        <v>0</v>
      </c>
    </row>
    <row r="4314" spans="1:14" x14ac:dyDescent="0.25">
      <c r="A4314" s="2" t="s">
        <v>1216</v>
      </c>
      <c r="B4314" s="2" t="s">
        <v>1217</v>
      </c>
      <c r="C4314" s="3">
        <v>15.7</v>
      </c>
      <c r="D4314" s="4">
        <v>113.66800000000001</v>
      </c>
      <c r="E4314" s="4">
        <v>54.95</v>
      </c>
      <c r="F4314" s="4">
        <f t="shared" si="273"/>
        <v>58.718000000000004</v>
      </c>
      <c r="G4314" s="5">
        <f t="shared" si="274"/>
        <v>0.51657458563535907</v>
      </c>
      <c r="H4314" s="2" t="s">
        <v>5</v>
      </c>
      <c r="I4314" s="6" t="s">
        <v>2300</v>
      </c>
      <c r="J4314" s="2" t="s">
        <v>5</v>
      </c>
      <c r="K4314" s="2" t="s">
        <v>5</v>
      </c>
      <c r="L4314" s="2" t="s">
        <v>5</v>
      </c>
      <c r="M4314" s="2" t="s">
        <v>5</v>
      </c>
      <c r="N4314" s="4">
        <v>0</v>
      </c>
    </row>
    <row r="4315" spans="1:14" x14ac:dyDescent="0.25">
      <c r="A4315" s="2" t="s">
        <v>1216</v>
      </c>
      <c r="B4315" s="2" t="s">
        <v>1217</v>
      </c>
      <c r="C4315" s="3">
        <v>16.07</v>
      </c>
      <c r="D4315" s="4">
        <v>72.314999999999998</v>
      </c>
      <c r="E4315" s="4">
        <v>56.244999999999997</v>
      </c>
      <c r="F4315" s="4">
        <f t="shared" si="273"/>
        <v>16.07</v>
      </c>
      <c r="G4315" s="5">
        <f t="shared" si="274"/>
        <v>0.22222222222222224</v>
      </c>
      <c r="H4315" s="2" t="s">
        <v>5</v>
      </c>
      <c r="I4315" s="6" t="s">
        <v>2300</v>
      </c>
      <c r="J4315" s="2" t="s">
        <v>5</v>
      </c>
      <c r="K4315" s="2" t="s">
        <v>5</v>
      </c>
      <c r="L4315" s="2" t="s">
        <v>5</v>
      </c>
      <c r="M4315" s="2" t="s">
        <v>5</v>
      </c>
      <c r="N4315" s="4">
        <v>0</v>
      </c>
    </row>
    <row r="4316" spans="1:14" x14ac:dyDescent="0.25">
      <c r="A4316" s="2" t="s">
        <v>1216</v>
      </c>
      <c r="B4316" s="2" t="s">
        <v>1217</v>
      </c>
      <c r="C4316" s="3">
        <v>63.204999999999998</v>
      </c>
      <c r="D4316" s="4">
        <v>284.42250000000001</v>
      </c>
      <c r="E4316" s="4">
        <v>221.2175</v>
      </c>
      <c r="F4316" s="4">
        <f t="shared" si="273"/>
        <v>63.205000000000013</v>
      </c>
      <c r="G4316" s="5">
        <f t="shared" si="274"/>
        <v>0.22222222222222227</v>
      </c>
      <c r="H4316" s="2" t="s">
        <v>5</v>
      </c>
      <c r="I4316" s="6" t="s">
        <v>2300</v>
      </c>
      <c r="J4316" s="2" t="s">
        <v>5</v>
      </c>
      <c r="K4316" s="2" t="s">
        <v>5</v>
      </c>
      <c r="L4316" s="2" t="s">
        <v>5</v>
      </c>
      <c r="M4316" s="2" t="s">
        <v>5</v>
      </c>
      <c r="N4316" s="4">
        <v>0</v>
      </c>
    </row>
    <row r="4317" spans="1:14" x14ac:dyDescent="0.25">
      <c r="A4317" s="2" t="s">
        <v>1216</v>
      </c>
      <c r="B4317" s="2" t="s">
        <v>1217</v>
      </c>
      <c r="C4317" s="3">
        <v>57.87</v>
      </c>
      <c r="D4317" s="4">
        <v>260.41500000000002</v>
      </c>
      <c r="E4317" s="4">
        <v>202.54499999999999</v>
      </c>
      <c r="F4317" s="4">
        <f t="shared" si="273"/>
        <v>57.870000000000033</v>
      </c>
      <c r="G4317" s="5">
        <f t="shared" si="274"/>
        <v>0.22222222222222232</v>
      </c>
      <c r="H4317" s="2" t="s">
        <v>5</v>
      </c>
      <c r="I4317" s="6" t="s">
        <v>2300</v>
      </c>
      <c r="J4317" s="2" t="s">
        <v>5</v>
      </c>
      <c r="K4317" s="2" t="s">
        <v>5</v>
      </c>
      <c r="L4317" s="2" t="s">
        <v>5</v>
      </c>
      <c r="M4317" s="2" t="s">
        <v>5</v>
      </c>
      <c r="N4317" s="4">
        <v>0</v>
      </c>
    </row>
    <row r="4318" spans="1:14" x14ac:dyDescent="0.25">
      <c r="A4318" s="2" t="s">
        <v>1216</v>
      </c>
      <c r="B4318" s="2" t="s">
        <v>1217</v>
      </c>
      <c r="C4318" s="3">
        <v>15.66</v>
      </c>
      <c r="D4318" s="4">
        <v>70.47</v>
      </c>
      <c r="E4318" s="4">
        <v>54.81</v>
      </c>
      <c r="F4318" s="4">
        <f t="shared" si="273"/>
        <v>15.659999999999997</v>
      </c>
      <c r="G4318" s="5">
        <f t="shared" si="274"/>
        <v>0.22222222222222218</v>
      </c>
      <c r="H4318" s="2" t="s">
        <v>5</v>
      </c>
      <c r="I4318" s="6" t="s">
        <v>2300</v>
      </c>
      <c r="J4318" s="2" t="s">
        <v>5</v>
      </c>
      <c r="K4318" s="2" t="s">
        <v>5</v>
      </c>
      <c r="L4318" s="2" t="s">
        <v>5</v>
      </c>
      <c r="M4318" s="2" t="s">
        <v>5</v>
      </c>
      <c r="N4318" s="4">
        <v>0</v>
      </c>
    </row>
    <row r="4319" spans="1:14" x14ac:dyDescent="0.25">
      <c r="A4319" s="2" t="s">
        <v>1216</v>
      </c>
      <c r="B4319" s="2" t="s">
        <v>1217</v>
      </c>
      <c r="C4319" s="3">
        <v>5.26</v>
      </c>
      <c r="D4319" s="4">
        <v>40.344200000000001</v>
      </c>
      <c r="E4319" s="4">
        <v>18.41</v>
      </c>
      <c r="F4319" s="4">
        <f t="shared" si="273"/>
        <v>21.934200000000001</v>
      </c>
      <c r="G4319" s="5">
        <f t="shared" si="274"/>
        <v>0.54367666232073009</v>
      </c>
      <c r="H4319" s="2" t="s">
        <v>5</v>
      </c>
      <c r="I4319" s="6" t="s">
        <v>2300</v>
      </c>
      <c r="J4319" s="2" t="s">
        <v>5</v>
      </c>
      <c r="K4319" s="2" t="s">
        <v>5</v>
      </c>
      <c r="L4319" s="2" t="s">
        <v>5</v>
      </c>
      <c r="M4319" s="2" t="s">
        <v>5</v>
      </c>
      <c r="N4319" s="4">
        <v>0</v>
      </c>
    </row>
    <row r="4320" spans="1:14" x14ac:dyDescent="0.25">
      <c r="A4320" s="2" t="s">
        <v>1216</v>
      </c>
      <c r="B4320" s="2" t="s">
        <v>1217</v>
      </c>
      <c r="C4320" s="3">
        <v>30.48</v>
      </c>
      <c r="D4320" s="4">
        <v>137.16</v>
      </c>
      <c r="E4320" s="4">
        <v>106.68</v>
      </c>
      <c r="F4320" s="4">
        <f t="shared" si="273"/>
        <v>30.47999999999999</v>
      </c>
      <c r="G4320" s="5">
        <f t="shared" si="274"/>
        <v>0.22222222222222215</v>
      </c>
      <c r="H4320" s="2" t="s">
        <v>5</v>
      </c>
      <c r="I4320" s="6" t="s">
        <v>2300</v>
      </c>
      <c r="J4320" s="2" t="s">
        <v>5</v>
      </c>
      <c r="K4320" s="2" t="s">
        <v>5</v>
      </c>
      <c r="L4320" s="2" t="s">
        <v>5</v>
      </c>
      <c r="M4320" s="2" t="s">
        <v>5</v>
      </c>
      <c r="N4320" s="4">
        <v>0</v>
      </c>
    </row>
    <row r="4321" spans="1:14" x14ac:dyDescent="0.25">
      <c r="A4321" s="2" t="s">
        <v>1216</v>
      </c>
      <c r="B4321" s="2" t="s">
        <v>1217</v>
      </c>
      <c r="C4321" s="3">
        <v>363.04</v>
      </c>
      <c r="D4321" s="4">
        <v>1615.528</v>
      </c>
      <c r="E4321" s="4">
        <v>1270.6400000000001</v>
      </c>
      <c r="F4321" s="4">
        <f t="shared" ref="F4321:F4384" si="275">D4321-E4321</f>
        <v>344.88799999999992</v>
      </c>
      <c r="G4321" s="5">
        <f t="shared" ref="G4321:G4384" si="276">IF(((D4321)=0),0,(D4321-E4321)/ D4321)</f>
        <v>0.21348314606741567</v>
      </c>
      <c r="H4321" s="2" t="s">
        <v>5</v>
      </c>
      <c r="I4321" s="6" t="s">
        <v>2300</v>
      </c>
      <c r="J4321" s="2" t="s">
        <v>5</v>
      </c>
      <c r="K4321" s="2" t="s">
        <v>5</v>
      </c>
      <c r="L4321" s="2" t="s">
        <v>5</v>
      </c>
      <c r="M4321" s="2" t="s">
        <v>5</v>
      </c>
      <c r="N4321" s="4">
        <v>0</v>
      </c>
    </row>
    <row r="4322" spans="1:14" x14ac:dyDescent="0.25">
      <c r="A4322" s="2" t="s">
        <v>611</v>
      </c>
      <c r="B4322" s="2" t="s">
        <v>612</v>
      </c>
      <c r="C4322" s="3">
        <v>62.174999999999997</v>
      </c>
      <c r="D4322" s="4">
        <v>328.90575000000001</v>
      </c>
      <c r="E4322" s="4">
        <v>223.83</v>
      </c>
      <c r="F4322" s="4">
        <f t="shared" si="275"/>
        <v>105.07575</v>
      </c>
      <c r="G4322" s="5">
        <f t="shared" si="276"/>
        <v>0.31947069943289225</v>
      </c>
      <c r="H4322" s="2" t="s">
        <v>5</v>
      </c>
      <c r="I4322" s="6" t="s">
        <v>2300</v>
      </c>
      <c r="J4322" s="2" t="s">
        <v>5</v>
      </c>
      <c r="K4322" s="2" t="s">
        <v>5</v>
      </c>
      <c r="L4322" s="2" t="s">
        <v>5</v>
      </c>
      <c r="M4322" s="2" t="s">
        <v>5</v>
      </c>
      <c r="N4322" s="4">
        <v>0</v>
      </c>
    </row>
    <row r="4323" spans="1:14" x14ac:dyDescent="0.25">
      <c r="A4323" s="2" t="s">
        <v>611</v>
      </c>
      <c r="B4323" s="2" t="s">
        <v>612</v>
      </c>
      <c r="C4323" s="3">
        <v>39.74</v>
      </c>
      <c r="D4323" s="4">
        <v>210.22460000000001</v>
      </c>
      <c r="E4323" s="4">
        <v>143.06399999999999</v>
      </c>
      <c r="F4323" s="4">
        <f t="shared" si="275"/>
        <v>67.160600000000017</v>
      </c>
      <c r="G4323" s="5">
        <f t="shared" si="276"/>
        <v>0.3194706994328923</v>
      </c>
      <c r="H4323" s="2" t="s">
        <v>5</v>
      </c>
      <c r="I4323" s="6" t="s">
        <v>2300</v>
      </c>
      <c r="J4323" s="2" t="s">
        <v>5</v>
      </c>
      <c r="K4323" s="2" t="s">
        <v>5</v>
      </c>
      <c r="L4323" s="2" t="s">
        <v>5</v>
      </c>
      <c r="M4323" s="2" t="s">
        <v>5</v>
      </c>
      <c r="N4323" s="4">
        <v>0</v>
      </c>
    </row>
    <row r="4324" spans="1:14" x14ac:dyDescent="0.25">
      <c r="A4324" s="2" t="s">
        <v>611</v>
      </c>
      <c r="B4324" s="2" t="s">
        <v>612</v>
      </c>
      <c r="C4324" s="3">
        <v>15.19</v>
      </c>
      <c r="D4324" s="4">
        <v>72.456299999999999</v>
      </c>
      <c r="E4324" s="4">
        <v>54.683999999999997</v>
      </c>
      <c r="F4324" s="4">
        <f t="shared" si="275"/>
        <v>17.772300000000001</v>
      </c>
      <c r="G4324" s="5">
        <f t="shared" si="276"/>
        <v>0.24528301886792456</v>
      </c>
      <c r="H4324" s="2" t="s">
        <v>5</v>
      </c>
      <c r="I4324" s="6" t="s">
        <v>2300</v>
      </c>
      <c r="J4324" s="2" t="s">
        <v>5</v>
      </c>
      <c r="K4324" s="2" t="s">
        <v>5</v>
      </c>
      <c r="L4324" s="2" t="s">
        <v>5</v>
      </c>
      <c r="M4324" s="2" t="s">
        <v>5</v>
      </c>
      <c r="N4324" s="4">
        <v>0</v>
      </c>
    </row>
    <row r="4325" spans="1:14" x14ac:dyDescent="0.25">
      <c r="A4325" s="2" t="s">
        <v>611</v>
      </c>
      <c r="B4325" s="2" t="s">
        <v>612</v>
      </c>
      <c r="C4325" s="3">
        <v>9.81</v>
      </c>
      <c r="D4325" s="4">
        <v>58.86</v>
      </c>
      <c r="E4325" s="4">
        <v>35.316000000000003</v>
      </c>
      <c r="F4325" s="4">
        <f t="shared" si="275"/>
        <v>23.543999999999997</v>
      </c>
      <c r="G4325" s="5">
        <f t="shared" si="276"/>
        <v>0.39999999999999997</v>
      </c>
      <c r="H4325" s="2" t="s">
        <v>5</v>
      </c>
      <c r="I4325" s="6" t="s">
        <v>2300</v>
      </c>
      <c r="J4325" s="2" t="s">
        <v>5</v>
      </c>
      <c r="K4325" s="2" t="s">
        <v>5</v>
      </c>
      <c r="L4325" s="2" t="s">
        <v>5</v>
      </c>
      <c r="M4325" s="2" t="s">
        <v>5</v>
      </c>
      <c r="N4325" s="4">
        <v>0</v>
      </c>
    </row>
    <row r="4326" spans="1:14" x14ac:dyDescent="0.25">
      <c r="A4326" s="2" t="s">
        <v>611</v>
      </c>
      <c r="B4326" s="2" t="s">
        <v>612</v>
      </c>
      <c r="C4326" s="3">
        <v>45.52</v>
      </c>
      <c r="D4326" s="4">
        <v>273.12</v>
      </c>
      <c r="E4326" s="4">
        <v>163.87200000000001</v>
      </c>
      <c r="F4326" s="4">
        <f t="shared" si="275"/>
        <v>109.24799999999999</v>
      </c>
      <c r="G4326" s="5">
        <f t="shared" si="276"/>
        <v>0.39999999999999997</v>
      </c>
      <c r="H4326" s="2" t="s">
        <v>5</v>
      </c>
      <c r="I4326" s="6" t="s">
        <v>2300</v>
      </c>
      <c r="J4326" s="2" t="s">
        <v>5</v>
      </c>
      <c r="K4326" s="2" t="s">
        <v>5</v>
      </c>
      <c r="L4326" s="2" t="s">
        <v>5</v>
      </c>
      <c r="M4326" s="2" t="s">
        <v>5</v>
      </c>
      <c r="N4326" s="4">
        <v>0</v>
      </c>
    </row>
    <row r="4327" spans="1:14" x14ac:dyDescent="0.25">
      <c r="A4327" s="2" t="s">
        <v>611</v>
      </c>
      <c r="B4327" s="2" t="s">
        <v>612</v>
      </c>
      <c r="C4327" s="3">
        <v>15.79</v>
      </c>
      <c r="D4327" s="4">
        <v>83.5291</v>
      </c>
      <c r="E4327" s="4">
        <v>56.844000000000001</v>
      </c>
      <c r="F4327" s="4">
        <f t="shared" si="275"/>
        <v>26.685099999999998</v>
      </c>
      <c r="G4327" s="5">
        <f t="shared" si="276"/>
        <v>0.31947069943289225</v>
      </c>
      <c r="H4327" s="2" t="s">
        <v>5</v>
      </c>
      <c r="I4327" s="6" t="s">
        <v>2300</v>
      </c>
      <c r="J4327" s="2" t="s">
        <v>5</v>
      </c>
      <c r="K4327" s="2" t="s">
        <v>5</v>
      </c>
      <c r="L4327" s="2" t="s">
        <v>5</v>
      </c>
      <c r="M4327" s="2" t="s">
        <v>5</v>
      </c>
      <c r="N4327" s="4">
        <v>0</v>
      </c>
    </row>
    <row r="4328" spans="1:14" x14ac:dyDescent="0.25">
      <c r="A4328" s="2" t="s">
        <v>611</v>
      </c>
      <c r="B4328" s="2" t="s">
        <v>612</v>
      </c>
      <c r="C4328" s="3">
        <v>14.365</v>
      </c>
      <c r="D4328" s="4">
        <v>76.134500000000003</v>
      </c>
      <c r="E4328" s="4">
        <v>51.713999999999999</v>
      </c>
      <c r="F4328" s="4">
        <f t="shared" si="275"/>
        <v>24.420500000000004</v>
      </c>
      <c r="G4328" s="5">
        <f t="shared" si="276"/>
        <v>0.32075471698113212</v>
      </c>
      <c r="H4328" s="2" t="s">
        <v>5</v>
      </c>
      <c r="I4328" s="6" t="s">
        <v>2300</v>
      </c>
      <c r="J4328" s="2" t="s">
        <v>5</v>
      </c>
      <c r="K4328" s="2" t="s">
        <v>5</v>
      </c>
      <c r="L4328" s="2" t="s">
        <v>5</v>
      </c>
      <c r="M4328" s="2" t="s">
        <v>5</v>
      </c>
      <c r="N4328" s="4">
        <v>0</v>
      </c>
    </row>
    <row r="4329" spans="1:14" x14ac:dyDescent="0.25">
      <c r="A4329" s="2" t="s">
        <v>611</v>
      </c>
      <c r="B4329" s="2" t="s">
        <v>612</v>
      </c>
      <c r="C4329" s="3">
        <v>47.56</v>
      </c>
      <c r="D4329" s="4">
        <v>252.06800000000001</v>
      </c>
      <c r="E4329" s="4">
        <v>171.21600000000001</v>
      </c>
      <c r="F4329" s="4">
        <f t="shared" si="275"/>
        <v>80.852000000000004</v>
      </c>
      <c r="G4329" s="5">
        <f t="shared" si="276"/>
        <v>0.32075471698113206</v>
      </c>
      <c r="H4329" s="2" t="s">
        <v>5</v>
      </c>
      <c r="I4329" s="6" t="s">
        <v>2300</v>
      </c>
      <c r="J4329" s="2" t="s">
        <v>5</v>
      </c>
      <c r="K4329" s="2" t="s">
        <v>5</v>
      </c>
      <c r="L4329" s="2" t="s">
        <v>5</v>
      </c>
      <c r="M4329" s="2" t="s">
        <v>5</v>
      </c>
      <c r="N4329" s="4">
        <v>0</v>
      </c>
    </row>
    <row r="4330" spans="1:14" x14ac:dyDescent="0.25">
      <c r="A4330" s="2" t="s">
        <v>611</v>
      </c>
      <c r="B4330" s="2" t="s">
        <v>612</v>
      </c>
      <c r="C4330" s="3">
        <v>15.15</v>
      </c>
      <c r="D4330" s="4">
        <v>83.779499999999999</v>
      </c>
      <c r="E4330" s="4">
        <v>54.54</v>
      </c>
      <c r="F4330" s="4">
        <f t="shared" si="275"/>
        <v>29.2395</v>
      </c>
      <c r="G4330" s="5">
        <f t="shared" si="276"/>
        <v>0.34900542495479203</v>
      </c>
      <c r="H4330" s="2" t="s">
        <v>5</v>
      </c>
      <c r="I4330" s="6" t="s">
        <v>2300</v>
      </c>
      <c r="J4330" s="2" t="s">
        <v>5</v>
      </c>
      <c r="K4330" s="2" t="s">
        <v>5</v>
      </c>
      <c r="L4330" s="2" t="s">
        <v>5</v>
      </c>
      <c r="M4330" s="2" t="s">
        <v>5</v>
      </c>
      <c r="N4330" s="4">
        <v>0</v>
      </c>
    </row>
    <row r="4331" spans="1:14" x14ac:dyDescent="0.25">
      <c r="A4331" s="2" t="s">
        <v>611</v>
      </c>
      <c r="B4331" s="2" t="s">
        <v>612</v>
      </c>
      <c r="C4331" s="3">
        <v>4.7300000000000004</v>
      </c>
      <c r="D4331" s="4">
        <v>28.0962</v>
      </c>
      <c r="E4331" s="4">
        <v>17.027999999999999</v>
      </c>
      <c r="F4331" s="4">
        <f t="shared" si="275"/>
        <v>11.068200000000001</v>
      </c>
      <c r="G4331" s="5">
        <f t="shared" si="276"/>
        <v>0.39393939393939398</v>
      </c>
      <c r="H4331" s="2" t="s">
        <v>5</v>
      </c>
      <c r="I4331" s="6" t="s">
        <v>2300</v>
      </c>
      <c r="J4331" s="2" t="s">
        <v>5</v>
      </c>
      <c r="K4331" s="2" t="s">
        <v>5</v>
      </c>
      <c r="L4331" s="2" t="s">
        <v>5</v>
      </c>
      <c r="M4331" s="2" t="s">
        <v>5</v>
      </c>
      <c r="N4331" s="4">
        <v>0</v>
      </c>
    </row>
    <row r="4332" spans="1:14" x14ac:dyDescent="0.25">
      <c r="A4332" s="2" t="s">
        <v>611</v>
      </c>
      <c r="B4332" s="2" t="s">
        <v>612</v>
      </c>
      <c r="C4332" s="3">
        <v>44.024999999999999</v>
      </c>
      <c r="D4332" s="4">
        <v>240.37649999999999</v>
      </c>
      <c r="E4332" s="4">
        <v>158.49</v>
      </c>
      <c r="F4332" s="4">
        <f t="shared" si="275"/>
        <v>81.886499999999984</v>
      </c>
      <c r="G4332" s="5">
        <f t="shared" si="276"/>
        <v>0.34065934065934061</v>
      </c>
      <c r="H4332" s="2" t="s">
        <v>5</v>
      </c>
      <c r="I4332" s="6" t="s">
        <v>2300</v>
      </c>
      <c r="J4332" s="2" t="s">
        <v>5</v>
      </c>
      <c r="K4332" s="2" t="s">
        <v>5</v>
      </c>
      <c r="L4332" s="2" t="s">
        <v>5</v>
      </c>
      <c r="M4332" s="2" t="s">
        <v>5</v>
      </c>
      <c r="N4332" s="4">
        <v>0</v>
      </c>
    </row>
    <row r="4333" spans="1:14" x14ac:dyDescent="0.25">
      <c r="A4333" s="2" t="s">
        <v>611</v>
      </c>
      <c r="B4333" s="2" t="s">
        <v>612</v>
      </c>
      <c r="C4333" s="3">
        <v>31.77</v>
      </c>
      <c r="D4333" s="4">
        <v>174.41730000000001</v>
      </c>
      <c r="E4333" s="4">
        <v>114.372</v>
      </c>
      <c r="F4333" s="4">
        <f t="shared" si="275"/>
        <v>60.045300000000012</v>
      </c>
      <c r="G4333" s="5">
        <f t="shared" si="276"/>
        <v>0.34426229508196726</v>
      </c>
      <c r="H4333" s="2" t="s">
        <v>5</v>
      </c>
      <c r="I4333" s="6" t="s">
        <v>2300</v>
      </c>
      <c r="J4333" s="2" t="s">
        <v>5</v>
      </c>
      <c r="K4333" s="2" t="s">
        <v>5</v>
      </c>
      <c r="L4333" s="2" t="s">
        <v>5</v>
      </c>
      <c r="M4333" s="2" t="s">
        <v>5</v>
      </c>
      <c r="N4333" s="4">
        <v>0</v>
      </c>
    </row>
    <row r="4334" spans="1:14" x14ac:dyDescent="0.25">
      <c r="A4334" s="2" t="s">
        <v>611</v>
      </c>
      <c r="B4334" s="2" t="s">
        <v>612</v>
      </c>
      <c r="C4334" s="3">
        <v>14.64</v>
      </c>
      <c r="D4334" s="4">
        <v>87.84</v>
      </c>
      <c r="E4334" s="4">
        <v>52.704000000000001</v>
      </c>
      <c r="F4334" s="4">
        <f t="shared" si="275"/>
        <v>35.136000000000003</v>
      </c>
      <c r="G4334" s="5">
        <f t="shared" si="276"/>
        <v>0.4</v>
      </c>
      <c r="H4334" s="2" t="s">
        <v>5</v>
      </c>
      <c r="I4334" s="6" t="s">
        <v>2300</v>
      </c>
      <c r="J4334" s="2" t="s">
        <v>5</v>
      </c>
      <c r="K4334" s="2" t="s">
        <v>5</v>
      </c>
      <c r="L4334" s="2" t="s">
        <v>5</v>
      </c>
      <c r="M4334" s="2" t="s">
        <v>5</v>
      </c>
      <c r="N4334" s="4">
        <v>0</v>
      </c>
    </row>
    <row r="4335" spans="1:14" x14ac:dyDescent="0.25">
      <c r="A4335" s="2" t="s">
        <v>611</v>
      </c>
      <c r="B4335" s="2" t="s">
        <v>612</v>
      </c>
      <c r="C4335" s="3">
        <v>47.35</v>
      </c>
      <c r="D4335" s="4">
        <v>283.62650000000002</v>
      </c>
      <c r="E4335" s="4">
        <v>170.46</v>
      </c>
      <c r="F4335" s="4">
        <f t="shared" si="275"/>
        <v>113.16650000000001</v>
      </c>
      <c r="G4335" s="5">
        <f t="shared" si="276"/>
        <v>0.39899833055091821</v>
      </c>
      <c r="H4335" s="2" t="s">
        <v>5</v>
      </c>
      <c r="I4335" s="6" t="s">
        <v>2300</v>
      </c>
      <c r="J4335" s="2" t="s">
        <v>5</v>
      </c>
      <c r="K4335" s="2" t="s">
        <v>5</v>
      </c>
      <c r="L4335" s="2" t="s">
        <v>5</v>
      </c>
      <c r="M4335" s="2" t="s">
        <v>5</v>
      </c>
      <c r="N4335" s="4">
        <v>0</v>
      </c>
    </row>
    <row r="4336" spans="1:14" x14ac:dyDescent="0.25">
      <c r="A4336" s="2" t="s">
        <v>611</v>
      </c>
      <c r="B4336" s="2" t="s">
        <v>612</v>
      </c>
      <c r="C4336" s="3">
        <v>31.13</v>
      </c>
      <c r="D4336" s="4">
        <v>186.46870000000001</v>
      </c>
      <c r="E4336" s="4">
        <v>112.068</v>
      </c>
      <c r="F4336" s="4">
        <f t="shared" si="275"/>
        <v>74.400700000000015</v>
      </c>
      <c r="G4336" s="5">
        <f t="shared" si="276"/>
        <v>0.39899833055091827</v>
      </c>
      <c r="H4336" s="2" t="s">
        <v>5</v>
      </c>
      <c r="I4336" s="6" t="s">
        <v>2300</v>
      </c>
      <c r="J4336" s="2" t="s">
        <v>5</v>
      </c>
      <c r="K4336" s="2" t="s">
        <v>5</v>
      </c>
      <c r="L4336" s="2" t="s">
        <v>5</v>
      </c>
      <c r="M4336" s="2" t="s">
        <v>5</v>
      </c>
      <c r="N4336" s="4">
        <v>0</v>
      </c>
    </row>
    <row r="4337" spans="1:14" x14ac:dyDescent="0.25">
      <c r="A4337" s="2" t="s">
        <v>2031</v>
      </c>
      <c r="B4337" s="2" t="s">
        <v>2032</v>
      </c>
      <c r="C4337" s="3">
        <v>58.54</v>
      </c>
      <c r="D4337" s="4">
        <v>545.00739999999996</v>
      </c>
      <c r="E4337" s="4">
        <v>245.86799999999999</v>
      </c>
      <c r="F4337" s="4">
        <f t="shared" si="275"/>
        <v>299.13939999999997</v>
      </c>
      <c r="G4337" s="5">
        <f t="shared" si="276"/>
        <v>0.54887218045112784</v>
      </c>
      <c r="H4337" s="2" t="s">
        <v>5</v>
      </c>
      <c r="I4337" s="6" t="s">
        <v>2300</v>
      </c>
      <c r="J4337" s="2" t="s">
        <v>5</v>
      </c>
      <c r="K4337" s="2" t="s">
        <v>5</v>
      </c>
      <c r="L4337" s="2" t="s">
        <v>5</v>
      </c>
      <c r="M4337" s="2" t="s">
        <v>5</v>
      </c>
      <c r="N4337" s="4">
        <v>0</v>
      </c>
    </row>
    <row r="4338" spans="1:14" x14ac:dyDescent="0.25">
      <c r="A4338" s="2" t="s">
        <v>2031</v>
      </c>
      <c r="B4338" s="2" t="s">
        <v>2032</v>
      </c>
      <c r="C4338" s="3">
        <v>58.225000000000001</v>
      </c>
      <c r="D4338" s="4">
        <v>542.07474999999999</v>
      </c>
      <c r="E4338" s="4">
        <v>244.54499999999999</v>
      </c>
      <c r="F4338" s="4">
        <f t="shared" si="275"/>
        <v>297.52975000000004</v>
      </c>
      <c r="G4338" s="5">
        <f t="shared" si="276"/>
        <v>0.54887218045112784</v>
      </c>
      <c r="H4338" s="2" t="s">
        <v>5</v>
      </c>
      <c r="I4338" s="6" t="s">
        <v>2300</v>
      </c>
      <c r="J4338" s="2" t="s">
        <v>5</v>
      </c>
      <c r="K4338" s="2" t="s">
        <v>5</v>
      </c>
      <c r="L4338" s="2" t="s">
        <v>5</v>
      </c>
      <c r="M4338" s="2" t="s">
        <v>5</v>
      </c>
      <c r="N4338" s="4">
        <v>0</v>
      </c>
    </row>
    <row r="4339" spans="1:14" x14ac:dyDescent="0.25">
      <c r="A4339" s="2" t="s">
        <v>2031</v>
      </c>
      <c r="B4339" s="2" t="s">
        <v>2032</v>
      </c>
      <c r="C4339" s="3">
        <v>60.045000000000002</v>
      </c>
      <c r="D4339" s="4">
        <v>559.01895000000002</v>
      </c>
      <c r="E4339" s="4">
        <v>252.18899999999999</v>
      </c>
      <c r="F4339" s="4">
        <f t="shared" si="275"/>
        <v>306.82995000000005</v>
      </c>
      <c r="G4339" s="5">
        <f t="shared" si="276"/>
        <v>0.54887218045112784</v>
      </c>
      <c r="H4339" s="2" t="s">
        <v>5</v>
      </c>
      <c r="I4339" s="6" t="s">
        <v>2300</v>
      </c>
      <c r="J4339" s="2" t="s">
        <v>5</v>
      </c>
      <c r="K4339" s="2" t="s">
        <v>5</v>
      </c>
      <c r="L4339" s="2" t="s">
        <v>5</v>
      </c>
      <c r="M4339" s="2" t="s">
        <v>5</v>
      </c>
      <c r="N4339" s="4">
        <v>0</v>
      </c>
    </row>
    <row r="4340" spans="1:14" x14ac:dyDescent="0.25">
      <c r="A4340" s="2" t="s">
        <v>203</v>
      </c>
      <c r="B4340" s="2" t="s">
        <v>204</v>
      </c>
      <c r="C4340" s="3">
        <v>14.82</v>
      </c>
      <c r="D4340" s="4">
        <v>192.66</v>
      </c>
      <c r="E4340" s="4">
        <v>74.099999999999994</v>
      </c>
      <c r="F4340" s="4">
        <f t="shared" si="275"/>
        <v>118.56</v>
      </c>
      <c r="G4340" s="5">
        <f t="shared" si="276"/>
        <v>0.61538461538461542</v>
      </c>
      <c r="H4340" s="2" t="s">
        <v>5</v>
      </c>
      <c r="I4340" s="6" t="s">
        <v>2300</v>
      </c>
      <c r="J4340" s="2" t="s">
        <v>5</v>
      </c>
      <c r="K4340" s="2" t="s">
        <v>5</v>
      </c>
      <c r="L4340" s="2" t="s">
        <v>5</v>
      </c>
      <c r="M4340" s="2" t="s">
        <v>5</v>
      </c>
      <c r="N4340" s="4">
        <v>0</v>
      </c>
    </row>
    <row r="4341" spans="1:14" x14ac:dyDescent="0.25">
      <c r="A4341" s="2" t="s">
        <v>203</v>
      </c>
      <c r="B4341" s="2" t="s">
        <v>204</v>
      </c>
      <c r="C4341" s="3">
        <v>16.53</v>
      </c>
      <c r="D4341" s="4">
        <v>248.6112</v>
      </c>
      <c r="E4341" s="4">
        <v>82.65</v>
      </c>
      <c r="F4341" s="4">
        <f t="shared" si="275"/>
        <v>165.96119999999999</v>
      </c>
      <c r="G4341" s="5">
        <f t="shared" si="276"/>
        <v>0.66755319148936165</v>
      </c>
      <c r="H4341" s="2" t="s">
        <v>5</v>
      </c>
      <c r="I4341" s="6" t="s">
        <v>2300</v>
      </c>
      <c r="J4341" s="2" t="s">
        <v>5</v>
      </c>
      <c r="K4341" s="2" t="s">
        <v>5</v>
      </c>
      <c r="L4341" s="2" t="s">
        <v>5</v>
      </c>
      <c r="M4341" s="2" t="s">
        <v>5</v>
      </c>
      <c r="N4341" s="4">
        <v>0</v>
      </c>
    </row>
    <row r="4342" spans="1:14" x14ac:dyDescent="0.25">
      <c r="A4342" s="2" t="s">
        <v>203</v>
      </c>
      <c r="B4342" s="2" t="s">
        <v>204</v>
      </c>
      <c r="C4342" s="3">
        <v>13.75</v>
      </c>
      <c r="D4342" s="4">
        <v>225.77500000000001</v>
      </c>
      <c r="E4342" s="4">
        <v>68.75</v>
      </c>
      <c r="F4342" s="4">
        <f t="shared" si="275"/>
        <v>157.02500000000001</v>
      </c>
      <c r="G4342" s="5">
        <f t="shared" si="276"/>
        <v>0.69549330085261873</v>
      </c>
      <c r="H4342" s="2" t="s">
        <v>5</v>
      </c>
      <c r="I4342" s="6" t="s">
        <v>2300</v>
      </c>
      <c r="J4342" s="2" t="s">
        <v>5</v>
      </c>
      <c r="K4342" s="2" t="s">
        <v>5</v>
      </c>
      <c r="L4342" s="2" t="s">
        <v>5</v>
      </c>
      <c r="M4342" s="2" t="s">
        <v>5</v>
      </c>
      <c r="N4342" s="4">
        <v>0</v>
      </c>
    </row>
    <row r="4343" spans="1:14" x14ac:dyDescent="0.25">
      <c r="A4343" s="2" t="s">
        <v>203</v>
      </c>
      <c r="B4343" s="2" t="s">
        <v>204</v>
      </c>
      <c r="C4343" s="3">
        <v>15.32</v>
      </c>
      <c r="D4343" s="4">
        <v>246.19239999999999</v>
      </c>
      <c r="E4343" s="4">
        <v>76.599999999999994</v>
      </c>
      <c r="F4343" s="4">
        <f t="shared" si="275"/>
        <v>169.5924</v>
      </c>
      <c r="G4343" s="5">
        <f t="shared" si="276"/>
        <v>0.68886123210952088</v>
      </c>
      <c r="H4343" s="2" t="s">
        <v>5</v>
      </c>
      <c r="I4343" s="6" t="s">
        <v>2300</v>
      </c>
      <c r="J4343" s="2" t="s">
        <v>5</v>
      </c>
      <c r="K4343" s="2" t="s">
        <v>5</v>
      </c>
      <c r="L4343" s="2" t="s">
        <v>5</v>
      </c>
      <c r="M4343" s="2" t="s">
        <v>5</v>
      </c>
      <c r="N4343" s="4">
        <v>0</v>
      </c>
    </row>
    <row r="4344" spans="1:14" x14ac:dyDescent="0.25">
      <c r="A4344" s="2" t="s">
        <v>203</v>
      </c>
      <c r="B4344" s="2" t="s">
        <v>204</v>
      </c>
      <c r="C4344" s="3">
        <v>29.725000000000001</v>
      </c>
      <c r="D4344" s="4">
        <v>386.42500000000001</v>
      </c>
      <c r="E4344" s="4">
        <v>148.625</v>
      </c>
      <c r="F4344" s="4">
        <f t="shared" si="275"/>
        <v>237.8</v>
      </c>
      <c r="G4344" s="5">
        <f t="shared" si="276"/>
        <v>0.61538461538461542</v>
      </c>
      <c r="H4344" s="2" t="s">
        <v>5</v>
      </c>
      <c r="I4344" s="6" t="s">
        <v>2300</v>
      </c>
      <c r="J4344" s="2" t="s">
        <v>5</v>
      </c>
      <c r="K4344" s="2" t="s">
        <v>5</v>
      </c>
      <c r="L4344" s="2" t="s">
        <v>5</v>
      </c>
      <c r="M4344" s="2" t="s">
        <v>5</v>
      </c>
      <c r="N4344" s="4">
        <v>0</v>
      </c>
    </row>
    <row r="4345" spans="1:14" x14ac:dyDescent="0.25">
      <c r="A4345" s="2" t="s">
        <v>203</v>
      </c>
      <c r="B4345" s="2" t="s">
        <v>204</v>
      </c>
      <c r="C4345" s="3">
        <v>101.45</v>
      </c>
      <c r="D4345" s="4">
        <v>1318.85</v>
      </c>
      <c r="E4345" s="4">
        <v>507.25</v>
      </c>
      <c r="F4345" s="4">
        <f t="shared" si="275"/>
        <v>811.59999999999991</v>
      </c>
      <c r="G4345" s="5">
        <f t="shared" si="276"/>
        <v>0.61538461538461531</v>
      </c>
      <c r="H4345" s="2" t="s">
        <v>5</v>
      </c>
      <c r="I4345" s="6" t="s">
        <v>2300</v>
      </c>
      <c r="J4345" s="2" t="s">
        <v>5</v>
      </c>
      <c r="K4345" s="2" t="s">
        <v>5</v>
      </c>
      <c r="L4345" s="2" t="s">
        <v>5</v>
      </c>
      <c r="M4345" s="2" t="s">
        <v>5</v>
      </c>
      <c r="N4345" s="4">
        <v>0</v>
      </c>
    </row>
    <row r="4346" spans="1:14" x14ac:dyDescent="0.25">
      <c r="A4346" s="2" t="s">
        <v>203</v>
      </c>
      <c r="B4346" s="2" t="s">
        <v>204</v>
      </c>
      <c r="C4346" s="3">
        <v>15.89</v>
      </c>
      <c r="D4346" s="4">
        <v>238.98560000000001</v>
      </c>
      <c r="E4346" s="4">
        <v>79.45</v>
      </c>
      <c r="F4346" s="4">
        <f t="shared" si="275"/>
        <v>159.53559999999999</v>
      </c>
      <c r="G4346" s="5">
        <f t="shared" si="276"/>
        <v>0.66755319148936165</v>
      </c>
      <c r="H4346" s="2" t="s">
        <v>5</v>
      </c>
      <c r="I4346" s="6" t="s">
        <v>2300</v>
      </c>
      <c r="J4346" s="2" t="s">
        <v>5</v>
      </c>
      <c r="K4346" s="2" t="s">
        <v>5</v>
      </c>
      <c r="L4346" s="2" t="s">
        <v>5</v>
      </c>
      <c r="M4346" s="2" t="s">
        <v>5</v>
      </c>
      <c r="N4346" s="4">
        <v>0</v>
      </c>
    </row>
    <row r="4347" spans="1:14" x14ac:dyDescent="0.25">
      <c r="A4347" s="2" t="s">
        <v>203</v>
      </c>
      <c r="B4347" s="2" t="s">
        <v>204</v>
      </c>
      <c r="C4347" s="3">
        <v>46.185000000000002</v>
      </c>
      <c r="D4347" s="4">
        <v>600.40499999999997</v>
      </c>
      <c r="E4347" s="4">
        <v>230.92500000000001</v>
      </c>
      <c r="F4347" s="4">
        <f t="shared" si="275"/>
        <v>369.47999999999996</v>
      </c>
      <c r="G4347" s="5">
        <f t="shared" si="276"/>
        <v>0.61538461538461531</v>
      </c>
      <c r="H4347" s="2" t="s">
        <v>5</v>
      </c>
      <c r="I4347" s="6" t="s">
        <v>2300</v>
      </c>
      <c r="J4347" s="2" t="s">
        <v>5</v>
      </c>
      <c r="K4347" s="2" t="s">
        <v>5</v>
      </c>
      <c r="L4347" s="2" t="s">
        <v>5</v>
      </c>
      <c r="M4347" s="2" t="s">
        <v>5</v>
      </c>
      <c r="N4347" s="4">
        <v>0</v>
      </c>
    </row>
    <row r="4348" spans="1:14" x14ac:dyDescent="0.25">
      <c r="A4348" s="2" t="s">
        <v>203</v>
      </c>
      <c r="B4348" s="2" t="s">
        <v>204</v>
      </c>
      <c r="C4348" s="3">
        <v>75.349999999999994</v>
      </c>
      <c r="D4348" s="4">
        <v>979.55</v>
      </c>
      <c r="E4348" s="4">
        <v>376.75</v>
      </c>
      <c r="F4348" s="4">
        <f t="shared" si="275"/>
        <v>602.79999999999995</v>
      </c>
      <c r="G4348" s="5">
        <f t="shared" si="276"/>
        <v>0.61538461538461542</v>
      </c>
      <c r="H4348" s="2" t="s">
        <v>5</v>
      </c>
      <c r="I4348" s="6" t="s">
        <v>2300</v>
      </c>
      <c r="J4348" s="2" t="s">
        <v>5</v>
      </c>
      <c r="K4348" s="2" t="s">
        <v>5</v>
      </c>
      <c r="L4348" s="2" t="s">
        <v>5</v>
      </c>
      <c r="M4348" s="2" t="s">
        <v>5</v>
      </c>
      <c r="N4348" s="4">
        <v>0</v>
      </c>
    </row>
    <row r="4349" spans="1:14" x14ac:dyDescent="0.25">
      <c r="A4349" s="2" t="s">
        <v>203</v>
      </c>
      <c r="B4349" s="2" t="s">
        <v>204</v>
      </c>
      <c r="C4349" s="3">
        <v>15.8</v>
      </c>
      <c r="D4349" s="4">
        <v>205.4</v>
      </c>
      <c r="E4349" s="4">
        <v>79</v>
      </c>
      <c r="F4349" s="4">
        <f t="shared" si="275"/>
        <v>126.4</v>
      </c>
      <c r="G4349" s="5">
        <f t="shared" si="276"/>
        <v>0.61538461538461542</v>
      </c>
      <c r="H4349" s="2" t="s">
        <v>5</v>
      </c>
      <c r="I4349" s="6" t="s">
        <v>2300</v>
      </c>
      <c r="J4349" s="2" t="s">
        <v>5</v>
      </c>
      <c r="K4349" s="2" t="s">
        <v>5</v>
      </c>
      <c r="L4349" s="2" t="s">
        <v>5</v>
      </c>
      <c r="M4349" s="2" t="s">
        <v>5</v>
      </c>
      <c r="N4349" s="4">
        <v>0</v>
      </c>
    </row>
    <row r="4350" spans="1:14" x14ac:dyDescent="0.25">
      <c r="A4350" s="2" t="s">
        <v>203</v>
      </c>
      <c r="B4350" s="2" t="s">
        <v>204</v>
      </c>
      <c r="C4350" s="3">
        <v>46.16</v>
      </c>
      <c r="D4350" s="4">
        <v>741.7912</v>
      </c>
      <c r="E4350" s="4">
        <v>230.8</v>
      </c>
      <c r="F4350" s="4">
        <f t="shared" si="275"/>
        <v>510.99119999999999</v>
      </c>
      <c r="G4350" s="5">
        <f t="shared" si="276"/>
        <v>0.68886123210952088</v>
      </c>
      <c r="H4350" s="2" t="s">
        <v>5</v>
      </c>
      <c r="I4350" s="6" t="s">
        <v>2300</v>
      </c>
      <c r="J4350" s="2" t="s">
        <v>5</v>
      </c>
      <c r="K4350" s="2" t="s">
        <v>5</v>
      </c>
      <c r="L4350" s="2" t="s">
        <v>5</v>
      </c>
      <c r="M4350" s="2" t="s">
        <v>5</v>
      </c>
      <c r="N4350" s="4">
        <v>0</v>
      </c>
    </row>
    <row r="4351" spans="1:14" x14ac:dyDescent="0.25">
      <c r="A4351" s="2" t="s">
        <v>203</v>
      </c>
      <c r="B4351" s="2" t="s">
        <v>204</v>
      </c>
      <c r="C4351" s="3">
        <v>90.76</v>
      </c>
      <c r="D4351" s="4">
        <v>1170.8040000000001</v>
      </c>
      <c r="E4351" s="4">
        <v>453.8</v>
      </c>
      <c r="F4351" s="4">
        <f t="shared" si="275"/>
        <v>717.00400000000013</v>
      </c>
      <c r="G4351" s="5">
        <f t="shared" si="276"/>
        <v>0.61240310077519389</v>
      </c>
      <c r="H4351" s="2" t="s">
        <v>5</v>
      </c>
      <c r="I4351" s="6" t="s">
        <v>2300</v>
      </c>
      <c r="J4351" s="2" t="s">
        <v>5</v>
      </c>
      <c r="K4351" s="2" t="s">
        <v>5</v>
      </c>
      <c r="L4351" s="2" t="s">
        <v>5</v>
      </c>
      <c r="M4351" s="2" t="s">
        <v>5</v>
      </c>
      <c r="N4351" s="4">
        <v>0</v>
      </c>
    </row>
    <row r="4352" spans="1:14" x14ac:dyDescent="0.25">
      <c r="A4352" s="2" t="s">
        <v>203</v>
      </c>
      <c r="B4352" s="2" t="s">
        <v>204</v>
      </c>
      <c r="C4352" s="3">
        <v>31.11</v>
      </c>
      <c r="D4352" s="4">
        <v>466.65</v>
      </c>
      <c r="E4352" s="4">
        <v>155.55000000000001</v>
      </c>
      <c r="F4352" s="4">
        <f t="shared" si="275"/>
        <v>311.09999999999997</v>
      </c>
      <c r="G4352" s="5">
        <f t="shared" si="276"/>
        <v>0.66666666666666663</v>
      </c>
      <c r="H4352" s="2" t="s">
        <v>5</v>
      </c>
      <c r="I4352" s="6" t="s">
        <v>2300</v>
      </c>
      <c r="J4352" s="2" t="s">
        <v>5</v>
      </c>
      <c r="K4352" s="2" t="s">
        <v>5</v>
      </c>
      <c r="L4352" s="2" t="s">
        <v>5</v>
      </c>
      <c r="M4352" s="2" t="s">
        <v>5</v>
      </c>
      <c r="N4352" s="4">
        <v>0</v>
      </c>
    </row>
    <row r="4353" spans="1:14" x14ac:dyDescent="0.25">
      <c r="A4353" s="2" t="s">
        <v>203</v>
      </c>
      <c r="B4353" s="2" t="s">
        <v>204</v>
      </c>
      <c r="C4353" s="3">
        <v>79.14</v>
      </c>
      <c r="D4353" s="4">
        <v>1028.82</v>
      </c>
      <c r="E4353" s="4">
        <v>395.7</v>
      </c>
      <c r="F4353" s="4">
        <f t="shared" si="275"/>
        <v>633.11999999999989</v>
      </c>
      <c r="G4353" s="5">
        <f t="shared" si="276"/>
        <v>0.61538461538461531</v>
      </c>
      <c r="H4353" s="2" t="s">
        <v>5</v>
      </c>
      <c r="I4353" s="6" t="s">
        <v>2300</v>
      </c>
      <c r="J4353" s="2" t="s">
        <v>5</v>
      </c>
      <c r="K4353" s="2" t="s">
        <v>5</v>
      </c>
      <c r="L4353" s="2" t="s">
        <v>5</v>
      </c>
      <c r="M4353" s="2" t="s">
        <v>5</v>
      </c>
      <c r="N4353" s="4">
        <v>0</v>
      </c>
    </row>
    <row r="4354" spans="1:14" x14ac:dyDescent="0.25">
      <c r="A4354" s="2" t="s">
        <v>203</v>
      </c>
      <c r="B4354" s="2" t="s">
        <v>204</v>
      </c>
      <c r="C4354" s="3">
        <v>61.52</v>
      </c>
      <c r="D4354" s="4">
        <v>856.97360000000003</v>
      </c>
      <c r="E4354" s="4">
        <v>307.60000000000002</v>
      </c>
      <c r="F4354" s="4">
        <f t="shared" si="275"/>
        <v>549.37360000000001</v>
      </c>
      <c r="G4354" s="5">
        <f t="shared" si="276"/>
        <v>0.64106245513280691</v>
      </c>
      <c r="H4354" s="2" t="s">
        <v>5</v>
      </c>
      <c r="I4354" s="6" t="s">
        <v>2300</v>
      </c>
      <c r="J4354" s="2" t="s">
        <v>5</v>
      </c>
      <c r="K4354" s="2" t="s">
        <v>5</v>
      </c>
      <c r="L4354" s="2" t="s">
        <v>5</v>
      </c>
      <c r="M4354" s="2" t="s">
        <v>5</v>
      </c>
      <c r="N4354" s="4">
        <v>0</v>
      </c>
    </row>
    <row r="4355" spans="1:14" x14ac:dyDescent="0.25">
      <c r="A4355" s="2" t="s">
        <v>203</v>
      </c>
      <c r="B4355" s="2" t="s">
        <v>204</v>
      </c>
      <c r="C4355" s="3">
        <v>63.16</v>
      </c>
      <c r="D4355" s="4">
        <v>879.81880000000001</v>
      </c>
      <c r="E4355" s="4">
        <v>315.8</v>
      </c>
      <c r="F4355" s="4">
        <f t="shared" si="275"/>
        <v>564.01880000000006</v>
      </c>
      <c r="G4355" s="5">
        <f t="shared" si="276"/>
        <v>0.64106245513280691</v>
      </c>
      <c r="H4355" s="2" t="s">
        <v>5</v>
      </c>
      <c r="I4355" s="6" t="s">
        <v>2300</v>
      </c>
      <c r="J4355" s="2" t="s">
        <v>5</v>
      </c>
      <c r="K4355" s="2" t="s">
        <v>5</v>
      </c>
      <c r="L4355" s="2" t="s">
        <v>5</v>
      </c>
      <c r="M4355" s="2" t="s">
        <v>5</v>
      </c>
      <c r="N4355" s="4">
        <v>0</v>
      </c>
    </row>
    <row r="4356" spans="1:14" x14ac:dyDescent="0.25">
      <c r="A4356" s="2" t="s">
        <v>203</v>
      </c>
      <c r="B4356" s="2" t="s">
        <v>204</v>
      </c>
      <c r="C4356" s="3">
        <v>15.5</v>
      </c>
      <c r="D4356" s="4">
        <v>254.51</v>
      </c>
      <c r="E4356" s="4">
        <v>77.5</v>
      </c>
      <c r="F4356" s="4">
        <f t="shared" si="275"/>
        <v>177.01</v>
      </c>
      <c r="G4356" s="5">
        <f t="shared" si="276"/>
        <v>0.69549330085261873</v>
      </c>
      <c r="H4356" s="2" t="s">
        <v>5</v>
      </c>
      <c r="I4356" s="6" t="s">
        <v>2300</v>
      </c>
      <c r="J4356" s="2" t="s">
        <v>5</v>
      </c>
      <c r="K4356" s="2" t="s">
        <v>5</v>
      </c>
      <c r="L4356" s="2" t="s">
        <v>5</v>
      </c>
      <c r="M4356" s="2" t="s">
        <v>5</v>
      </c>
      <c r="N4356" s="4">
        <v>0</v>
      </c>
    </row>
    <row r="4357" spans="1:14" x14ac:dyDescent="0.25">
      <c r="A4357" s="2" t="s">
        <v>118</v>
      </c>
      <c r="B4357" s="2" t="s">
        <v>119</v>
      </c>
      <c r="C4357" s="3">
        <v>5.63</v>
      </c>
      <c r="D4357" s="4">
        <v>92.106800000000007</v>
      </c>
      <c r="E4357" s="4">
        <v>42.225000000000001</v>
      </c>
      <c r="F4357" s="4">
        <f t="shared" si="275"/>
        <v>49.881800000000005</v>
      </c>
      <c r="G4357" s="5">
        <f t="shared" si="276"/>
        <v>0.54156479217603914</v>
      </c>
      <c r="H4357" s="2" t="s">
        <v>5</v>
      </c>
      <c r="I4357" s="6" t="s">
        <v>2300</v>
      </c>
      <c r="J4357" s="2" t="s">
        <v>5</v>
      </c>
      <c r="K4357" s="2" t="s">
        <v>5</v>
      </c>
      <c r="L4357" s="2" t="s">
        <v>5</v>
      </c>
      <c r="M4357" s="2" t="s">
        <v>5</v>
      </c>
      <c r="N4357" s="4">
        <v>0</v>
      </c>
    </row>
    <row r="4358" spans="1:14" x14ac:dyDescent="0.25">
      <c r="A4358" s="2" t="s">
        <v>118</v>
      </c>
      <c r="B4358" s="2" t="s">
        <v>119</v>
      </c>
      <c r="C4358" s="3">
        <v>5.61</v>
      </c>
      <c r="D4358" s="4">
        <v>91.779600000000002</v>
      </c>
      <c r="E4358" s="4">
        <v>42.075000000000003</v>
      </c>
      <c r="F4358" s="4">
        <f t="shared" si="275"/>
        <v>49.704599999999999</v>
      </c>
      <c r="G4358" s="5">
        <f t="shared" si="276"/>
        <v>0.54156479217603914</v>
      </c>
      <c r="H4358" s="2" t="s">
        <v>5</v>
      </c>
      <c r="I4358" s="6" t="s">
        <v>2300</v>
      </c>
      <c r="J4358" s="2" t="s">
        <v>5</v>
      </c>
      <c r="K4358" s="2" t="s">
        <v>5</v>
      </c>
      <c r="L4358" s="2" t="s">
        <v>5</v>
      </c>
      <c r="M4358" s="2" t="s">
        <v>5</v>
      </c>
      <c r="N4358" s="4">
        <v>0</v>
      </c>
    </row>
    <row r="4359" spans="1:14" x14ac:dyDescent="0.25">
      <c r="A4359" s="2" t="s">
        <v>118</v>
      </c>
      <c r="B4359" s="2" t="s">
        <v>119</v>
      </c>
      <c r="C4359" s="3">
        <v>24</v>
      </c>
      <c r="D4359" s="4">
        <v>375.84</v>
      </c>
      <c r="E4359" s="4">
        <v>180</v>
      </c>
      <c r="F4359" s="4">
        <f t="shared" si="275"/>
        <v>195.83999999999997</v>
      </c>
      <c r="G4359" s="5">
        <f t="shared" si="276"/>
        <v>0.52107279693486586</v>
      </c>
      <c r="H4359" s="2" t="s">
        <v>5</v>
      </c>
      <c r="I4359" s="6" t="s">
        <v>2300</v>
      </c>
      <c r="J4359" s="2" t="s">
        <v>5</v>
      </c>
      <c r="K4359" s="2" t="s">
        <v>5</v>
      </c>
      <c r="L4359" s="2" t="s">
        <v>5</v>
      </c>
      <c r="M4359" s="2" t="s">
        <v>5</v>
      </c>
      <c r="N4359" s="4">
        <v>0</v>
      </c>
    </row>
    <row r="4360" spans="1:14" x14ac:dyDescent="0.25">
      <c r="A4360" s="2" t="s">
        <v>118</v>
      </c>
      <c r="B4360" s="2" t="s">
        <v>119</v>
      </c>
      <c r="C4360" s="3">
        <v>5.5339999999999998</v>
      </c>
      <c r="D4360" s="4">
        <v>90.536240000000006</v>
      </c>
      <c r="E4360" s="4">
        <v>41.505000000000003</v>
      </c>
      <c r="F4360" s="4">
        <f t="shared" si="275"/>
        <v>49.031240000000004</v>
      </c>
      <c r="G4360" s="5">
        <f t="shared" si="276"/>
        <v>0.54156479217603914</v>
      </c>
      <c r="H4360" s="2" t="s">
        <v>5</v>
      </c>
      <c r="I4360" s="6" t="s">
        <v>2300</v>
      </c>
      <c r="J4360" s="2" t="s">
        <v>5</v>
      </c>
      <c r="K4360" s="2" t="s">
        <v>5</v>
      </c>
      <c r="L4360" s="2" t="s">
        <v>5</v>
      </c>
      <c r="M4360" s="2" t="s">
        <v>5</v>
      </c>
      <c r="N4360" s="4">
        <v>0</v>
      </c>
    </row>
    <row r="4361" spans="1:14" x14ac:dyDescent="0.25">
      <c r="A4361" s="2" t="s">
        <v>118</v>
      </c>
      <c r="B4361" s="2" t="s">
        <v>119</v>
      </c>
      <c r="C4361" s="3">
        <v>12</v>
      </c>
      <c r="D4361" s="4">
        <v>126</v>
      </c>
      <c r="E4361" s="4">
        <v>90</v>
      </c>
      <c r="F4361" s="4">
        <f t="shared" si="275"/>
        <v>36</v>
      </c>
      <c r="G4361" s="5">
        <f t="shared" si="276"/>
        <v>0.2857142857142857</v>
      </c>
      <c r="H4361" s="2" t="s">
        <v>5</v>
      </c>
      <c r="I4361" s="6" t="s">
        <v>2300</v>
      </c>
      <c r="J4361" s="2" t="s">
        <v>5</v>
      </c>
      <c r="K4361" s="2" t="s">
        <v>5</v>
      </c>
      <c r="L4361" s="2" t="s">
        <v>5</v>
      </c>
      <c r="M4361" s="2" t="s">
        <v>5</v>
      </c>
      <c r="N4361" s="4">
        <v>0</v>
      </c>
    </row>
    <row r="4362" spans="1:14" x14ac:dyDescent="0.25">
      <c r="A4362" s="2" t="s">
        <v>118</v>
      </c>
      <c r="B4362" s="2" t="s">
        <v>119</v>
      </c>
      <c r="C4362" s="3">
        <v>84</v>
      </c>
      <c r="D4362" s="4">
        <v>882</v>
      </c>
      <c r="E4362" s="4">
        <v>630</v>
      </c>
      <c r="F4362" s="4">
        <f t="shared" si="275"/>
        <v>252</v>
      </c>
      <c r="G4362" s="5">
        <f t="shared" si="276"/>
        <v>0.2857142857142857</v>
      </c>
      <c r="H4362" s="2" t="s">
        <v>5</v>
      </c>
      <c r="I4362" s="6" t="s">
        <v>2300</v>
      </c>
      <c r="J4362" s="2" t="s">
        <v>5</v>
      </c>
      <c r="K4362" s="2" t="s">
        <v>5</v>
      </c>
      <c r="L4362" s="2" t="s">
        <v>5</v>
      </c>
      <c r="M4362" s="2" t="s">
        <v>5</v>
      </c>
      <c r="N4362" s="4">
        <v>0</v>
      </c>
    </row>
    <row r="4363" spans="1:14" x14ac:dyDescent="0.25">
      <c r="A4363" s="2" t="s">
        <v>118</v>
      </c>
      <c r="B4363" s="2" t="s">
        <v>119</v>
      </c>
      <c r="C4363" s="3">
        <v>11.025</v>
      </c>
      <c r="D4363" s="4">
        <v>180.369</v>
      </c>
      <c r="E4363" s="4">
        <v>82.6875</v>
      </c>
      <c r="F4363" s="4">
        <f t="shared" si="275"/>
        <v>97.6815</v>
      </c>
      <c r="G4363" s="5">
        <f t="shared" si="276"/>
        <v>0.54156479217603914</v>
      </c>
      <c r="H4363" s="2" t="s">
        <v>5</v>
      </c>
      <c r="I4363" s="6" t="s">
        <v>2300</v>
      </c>
      <c r="J4363" s="2" t="s">
        <v>5</v>
      </c>
      <c r="K4363" s="2" t="s">
        <v>5</v>
      </c>
      <c r="L4363" s="2" t="s">
        <v>5</v>
      </c>
      <c r="M4363" s="2" t="s">
        <v>5</v>
      </c>
      <c r="N4363" s="4">
        <v>0</v>
      </c>
    </row>
    <row r="4364" spans="1:14" x14ac:dyDescent="0.25">
      <c r="A4364" s="2" t="s">
        <v>118</v>
      </c>
      <c r="B4364" s="2" t="s">
        <v>119</v>
      </c>
      <c r="C4364" s="3">
        <v>24</v>
      </c>
      <c r="D4364" s="4">
        <v>384.24</v>
      </c>
      <c r="E4364" s="4">
        <v>180</v>
      </c>
      <c r="F4364" s="4">
        <f t="shared" si="275"/>
        <v>204.24</v>
      </c>
      <c r="G4364" s="5">
        <f t="shared" si="276"/>
        <v>0.53154278575890068</v>
      </c>
      <c r="H4364" s="2" t="s">
        <v>5</v>
      </c>
      <c r="I4364" s="6" t="s">
        <v>2300</v>
      </c>
      <c r="J4364" s="2" t="s">
        <v>5</v>
      </c>
      <c r="K4364" s="2" t="s">
        <v>5</v>
      </c>
      <c r="L4364" s="2" t="s">
        <v>5</v>
      </c>
      <c r="M4364" s="2" t="s">
        <v>5</v>
      </c>
      <c r="N4364" s="4">
        <v>0</v>
      </c>
    </row>
    <row r="4365" spans="1:14" x14ac:dyDescent="0.25">
      <c r="A4365" s="2" t="s">
        <v>118</v>
      </c>
      <c r="B4365" s="2" t="s">
        <v>119</v>
      </c>
      <c r="C4365" s="3">
        <v>96</v>
      </c>
      <c r="D4365" s="4">
        <v>1008</v>
      </c>
      <c r="E4365" s="4">
        <v>720</v>
      </c>
      <c r="F4365" s="4">
        <f t="shared" si="275"/>
        <v>288</v>
      </c>
      <c r="G4365" s="5">
        <f t="shared" si="276"/>
        <v>0.2857142857142857</v>
      </c>
      <c r="H4365" s="2" t="s">
        <v>5</v>
      </c>
      <c r="I4365" s="6" t="s">
        <v>2300</v>
      </c>
      <c r="J4365" s="2" t="s">
        <v>5</v>
      </c>
      <c r="K4365" s="2" t="s">
        <v>5</v>
      </c>
      <c r="L4365" s="2" t="s">
        <v>5</v>
      </c>
      <c r="M4365" s="2" t="s">
        <v>5</v>
      </c>
      <c r="N4365" s="4">
        <v>0</v>
      </c>
    </row>
    <row r="4366" spans="1:14" x14ac:dyDescent="0.25">
      <c r="A4366" s="2" t="s">
        <v>118</v>
      </c>
      <c r="B4366" s="2" t="s">
        <v>119</v>
      </c>
      <c r="C4366" s="3">
        <v>12</v>
      </c>
      <c r="D4366" s="4">
        <v>192.12</v>
      </c>
      <c r="E4366" s="4">
        <v>90</v>
      </c>
      <c r="F4366" s="4">
        <f t="shared" si="275"/>
        <v>102.12</v>
      </c>
      <c r="G4366" s="5">
        <f t="shared" si="276"/>
        <v>0.53154278575890068</v>
      </c>
      <c r="H4366" s="2" t="s">
        <v>5</v>
      </c>
      <c r="I4366" s="6" t="s">
        <v>2300</v>
      </c>
      <c r="J4366" s="2" t="s">
        <v>5</v>
      </c>
      <c r="K4366" s="2" t="s">
        <v>5</v>
      </c>
      <c r="L4366" s="2" t="s">
        <v>5</v>
      </c>
      <c r="M4366" s="2" t="s">
        <v>5</v>
      </c>
      <c r="N4366" s="4">
        <v>0</v>
      </c>
    </row>
    <row r="4367" spans="1:14" x14ac:dyDescent="0.25">
      <c r="A4367" s="2" t="s">
        <v>118</v>
      </c>
      <c r="B4367" s="2" t="s">
        <v>119</v>
      </c>
      <c r="C4367" s="3">
        <v>24</v>
      </c>
      <c r="D4367" s="4">
        <v>252</v>
      </c>
      <c r="E4367" s="4">
        <v>180</v>
      </c>
      <c r="F4367" s="4">
        <f t="shared" si="275"/>
        <v>72</v>
      </c>
      <c r="G4367" s="5">
        <f t="shared" si="276"/>
        <v>0.2857142857142857</v>
      </c>
      <c r="H4367" s="2" t="s">
        <v>5</v>
      </c>
      <c r="I4367" s="6" t="s">
        <v>2300</v>
      </c>
      <c r="J4367" s="2" t="s">
        <v>5</v>
      </c>
      <c r="K4367" s="2" t="s">
        <v>5</v>
      </c>
      <c r="L4367" s="2" t="s">
        <v>5</v>
      </c>
      <c r="M4367" s="2" t="s">
        <v>5</v>
      </c>
      <c r="N4367" s="4">
        <v>0</v>
      </c>
    </row>
    <row r="4368" spans="1:14" x14ac:dyDescent="0.25">
      <c r="A4368" s="2" t="s">
        <v>118</v>
      </c>
      <c r="B4368" s="2" t="s">
        <v>119</v>
      </c>
      <c r="C4368" s="3">
        <v>5.62</v>
      </c>
      <c r="D4368" s="4">
        <v>91.943200000000004</v>
      </c>
      <c r="E4368" s="4">
        <v>42.15</v>
      </c>
      <c r="F4368" s="4">
        <f t="shared" si="275"/>
        <v>49.793200000000006</v>
      </c>
      <c r="G4368" s="5">
        <f t="shared" si="276"/>
        <v>0.54156479217603914</v>
      </c>
      <c r="H4368" s="2" t="s">
        <v>5</v>
      </c>
      <c r="I4368" s="6" t="s">
        <v>2300</v>
      </c>
      <c r="J4368" s="2" t="s">
        <v>5</v>
      </c>
      <c r="K4368" s="2" t="s">
        <v>5</v>
      </c>
      <c r="L4368" s="2" t="s">
        <v>5</v>
      </c>
      <c r="M4368" s="2" t="s">
        <v>5</v>
      </c>
      <c r="N4368" s="4">
        <v>0</v>
      </c>
    </row>
    <row r="4369" spans="1:14" x14ac:dyDescent="0.25">
      <c r="A4369" s="2" t="s">
        <v>118</v>
      </c>
      <c r="B4369" s="2" t="s">
        <v>119</v>
      </c>
      <c r="C4369" s="3">
        <v>60</v>
      </c>
      <c r="D4369" s="4">
        <v>910.8</v>
      </c>
      <c r="E4369" s="4">
        <v>450</v>
      </c>
      <c r="F4369" s="4">
        <f t="shared" si="275"/>
        <v>460.79999999999995</v>
      </c>
      <c r="G4369" s="5">
        <f t="shared" si="276"/>
        <v>0.50592885375494068</v>
      </c>
      <c r="H4369" s="2" t="s">
        <v>5</v>
      </c>
      <c r="I4369" s="6" t="s">
        <v>2300</v>
      </c>
      <c r="J4369" s="2" t="s">
        <v>5</v>
      </c>
      <c r="K4369" s="2" t="s">
        <v>5</v>
      </c>
      <c r="L4369" s="2" t="s">
        <v>5</v>
      </c>
      <c r="M4369" s="2" t="s">
        <v>5</v>
      </c>
      <c r="N4369" s="4">
        <v>0</v>
      </c>
    </row>
    <row r="4370" spans="1:14" x14ac:dyDescent="0.25">
      <c r="A4370" s="2" t="s">
        <v>118</v>
      </c>
      <c r="B4370" s="2" t="s">
        <v>119</v>
      </c>
      <c r="C4370" s="3">
        <v>30.24</v>
      </c>
      <c r="D4370" s="4">
        <v>494.72640000000001</v>
      </c>
      <c r="E4370" s="4">
        <v>226.8</v>
      </c>
      <c r="F4370" s="4">
        <f t="shared" si="275"/>
        <v>267.9264</v>
      </c>
      <c r="G4370" s="5">
        <f t="shared" si="276"/>
        <v>0.54156479217603914</v>
      </c>
      <c r="H4370" s="2" t="s">
        <v>5</v>
      </c>
      <c r="I4370" s="6" t="s">
        <v>2300</v>
      </c>
      <c r="J4370" s="2" t="s">
        <v>5</v>
      </c>
      <c r="K4370" s="2" t="s">
        <v>5</v>
      </c>
      <c r="L4370" s="2" t="s">
        <v>5</v>
      </c>
      <c r="M4370" s="2" t="s">
        <v>5</v>
      </c>
      <c r="N4370" s="4">
        <v>0</v>
      </c>
    </row>
    <row r="4371" spans="1:14" x14ac:dyDescent="0.25">
      <c r="A4371" s="2" t="s">
        <v>118</v>
      </c>
      <c r="B4371" s="2" t="s">
        <v>119</v>
      </c>
      <c r="C4371" s="3">
        <v>12</v>
      </c>
      <c r="D4371" s="4">
        <v>182.16</v>
      </c>
      <c r="E4371" s="4">
        <v>90</v>
      </c>
      <c r="F4371" s="4">
        <f t="shared" si="275"/>
        <v>92.16</v>
      </c>
      <c r="G4371" s="5">
        <f t="shared" si="276"/>
        <v>0.50592885375494068</v>
      </c>
      <c r="H4371" s="2" t="s">
        <v>5</v>
      </c>
      <c r="I4371" s="6" t="s">
        <v>2300</v>
      </c>
      <c r="J4371" s="2" t="s">
        <v>5</v>
      </c>
      <c r="K4371" s="2" t="s">
        <v>5</v>
      </c>
      <c r="L4371" s="2" t="s">
        <v>5</v>
      </c>
      <c r="M4371" s="2" t="s">
        <v>5</v>
      </c>
      <c r="N4371" s="4">
        <v>0</v>
      </c>
    </row>
    <row r="4372" spans="1:14" x14ac:dyDescent="0.25">
      <c r="A4372" s="2" t="s">
        <v>118</v>
      </c>
      <c r="B4372" s="2" t="s">
        <v>119</v>
      </c>
      <c r="C4372" s="3">
        <v>60</v>
      </c>
      <c r="D4372" s="4">
        <v>630</v>
      </c>
      <c r="E4372" s="4">
        <v>450</v>
      </c>
      <c r="F4372" s="4">
        <f t="shared" si="275"/>
        <v>180</v>
      </c>
      <c r="G4372" s="5">
        <f t="shared" si="276"/>
        <v>0.2857142857142857</v>
      </c>
      <c r="H4372" s="2" t="s">
        <v>5</v>
      </c>
      <c r="I4372" s="6" t="s">
        <v>2300</v>
      </c>
      <c r="J4372" s="2" t="s">
        <v>5</v>
      </c>
      <c r="K4372" s="2" t="s">
        <v>5</v>
      </c>
      <c r="L4372" s="2" t="s">
        <v>5</v>
      </c>
      <c r="M4372" s="2" t="s">
        <v>5</v>
      </c>
      <c r="N4372" s="4">
        <v>0</v>
      </c>
    </row>
    <row r="4373" spans="1:14" x14ac:dyDescent="0.25">
      <c r="A4373" s="2" t="s">
        <v>118</v>
      </c>
      <c r="B4373" s="2" t="s">
        <v>119</v>
      </c>
      <c r="C4373" s="3">
        <v>5.6</v>
      </c>
      <c r="D4373" s="4">
        <v>91.616</v>
      </c>
      <c r="E4373" s="4">
        <v>42</v>
      </c>
      <c r="F4373" s="4">
        <f t="shared" si="275"/>
        <v>49.616</v>
      </c>
      <c r="G4373" s="5">
        <f t="shared" si="276"/>
        <v>0.54156479217603914</v>
      </c>
      <c r="H4373" s="2" t="s">
        <v>5</v>
      </c>
      <c r="I4373" s="6" t="s">
        <v>2300</v>
      </c>
      <c r="J4373" s="2" t="s">
        <v>5</v>
      </c>
      <c r="K4373" s="2" t="s">
        <v>5</v>
      </c>
      <c r="L4373" s="2" t="s">
        <v>5</v>
      </c>
      <c r="M4373" s="2" t="s">
        <v>5</v>
      </c>
      <c r="N4373" s="4">
        <v>0</v>
      </c>
    </row>
    <row r="4374" spans="1:14" x14ac:dyDescent="0.25">
      <c r="A4374" s="2" t="s">
        <v>118</v>
      </c>
      <c r="B4374" s="2" t="s">
        <v>119</v>
      </c>
      <c r="C4374" s="3">
        <v>5.6</v>
      </c>
      <c r="D4374" s="4">
        <v>91.616</v>
      </c>
      <c r="E4374" s="4">
        <v>42</v>
      </c>
      <c r="F4374" s="4">
        <f t="shared" si="275"/>
        <v>49.616</v>
      </c>
      <c r="G4374" s="5">
        <f t="shared" si="276"/>
        <v>0.54156479217603914</v>
      </c>
      <c r="H4374" s="2" t="s">
        <v>5</v>
      </c>
      <c r="I4374" s="6" t="s">
        <v>2300</v>
      </c>
      <c r="J4374" s="2" t="s">
        <v>5</v>
      </c>
      <c r="K4374" s="2" t="s">
        <v>5</v>
      </c>
      <c r="L4374" s="2" t="s">
        <v>5</v>
      </c>
      <c r="M4374" s="2" t="s">
        <v>5</v>
      </c>
      <c r="N4374" s="4">
        <v>0</v>
      </c>
    </row>
    <row r="4375" spans="1:14" x14ac:dyDescent="0.25">
      <c r="A4375" s="2" t="s">
        <v>118</v>
      </c>
      <c r="B4375" s="2" t="s">
        <v>119</v>
      </c>
      <c r="C4375" s="3">
        <v>48</v>
      </c>
      <c r="D4375" s="4">
        <v>504</v>
      </c>
      <c r="E4375" s="4">
        <v>360</v>
      </c>
      <c r="F4375" s="4">
        <f t="shared" si="275"/>
        <v>144</v>
      </c>
      <c r="G4375" s="5">
        <f t="shared" si="276"/>
        <v>0.2857142857142857</v>
      </c>
      <c r="H4375" s="2" t="s">
        <v>5</v>
      </c>
      <c r="I4375" s="6" t="s">
        <v>2300</v>
      </c>
      <c r="J4375" s="2" t="s">
        <v>5</v>
      </c>
      <c r="K4375" s="2" t="s">
        <v>5</v>
      </c>
      <c r="L4375" s="2" t="s">
        <v>5</v>
      </c>
      <c r="M4375" s="2" t="s">
        <v>5</v>
      </c>
      <c r="N4375" s="4">
        <v>0</v>
      </c>
    </row>
    <row r="4376" spans="1:14" x14ac:dyDescent="0.25">
      <c r="A4376" s="2" t="s">
        <v>118</v>
      </c>
      <c r="B4376" s="2" t="s">
        <v>119</v>
      </c>
      <c r="C4376" s="3">
        <v>120.485</v>
      </c>
      <c r="D4376" s="4">
        <v>1263.8876499999999</v>
      </c>
      <c r="E4376" s="4">
        <v>903.63750000000005</v>
      </c>
      <c r="F4376" s="4">
        <f t="shared" si="275"/>
        <v>360.25014999999985</v>
      </c>
      <c r="G4376" s="5">
        <f t="shared" si="276"/>
        <v>0.28503336510962812</v>
      </c>
      <c r="H4376" s="2" t="s">
        <v>5</v>
      </c>
      <c r="I4376" s="6" t="s">
        <v>2300</v>
      </c>
      <c r="J4376" s="2" t="s">
        <v>5</v>
      </c>
      <c r="K4376" s="2" t="s">
        <v>5</v>
      </c>
      <c r="L4376" s="2" t="s">
        <v>5</v>
      </c>
      <c r="M4376" s="2" t="s">
        <v>5</v>
      </c>
      <c r="N4376" s="4">
        <v>0</v>
      </c>
    </row>
    <row r="4377" spans="1:14" x14ac:dyDescent="0.25">
      <c r="A4377" s="2" t="s">
        <v>118</v>
      </c>
      <c r="B4377" s="2" t="s">
        <v>119</v>
      </c>
      <c r="C4377" s="3">
        <v>7.43</v>
      </c>
      <c r="D4377" s="4">
        <v>121.5548</v>
      </c>
      <c r="E4377" s="4">
        <v>55.725000000000001</v>
      </c>
      <c r="F4377" s="4">
        <f t="shared" si="275"/>
        <v>65.829800000000006</v>
      </c>
      <c r="G4377" s="5">
        <f t="shared" si="276"/>
        <v>0.54156479217603914</v>
      </c>
      <c r="H4377" s="2" t="s">
        <v>5</v>
      </c>
      <c r="I4377" s="6" t="s">
        <v>2300</v>
      </c>
      <c r="J4377" s="2" t="s">
        <v>5</v>
      </c>
      <c r="K4377" s="2" t="s">
        <v>5</v>
      </c>
      <c r="L4377" s="2" t="s">
        <v>5</v>
      </c>
      <c r="M4377" s="2" t="s">
        <v>5</v>
      </c>
      <c r="N4377" s="4">
        <v>0</v>
      </c>
    </row>
    <row r="4378" spans="1:14" x14ac:dyDescent="0.25">
      <c r="A4378" s="2" t="s">
        <v>118</v>
      </c>
      <c r="B4378" s="2" t="s">
        <v>119</v>
      </c>
      <c r="C4378" s="3">
        <v>24</v>
      </c>
      <c r="D4378" s="4">
        <v>390.72</v>
      </c>
      <c r="E4378" s="4">
        <v>180</v>
      </c>
      <c r="F4378" s="4">
        <f t="shared" si="275"/>
        <v>210.72000000000003</v>
      </c>
      <c r="G4378" s="5">
        <f t="shared" si="276"/>
        <v>0.5393120393120393</v>
      </c>
      <c r="H4378" s="2" t="s">
        <v>5</v>
      </c>
      <c r="I4378" s="6" t="s">
        <v>2300</v>
      </c>
      <c r="J4378" s="2" t="s">
        <v>5</v>
      </c>
      <c r="K4378" s="2" t="s">
        <v>5</v>
      </c>
      <c r="L4378" s="2" t="s">
        <v>5</v>
      </c>
      <c r="M4378" s="2" t="s">
        <v>5</v>
      </c>
      <c r="N4378" s="4">
        <v>0</v>
      </c>
    </row>
    <row r="4379" spans="1:14" x14ac:dyDescent="0.25">
      <c r="A4379" s="2" t="s">
        <v>118</v>
      </c>
      <c r="B4379" s="2" t="s">
        <v>119</v>
      </c>
      <c r="C4379" s="3">
        <v>36</v>
      </c>
      <c r="D4379" s="4">
        <v>578.88</v>
      </c>
      <c r="E4379" s="4">
        <v>270</v>
      </c>
      <c r="F4379" s="4">
        <f t="shared" si="275"/>
        <v>308.88</v>
      </c>
      <c r="G4379" s="5">
        <f t="shared" si="276"/>
        <v>0.53358208955223885</v>
      </c>
      <c r="H4379" s="2" t="s">
        <v>5</v>
      </c>
      <c r="I4379" s="6" t="s">
        <v>2300</v>
      </c>
      <c r="J4379" s="2" t="s">
        <v>5</v>
      </c>
      <c r="K4379" s="2" t="s">
        <v>5</v>
      </c>
      <c r="L4379" s="2" t="s">
        <v>5</v>
      </c>
      <c r="M4379" s="2" t="s">
        <v>5</v>
      </c>
      <c r="N4379" s="4">
        <v>0</v>
      </c>
    </row>
    <row r="4380" spans="1:14" x14ac:dyDescent="0.25">
      <c r="A4380" s="2" t="s">
        <v>118</v>
      </c>
      <c r="B4380" s="2" t="s">
        <v>119</v>
      </c>
      <c r="C4380" s="3">
        <v>36</v>
      </c>
      <c r="D4380" s="4">
        <v>507.96</v>
      </c>
      <c r="E4380" s="4">
        <v>270</v>
      </c>
      <c r="F4380" s="4">
        <f t="shared" si="275"/>
        <v>237.95999999999998</v>
      </c>
      <c r="G4380" s="5">
        <f t="shared" si="276"/>
        <v>0.46846208362863218</v>
      </c>
      <c r="H4380" s="2" t="s">
        <v>5</v>
      </c>
      <c r="I4380" s="6" t="s">
        <v>2300</v>
      </c>
      <c r="J4380" s="2" t="s">
        <v>5</v>
      </c>
      <c r="K4380" s="2" t="s">
        <v>5</v>
      </c>
      <c r="L4380" s="2" t="s">
        <v>5</v>
      </c>
      <c r="M4380" s="2" t="s">
        <v>5</v>
      </c>
      <c r="N4380" s="4">
        <v>0</v>
      </c>
    </row>
    <row r="4381" spans="1:14" x14ac:dyDescent="0.25">
      <c r="A4381" s="2" t="s">
        <v>118</v>
      </c>
      <c r="B4381" s="2" t="s">
        <v>119</v>
      </c>
      <c r="C4381" s="3">
        <v>48</v>
      </c>
      <c r="D4381" s="4">
        <v>504</v>
      </c>
      <c r="E4381" s="4">
        <v>360</v>
      </c>
      <c r="F4381" s="4">
        <f t="shared" si="275"/>
        <v>144</v>
      </c>
      <c r="G4381" s="5">
        <f t="shared" si="276"/>
        <v>0.2857142857142857</v>
      </c>
      <c r="H4381" s="2" t="s">
        <v>5</v>
      </c>
      <c r="I4381" s="6" t="s">
        <v>2300</v>
      </c>
      <c r="J4381" s="2" t="s">
        <v>5</v>
      </c>
      <c r="K4381" s="2" t="s">
        <v>5</v>
      </c>
      <c r="L4381" s="2" t="s">
        <v>5</v>
      </c>
      <c r="M4381" s="2" t="s">
        <v>5</v>
      </c>
      <c r="N4381" s="4">
        <v>0</v>
      </c>
    </row>
    <row r="4382" spans="1:14" x14ac:dyDescent="0.25">
      <c r="A4382" s="2" t="s">
        <v>118</v>
      </c>
      <c r="B4382" s="2" t="s">
        <v>119</v>
      </c>
      <c r="C4382" s="3">
        <v>12</v>
      </c>
      <c r="D4382" s="4">
        <v>182.16</v>
      </c>
      <c r="E4382" s="4">
        <v>90</v>
      </c>
      <c r="F4382" s="4">
        <f t="shared" si="275"/>
        <v>92.16</v>
      </c>
      <c r="G4382" s="5">
        <f t="shared" si="276"/>
        <v>0.50592885375494068</v>
      </c>
      <c r="H4382" s="2" t="s">
        <v>5</v>
      </c>
      <c r="I4382" s="6" t="s">
        <v>2300</v>
      </c>
      <c r="J4382" s="2" t="s">
        <v>5</v>
      </c>
      <c r="K4382" s="2" t="s">
        <v>5</v>
      </c>
      <c r="L4382" s="2" t="s">
        <v>5</v>
      </c>
      <c r="M4382" s="2" t="s">
        <v>5</v>
      </c>
      <c r="N4382" s="4">
        <v>0</v>
      </c>
    </row>
    <row r="4383" spans="1:14" x14ac:dyDescent="0.25">
      <c r="A4383" s="2" t="s">
        <v>118</v>
      </c>
      <c r="B4383" s="2" t="s">
        <v>119</v>
      </c>
      <c r="C4383" s="3">
        <v>36</v>
      </c>
      <c r="D4383" s="4">
        <v>578.88</v>
      </c>
      <c r="E4383" s="4">
        <v>270</v>
      </c>
      <c r="F4383" s="4">
        <f t="shared" si="275"/>
        <v>308.88</v>
      </c>
      <c r="G4383" s="5">
        <f t="shared" si="276"/>
        <v>0.53358208955223885</v>
      </c>
      <c r="H4383" s="2" t="s">
        <v>5</v>
      </c>
      <c r="I4383" s="6" t="s">
        <v>2300</v>
      </c>
      <c r="J4383" s="2" t="s">
        <v>5</v>
      </c>
      <c r="K4383" s="2" t="s">
        <v>5</v>
      </c>
      <c r="L4383" s="2" t="s">
        <v>5</v>
      </c>
      <c r="M4383" s="2" t="s">
        <v>5</v>
      </c>
      <c r="N4383" s="4">
        <v>0</v>
      </c>
    </row>
    <row r="4384" spans="1:14" x14ac:dyDescent="0.25">
      <c r="A4384" s="2" t="s">
        <v>118</v>
      </c>
      <c r="B4384" s="2" t="s">
        <v>119</v>
      </c>
      <c r="C4384" s="3">
        <v>12</v>
      </c>
      <c r="D4384" s="4">
        <v>126</v>
      </c>
      <c r="E4384" s="4">
        <v>90</v>
      </c>
      <c r="F4384" s="4">
        <f t="shared" si="275"/>
        <v>36</v>
      </c>
      <c r="G4384" s="5">
        <f t="shared" si="276"/>
        <v>0.2857142857142857</v>
      </c>
      <c r="H4384" s="2" t="s">
        <v>5</v>
      </c>
      <c r="I4384" s="6" t="s">
        <v>2300</v>
      </c>
      <c r="J4384" s="2" t="s">
        <v>5</v>
      </c>
      <c r="K4384" s="2" t="s">
        <v>5</v>
      </c>
      <c r="L4384" s="2" t="s">
        <v>5</v>
      </c>
      <c r="M4384" s="2" t="s">
        <v>5</v>
      </c>
      <c r="N4384" s="4">
        <v>0</v>
      </c>
    </row>
    <row r="4385" spans="1:14" x14ac:dyDescent="0.25">
      <c r="A4385" s="2" t="s">
        <v>118</v>
      </c>
      <c r="B4385" s="2" t="s">
        <v>119</v>
      </c>
      <c r="C4385" s="3">
        <v>14.88</v>
      </c>
      <c r="D4385" s="4">
        <v>243.43680000000001</v>
      </c>
      <c r="E4385" s="4">
        <v>111.6</v>
      </c>
      <c r="F4385" s="4">
        <f t="shared" ref="F4385:F4448" si="277">D4385-E4385</f>
        <v>131.83680000000001</v>
      </c>
      <c r="G4385" s="5">
        <f t="shared" ref="G4385:G4448" si="278">IF(((D4385)=0),0,(D4385-E4385)/ D4385)</f>
        <v>0.54156479217603914</v>
      </c>
      <c r="H4385" s="2" t="s">
        <v>5</v>
      </c>
      <c r="I4385" s="6" t="s">
        <v>2300</v>
      </c>
      <c r="J4385" s="2" t="s">
        <v>5</v>
      </c>
      <c r="K4385" s="2" t="s">
        <v>5</v>
      </c>
      <c r="L4385" s="2" t="s">
        <v>5</v>
      </c>
      <c r="M4385" s="2" t="s">
        <v>5</v>
      </c>
      <c r="N4385" s="4">
        <v>0</v>
      </c>
    </row>
    <row r="4386" spans="1:14" x14ac:dyDescent="0.25">
      <c r="A4386" s="2" t="s">
        <v>1923</v>
      </c>
      <c r="B4386" s="2" t="s">
        <v>1924</v>
      </c>
      <c r="C4386" s="3">
        <v>32.67</v>
      </c>
      <c r="D4386" s="4">
        <v>318.53250000000003</v>
      </c>
      <c r="E4386" s="4">
        <v>196.02</v>
      </c>
      <c r="F4386" s="4">
        <f t="shared" si="277"/>
        <v>122.51250000000002</v>
      </c>
      <c r="G4386" s="5">
        <f t="shared" si="278"/>
        <v>0.38461538461538464</v>
      </c>
      <c r="H4386" s="2" t="s">
        <v>5</v>
      </c>
      <c r="I4386" s="6" t="s">
        <v>2300</v>
      </c>
      <c r="J4386" s="2" t="s">
        <v>5</v>
      </c>
      <c r="K4386" s="2" t="s">
        <v>5</v>
      </c>
      <c r="L4386" s="2" t="s">
        <v>5</v>
      </c>
      <c r="M4386" s="2" t="s">
        <v>5</v>
      </c>
      <c r="N4386" s="4">
        <v>0</v>
      </c>
    </row>
    <row r="4387" spans="1:14" x14ac:dyDescent="0.25">
      <c r="A4387" s="2" t="s">
        <v>1877</v>
      </c>
      <c r="B4387" s="2" t="s">
        <v>1878</v>
      </c>
      <c r="C4387" s="3">
        <v>20.34</v>
      </c>
      <c r="D4387" s="4">
        <v>754.41060000000004</v>
      </c>
      <c r="E4387" s="4">
        <v>355.95</v>
      </c>
      <c r="F4387" s="4">
        <f t="shared" si="277"/>
        <v>398.46060000000006</v>
      </c>
      <c r="G4387" s="5">
        <f t="shared" si="278"/>
        <v>0.52817471016446482</v>
      </c>
      <c r="H4387" s="2" t="s">
        <v>5</v>
      </c>
      <c r="I4387" s="6" t="s">
        <v>2300</v>
      </c>
      <c r="J4387" s="2" t="s">
        <v>5</v>
      </c>
      <c r="K4387" s="2" t="s">
        <v>5</v>
      </c>
      <c r="L4387" s="2" t="s">
        <v>5</v>
      </c>
      <c r="M4387" s="2" t="s">
        <v>5</v>
      </c>
      <c r="N4387" s="4">
        <v>0</v>
      </c>
    </row>
    <row r="4388" spans="1:14" x14ac:dyDescent="0.25">
      <c r="A4388" s="2" t="s">
        <v>1822</v>
      </c>
      <c r="B4388" s="2" t="s">
        <v>1823</v>
      </c>
      <c r="C4388" s="3">
        <v>29.45</v>
      </c>
      <c r="D4388" s="4">
        <v>609.61500000000001</v>
      </c>
      <c r="E4388" s="4">
        <v>347.51</v>
      </c>
      <c r="F4388" s="4">
        <f t="shared" si="277"/>
        <v>262.10500000000002</v>
      </c>
      <c r="G4388" s="5">
        <f t="shared" si="278"/>
        <v>0.42995169082125606</v>
      </c>
      <c r="H4388" s="2" t="s">
        <v>5</v>
      </c>
      <c r="I4388" s="6" t="s">
        <v>2300</v>
      </c>
      <c r="J4388" s="2" t="s">
        <v>5</v>
      </c>
      <c r="K4388" s="2" t="s">
        <v>5</v>
      </c>
      <c r="L4388" s="2" t="s">
        <v>5</v>
      </c>
      <c r="M4388" s="2" t="s">
        <v>5</v>
      </c>
      <c r="N4388" s="4">
        <v>0</v>
      </c>
    </row>
    <row r="4389" spans="1:14" x14ac:dyDescent="0.25">
      <c r="A4389" s="2" t="s">
        <v>1798</v>
      </c>
      <c r="B4389" s="2" t="s">
        <v>1799</v>
      </c>
      <c r="C4389" s="3">
        <v>21.22</v>
      </c>
      <c r="D4389" s="4">
        <v>470.65960000000001</v>
      </c>
      <c r="E4389" s="4">
        <v>250.39599999999999</v>
      </c>
      <c r="F4389" s="4">
        <f t="shared" si="277"/>
        <v>220.26360000000003</v>
      </c>
      <c r="G4389" s="5">
        <f t="shared" si="278"/>
        <v>0.46798917944093782</v>
      </c>
      <c r="H4389" s="2" t="s">
        <v>5</v>
      </c>
      <c r="I4389" s="6" t="s">
        <v>2300</v>
      </c>
      <c r="J4389" s="2" t="s">
        <v>5</v>
      </c>
      <c r="K4389" s="2" t="s">
        <v>5</v>
      </c>
      <c r="L4389" s="2" t="s">
        <v>5</v>
      </c>
      <c r="M4389" s="2" t="s">
        <v>5</v>
      </c>
      <c r="N4389" s="4">
        <v>0</v>
      </c>
    </row>
    <row r="4390" spans="1:14" x14ac:dyDescent="0.25">
      <c r="A4390" s="2" t="s">
        <v>1798</v>
      </c>
      <c r="B4390" s="2" t="s">
        <v>1799</v>
      </c>
      <c r="C4390" s="3">
        <v>8.23</v>
      </c>
      <c r="D4390" s="4">
        <v>182.54140000000001</v>
      </c>
      <c r="E4390" s="4">
        <v>97.114000000000004</v>
      </c>
      <c r="F4390" s="4">
        <f t="shared" si="277"/>
        <v>85.427400000000006</v>
      </c>
      <c r="G4390" s="5">
        <f t="shared" si="278"/>
        <v>0.46798917944093776</v>
      </c>
      <c r="H4390" s="2" t="s">
        <v>5</v>
      </c>
      <c r="I4390" s="6" t="s">
        <v>2300</v>
      </c>
      <c r="J4390" s="2" t="s">
        <v>5</v>
      </c>
      <c r="K4390" s="2" t="s">
        <v>5</v>
      </c>
      <c r="L4390" s="2" t="s">
        <v>5</v>
      </c>
      <c r="M4390" s="2" t="s">
        <v>5</v>
      </c>
      <c r="N4390" s="4">
        <v>0</v>
      </c>
    </row>
    <row r="4391" spans="1:14" x14ac:dyDescent="0.25">
      <c r="A4391" s="2" t="s">
        <v>1798</v>
      </c>
      <c r="B4391" s="2" t="s">
        <v>1799</v>
      </c>
      <c r="C4391" s="3">
        <v>4.9800000000000004</v>
      </c>
      <c r="D4391" s="4">
        <v>110.4564</v>
      </c>
      <c r="E4391" s="4">
        <v>58.764000000000003</v>
      </c>
      <c r="F4391" s="4">
        <f t="shared" si="277"/>
        <v>51.692399999999999</v>
      </c>
      <c r="G4391" s="5">
        <f t="shared" si="278"/>
        <v>0.46798917944093776</v>
      </c>
      <c r="H4391" s="2" t="s">
        <v>5</v>
      </c>
      <c r="I4391" s="6" t="s">
        <v>2300</v>
      </c>
      <c r="J4391" s="2" t="s">
        <v>5</v>
      </c>
      <c r="K4391" s="2" t="s">
        <v>5</v>
      </c>
      <c r="L4391" s="2" t="s">
        <v>5</v>
      </c>
      <c r="M4391" s="2" t="s">
        <v>5</v>
      </c>
      <c r="N4391" s="4">
        <v>0</v>
      </c>
    </row>
    <row r="4392" spans="1:14" x14ac:dyDescent="0.25">
      <c r="A4392" s="2" t="s">
        <v>1798</v>
      </c>
      <c r="B4392" s="2" t="s">
        <v>1799</v>
      </c>
      <c r="C4392" s="3">
        <v>40.86</v>
      </c>
      <c r="D4392" s="4">
        <v>906.27480000000003</v>
      </c>
      <c r="E4392" s="4">
        <v>482.14800000000002</v>
      </c>
      <c r="F4392" s="4">
        <f t="shared" si="277"/>
        <v>424.1268</v>
      </c>
      <c r="G4392" s="5">
        <f t="shared" si="278"/>
        <v>0.46798917944093776</v>
      </c>
      <c r="H4392" s="2" t="s">
        <v>5</v>
      </c>
      <c r="I4392" s="6" t="s">
        <v>2300</v>
      </c>
      <c r="J4392" s="2" t="s">
        <v>5</v>
      </c>
      <c r="K4392" s="2" t="s">
        <v>5</v>
      </c>
      <c r="L4392" s="2" t="s">
        <v>5</v>
      </c>
      <c r="M4392" s="2" t="s">
        <v>5</v>
      </c>
      <c r="N4392" s="4">
        <v>0</v>
      </c>
    </row>
    <row r="4393" spans="1:14" x14ac:dyDescent="0.25">
      <c r="A4393" s="2" t="s">
        <v>1798</v>
      </c>
      <c r="B4393" s="2" t="s">
        <v>1799</v>
      </c>
      <c r="C4393" s="3">
        <v>40.54</v>
      </c>
      <c r="D4393" s="4">
        <v>899.17719999999997</v>
      </c>
      <c r="E4393" s="4">
        <v>478.37200000000001</v>
      </c>
      <c r="F4393" s="4">
        <f t="shared" si="277"/>
        <v>420.80519999999996</v>
      </c>
      <c r="G4393" s="5">
        <f t="shared" si="278"/>
        <v>0.46798917944093776</v>
      </c>
      <c r="H4393" s="2" t="s">
        <v>5</v>
      </c>
      <c r="I4393" s="6" t="s">
        <v>2300</v>
      </c>
      <c r="J4393" s="2" t="s">
        <v>5</v>
      </c>
      <c r="K4393" s="2" t="s">
        <v>5</v>
      </c>
      <c r="L4393" s="2" t="s">
        <v>5</v>
      </c>
      <c r="M4393" s="2" t="s">
        <v>5</v>
      </c>
      <c r="N4393" s="4">
        <v>0</v>
      </c>
    </row>
    <row r="4394" spans="1:14" x14ac:dyDescent="0.25">
      <c r="A4394" s="2" t="s">
        <v>1798</v>
      </c>
      <c r="B4394" s="2" t="s">
        <v>1799</v>
      </c>
      <c r="C4394" s="3">
        <v>25.524999999999999</v>
      </c>
      <c r="D4394" s="4">
        <v>566.14449999999999</v>
      </c>
      <c r="E4394" s="4">
        <v>301.19499999999999</v>
      </c>
      <c r="F4394" s="4">
        <f t="shared" si="277"/>
        <v>264.9495</v>
      </c>
      <c r="G4394" s="5">
        <f t="shared" si="278"/>
        <v>0.46798917944093776</v>
      </c>
      <c r="H4394" s="2" t="s">
        <v>5</v>
      </c>
      <c r="I4394" s="6" t="s">
        <v>2300</v>
      </c>
      <c r="J4394" s="2" t="s">
        <v>5</v>
      </c>
      <c r="K4394" s="2" t="s">
        <v>5</v>
      </c>
      <c r="L4394" s="2" t="s">
        <v>5</v>
      </c>
      <c r="M4394" s="2" t="s">
        <v>5</v>
      </c>
      <c r="N4394" s="4">
        <v>0</v>
      </c>
    </row>
    <row r="4395" spans="1:14" x14ac:dyDescent="0.25">
      <c r="A4395" s="2" t="s">
        <v>1948</v>
      </c>
      <c r="B4395" s="2" t="s">
        <v>1799</v>
      </c>
      <c r="C4395" s="3">
        <v>22.914999999999999</v>
      </c>
      <c r="D4395" s="4">
        <v>508.25470000000001</v>
      </c>
      <c r="E4395" s="4">
        <v>270.39699999999999</v>
      </c>
      <c r="F4395" s="4">
        <f t="shared" si="277"/>
        <v>237.85770000000002</v>
      </c>
      <c r="G4395" s="5">
        <f t="shared" si="278"/>
        <v>0.46798917944093782</v>
      </c>
      <c r="H4395" s="2" t="s">
        <v>5</v>
      </c>
      <c r="I4395" s="6" t="s">
        <v>2300</v>
      </c>
      <c r="J4395" s="2" t="s">
        <v>5</v>
      </c>
      <c r="K4395" s="2" t="s">
        <v>5</v>
      </c>
      <c r="L4395" s="2" t="s">
        <v>5</v>
      </c>
      <c r="M4395" s="2" t="s">
        <v>5</v>
      </c>
      <c r="N4395" s="4">
        <v>0</v>
      </c>
    </row>
    <row r="4396" spans="1:14" x14ac:dyDescent="0.25">
      <c r="A4396" s="2" t="s">
        <v>1948</v>
      </c>
      <c r="B4396" s="2" t="s">
        <v>1799</v>
      </c>
      <c r="C4396" s="3">
        <v>4.9349999999999996</v>
      </c>
      <c r="D4396" s="4">
        <v>109.45829999999999</v>
      </c>
      <c r="E4396" s="4">
        <v>58.232999999999997</v>
      </c>
      <c r="F4396" s="4">
        <f t="shared" si="277"/>
        <v>51.225299999999997</v>
      </c>
      <c r="G4396" s="5">
        <f t="shared" si="278"/>
        <v>0.46798917944093776</v>
      </c>
      <c r="H4396" s="2" t="s">
        <v>5</v>
      </c>
      <c r="I4396" s="6" t="s">
        <v>2300</v>
      </c>
      <c r="J4396" s="2" t="s">
        <v>5</v>
      </c>
      <c r="K4396" s="2" t="s">
        <v>5</v>
      </c>
      <c r="L4396" s="2" t="s">
        <v>5</v>
      </c>
      <c r="M4396" s="2" t="s">
        <v>5</v>
      </c>
      <c r="N4396" s="4">
        <v>0</v>
      </c>
    </row>
    <row r="4397" spans="1:14" x14ac:dyDescent="0.25">
      <c r="A4397" s="2" t="s">
        <v>1948</v>
      </c>
      <c r="B4397" s="2" t="s">
        <v>1799</v>
      </c>
      <c r="C4397" s="3">
        <v>20.100000000000001</v>
      </c>
      <c r="D4397" s="4">
        <v>445.81799999999998</v>
      </c>
      <c r="E4397" s="4">
        <v>237.18</v>
      </c>
      <c r="F4397" s="4">
        <f t="shared" si="277"/>
        <v>208.63799999999998</v>
      </c>
      <c r="G4397" s="5">
        <f t="shared" si="278"/>
        <v>0.46798917944093776</v>
      </c>
      <c r="H4397" s="2" t="s">
        <v>5</v>
      </c>
      <c r="I4397" s="6" t="s">
        <v>2300</v>
      </c>
      <c r="J4397" s="2" t="s">
        <v>5</v>
      </c>
      <c r="K4397" s="2" t="s">
        <v>5</v>
      </c>
      <c r="L4397" s="2" t="s">
        <v>5</v>
      </c>
      <c r="M4397" s="2" t="s">
        <v>5</v>
      </c>
      <c r="N4397" s="4">
        <v>0</v>
      </c>
    </row>
    <row r="4398" spans="1:14" x14ac:dyDescent="0.25">
      <c r="A4398" s="2" t="s">
        <v>1803</v>
      </c>
      <c r="B4398" s="2" t="s">
        <v>1804</v>
      </c>
      <c r="C4398" s="3">
        <v>30.16</v>
      </c>
      <c r="D4398" s="4">
        <v>579.37360000000001</v>
      </c>
      <c r="E4398" s="4">
        <v>367.952</v>
      </c>
      <c r="F4398" s="4">
        <f t="shared" si="277"/>
        <v>211.42160000000001</v>
      </c>
      <c r="G4398" s="5">
        <f t="shared" si="278"/>
        <v>0.36491410723581469</v>
      </c>
      <c r="H4398" s="2" t="s">
        <v>5</v>
      </c>
      <c r="I4398" s="6" t="s">
        <v>2300</v>
      </c>
      <c r="J4398" s="2" t="s">
        <v>5</v>
      </c>
      <c r="K4398" s="2" t="s">
        <v>5</v>
      </c>
      <c r="L4398" s="2" t="s">
        <v>5</v>
      </c>
      <c r="M4398" s="2" t="s">
        <v>5</v>
      </c>
      <c r="N4398" s="4">
        <v>0</v>
      </c>
    </row>
    <row r="4399" spans="1:14" x14ac:dyDescent="0.25">
      <c r="A4399" s="2" t="s">
        <v>1803</v>
      </c>
      <c r="B4399" s="2" t="s">
        <v>1804</v>
      </c>
      <c r="C4399" s="3">
        <v>15.31</v>
      </c>
      <c r="D4399" s="4">
        <v>294.10509999999999</v>
      </c>
      <c r="E4399" s="4">
        <v>186.78200000000001</v>
      </c>
      <c r="F4399" s="4">
        <f t="shared" si="277"/>
        <v>107.32309999999998</v>
      </c>
      <c r="G4399" s="5">
        <f t="shared" si="278"/>
        <v>0.36491410723581463</v>
      </c>
      <c r="H4399" s="2" t="s">
        <v>5</v>
      </c>
      <c r="I4399" s="6" t="s">
        <v>2300</v>
      </c>
      <c r="J4399" s="2" t="s">
        <v>5</v>
      </c>
      <c r="K4399" s="2" t="s">
        <v>5</v>
      </c>
      <c r="L4399" s="2" t="s">
        <v>5</v>
      </c>
      <c r="M4399" s="2" t="s">
        <v>5</v>
      </c>
      <c r="N4399" s="4">
        <v>0</v>
      </c>
    </row>
    <row r="4400" spans="1:14" x14ac:dyDescent="0.25">
      <c r="A4400" s="2" t="s">
        <v>1803</v>
      </c>
      <c r="B4400" s="2" t="s">
        <v>1804</v>
      </c>
      <c r="C4400" s="3">
        <v>45.49</v>
      </c>
      <c r="D4400" s="4">
        <v>873.86289999999997</v>
      </c>
      <c r="E4400" s="4">
        <v>554.97799999999995</v>
      </c>
      <c r="F4400" s="4">
        <f t="shared" si="277"/>
        <v>318.88490000000002</v>
      </c>
      <c r="G4400" s="5">
        <f t="shared" si="278"/>
        <v>0.36491410723581469</v>
      </c>
      <c r="H4400" s="2" t="s">
        <v>5</v>
      </c>
      <c r="I4400" s="6" t="s">
        <v>2300</v>
      </c>
      <c r="J4400" s="2" t="s">
        <v>5</v>
      </c>
      <c r="K4400" s="2" t="s">
        <v>5</v>
      </c>
      <c r="L4400" s="2" t="s">
        <v>5</v>
      </c>
      <c r="M4400" s="2" t="s">
        <v>5</v>
      </c>
      <c r="N4400" s="4">
        <v>0</v>
      </c>
    </row>
    <row r="4401" spans="1:14" x14ac:dyDescent="0.25">
      <c r="A4401" s="2" t="s">
        <v>1803</v>
      </c>
      <c r="B4401" s="2" t="s">
        <v>1804</v>
      </c>
      <c r="C4401" s="3">
        <v>15.32</v>
      </c>
      <c r="D4401" s="4">
        <v>294.29719999999998</v>
      </c>
      <c r="E4401" s="4">
        <v>186.904</v>
      </c>
      <c r="F4401" s="4">
        <f t="shared" si="277"/>
        <v>107.39319999999998</v>
      </c>
      <c r="G4401" s="5">
        <f t="shared" si="278"/>
        <v>0.36491410723581463</v>
      </c>
      <c r="H4401" s="2" t="s">
        <v>5</v>
      </c>
      <c r="I4401" s="6" t="s">
        <v>2300</v>
      </c>
      <c r="J4401" s="2" t="s">
        <v>5</v>
      </c>
      <c r="K4401" s="2" t="s">
        <v>5</v>
      </c>
      <c r="L4401" s="2" t="s">
        <v>5</v>
      </c>
      <c r="M4401" s="2" t="s">
        <v>5</v>
      </c>
      <c r="N4401" s="4">
        <v>0</v>
      </c>
    </row>
    <row r="4402" spans="1:14" x14ac:dyDescent="0.25">
      <c r="A4402" s="2" t="s">
        <v>1803</v>
      </c>
      <c r="B4402" s="2" t="s">
        <v>1804</v>
      </c>
      <c r="C4402" s="3">
        <v>25.545000000000002</v>
      </c>
      <c r="D4402" s="4">
        <v>490.71944999999999</v>
      </c>
      <c r="E4402" s="4">
        <v>311.649</v>
      </c>
      <c r="F4402" s="4">
        <f t="shared" si="277"/>
        <v>179.07044999999999</v>
      </c>
      <c r="G4402" s="5">
        <f t="shared" si="278"/>
        <v>0.36491410723581469</v>
      </c>
      <c r="H4402" s="2" t="s">
        <v>5</v>
      </c>
      <c r="I4402" s="6" t="s">
        <v>2300</v>
      </c>
      <c r="J4402" s="2" t="s">
        <v>5</v>
      </c>
      <c r="K4402" s="2" t="s">
        <v>5</v>
      </c>
      <c r="L4402" s="2" t="s">
        <v>5</v>
      </c>
      <c r="M4402" s="2" t="s">
        <v>5</v>
      </c>
      <c r="N4402" s="4">
        <v>0</v>
      </c>
    </row>
    <row r="4403" spans="1:14" x14ac:dyDescent="0.25">
      <c r="A4403" s="2" t="s">
        <v>1803</v>
      </c>
      <c r="B4403" s="2" t="s">
        <v>1804</v>
      </c>
      <c r="C4403" s="3">
        <v>20.27</v>
      </c>
      <c r="D4403" s="4">
        <v>389.38670000000002</v>
      </c>
      <c r="E4403" s="4">
        <v>247.29400000000001</v>
      </c>
      <c r="F4403" s="4">
        <f t="shared" si="277"/>
        <v>142.09270000000001</v>
      </c>
      <c r="G4403" s="5">
        <f t="shared" si="278"/>
        <v>0.36491410723581469</v>
      </c>
      <c r="H4403" s="2" t="s">
        <v>5</v>
      </c>
      <c r="I4403" s="6" t="s">
        <v>2300</v>
      </c>
      <c r="J4403" s="2" t="s">
        <v>5</v>
      </c>
      <c r="K4403" s="2" t="s">
        <v>5</v>
      </c>
      <c r="L4403" s="2" t="s">
        <v>5</v>
      </c>
      <c r="M4403" s="2" t="s">
        <v>5</v>
      </c>
      <c r="N4403" s="4">
        <v>0</v>
      </c>
    </row>
    <row r="4404" spans="1:14" x14ac:dyDescent="0.25">
      <c r="A4404" s="2" t="s">
        <v>1803</v>
      </c>
      <c r="B4404" s="2" t="s">
        <v>1804</v>
      </c>
      <c r="C4404" s="3">
        <v>9.89</v>
      </c>
      <c r="D4404" s="4">
        <v>189.98689999999999</v>
      </c>
      <c r="E4404" s="4">
        <v>120.658</v>
      </c>
      <c r="F4404" s="4">
        <f t="shared" si="277"/>
        <v>69.32889999999999</v>
      </c>
      <c r="G4404" s="5">
        <f t="shared" si="278"/>
        <v>0.36491410723581463</v>
      </c>
      <c r="H4404" s="2" t="s">
        <v>5</v>
      </c>
      <c r="I4404" s="6" t="s">
        <v>2300</v>
      </c>
      <c r="J4404" s="2" t="s">
        <v>5</v>
      </c>
      <c r="K4404" s="2" t="s">
        <v>5</v>
      </c>
      <c r="L4404" s="2" t="s">
        <v>5</v>
      </c>
      <c r="M4404" s="2" t="s">
        <v>5</v>
      </c>
      <c r="N4404" s="4">
        <v>0</v>
      </c>
    </row>
    <row r="4405" spans="1:14" x14ac:dyDescent="0.25">
      <c r="A4405" s="2" t="s">
        <v>1803</v>
      </c>
      <c r="B4405" s="2" t="s">
        <v>1804</v>
      </c>
      <c r="C4405" s="3">
        <v>35.840000000000003</v>
      </c>
      <c r="D4405" s="4">
        <v>688.4864</v>
      </c>
      <c r="E4405" s="4">
        <v>437.24799999999999</v>
      </c>
      <c r="F4405" s="4">
        <f t="shared" si="277"/>
        <v>251.23840000000001</v>
      </c>
      <c r="G4405" s="5">
        <f t="shared" si="278"/>
        <v>0.36491410723581469</v>
      </c>
      <c r="H4405" s="2" t="s">
        <v>5</v>
      </c>
      <c r="I4405" s="6" t="s">
        <v>2300</v>
      </c>
      <c r="J4405" s="2" t="s">
        <v>5</v>
      </c>
      <c r="K4405" s="2" t="s">
        <v>5</v>
      </c>
      <c r="L4405" s="2" t="s">
        <v>5</v>
      </c>
      <c r="M4405" s="2" t="s">
        <v>5</v>
      </c>
      <c r="N4405" s="4">
        <v>0</v>
      </c>
    </row>
    <row r="4406" spans="1:14" x14ac:dyDescent="0.25">
      <c r="A4406" s="2" t="s">
        <v>1827</v>
      </c>
      <c r="B4406" s="2" t="s">
        <v>1828</v>
      </c>
      <c r="C4406" s="3">
        <v>23.7</v>
      </c>
      <c r="D4406" s="4">
        <v>560.26800000000003</v>
      </c>
      <c r="E4406" s="4">
        <v>189.6</v>
      </c>
      <c r="F4406" s="4">
        <f t="shared" si="277"/>
        <v>370.66800000000001</v>
      </c>
      <c r="G4406" s="5">
        <f t="shared" si="278"/>
        <v>0.66159052453468692</v>
      </c>
      <c r="H4406" s="2" t="s">
        <v>5</v>
      </c>
      <c r="I4406" s="6" t="s">
        <v>2300</v>
      </c>
      <c r="J4406" s="2" t="s">
        <v>5</v>
      </c>
      <c r="K4406" s="2" t="s">
        <v>5</v>
      </c>
      <c r="L4406" s="2" t="s">
        <v>5</v>
      </c>
      <c r="M4406" s="2" t="s">
        <v>5</v>
      </c>
      <c r="N4406" s="4">
        <v>0</v>
      </c>
    </row>
    <row r="4407" spans="1:14" x14ac:dyDescent="0.25">
      <c r="A4407" s="2" t="s">
        <v>1827</v>
      </c>
      <c r="B4407" s="2" t="s">
        <v>1828</v>
      </c>
      <c r="C4407" s="3">
        <v>16.3</v>
      </c>
      <c r="D4407" s="4">
        <v>385.33199999999999</v>
      </c>
      <c r="E4407" s="4">
        <v>130.4</v>
      </c>
      <c r="F4407" s="4">
        <f t="shared" si="277"/>
        <v>254.93199999999999</v>
      </c>
      <c r="G4407" s="5">
        <f t="shared" si="278"/>
        <v>0.66159052453468692</v>
      </c>
      <c r="H4407" s="2" t="s">
        <v>5</v>
      </c>
      <c r="I4407" s="6" t="s">
        <v>2300</v>
      </c>
      <c r="J4407" s="2" t="s">
        <v>5</v>
      </c>
      <c r="K4407" s="2" t="s">
        <v>5</v>
      </c>
      <c r="L4407" s="2" t="s">
        <v>5</v>
      </c>
      <c r="M4407" s="2" t="s">
        <v>5</v>
      </c>
      <c r="N4407" s="4">
        <v>0</v>
      </c>
    </row>
    <row r="4408" spans="1:14" x14ac:dyDescent="0.25">
      <c r="A4408" s="2" t="s">
        <v>1827</v>
      </c>
      <c r="B4408" s="2" t="s">
        <v>1828</v>
      </c>
      <c r="C4408" s="3">
        <v>102.7</v>
      </c>
      <c r="D4408" s="4">
        <v>2427.828</v>
      </c>
      <c r="E4408" s="4">
        <v>770.25</v>
      </c>
      <c r="F4408" s="4">
        <f t="shared" si="277"/>
        <v>1657.578</v>
      </c>
      <c r="G4408" s="5">
        <f t="shared" si="278"/>
        <v>0.68274111675126903</v>
      </c>
      <c r="H4408" s="2" t="s">
        <v>5</v>
      </c>
      <c r="I4408" s="6" t="s">
        <v>2300</v>
      </c>
      <c r="J4408" s="2" t="s">
        <v>5</v>
      </c>
      <c r="K4408" s="2" t="s">
        <v>5</v>
      </c>
      <c r="L4408" s="2" t="s">
        <v>5</v>
      </c>
      <c r="M4408" s="2" t="s">
        <v>5</v>
      </c>
      <c r="N4408" s="4">
        <v>0</v>
      </c>
    </row>
    <row r="4409" spans="1:14" x14ac:dyDescent="0.25">
      <c r="A4409" s="2" t="s">
        <v>1829</v>
      </c>
      <c r="B4409" s="2" t="s">
        <v>1830</v>
      </c>
      <c r="C4409" s="3">
        <v>18.850000000000001</v>
      </c>
      <c r="D4409" s="4">
        <v>334.21050000000002</v>
      </c>
      <c r="E4409" s="4">
        <v>213.005</v>
      </c>
      <c r="F4409" s="4">
        <f t="shared" si="277"/>
        <v>121.20550000000003</v>
      </c>
      <c r="G4409" s="5">
        <f t="shared" si="278"/>
        <v>0.36266215454032719</v>
      </c>
      <c r="H4409" s="2" t="s">
        <v>5</v>
      </c>
      <c r="I4409" s="6" t="s">
        <v>2300</v>
      </c>
      <c r="J4409" s="2" t="s">
        <v>5</v>
      </c>
      <c r="K4409" s="2" t="s">
        <v>5</v>
      </c>
      <c r="L4409" s="2" t="s">
        <v>5</v>
      </c>
      <c r="M4409" s="2" t="s">
        <v>5</v>
      </c>
      <c r="N4409" s="4">
        <v>0</v>
      </c>
    </row>
    <row r="4410" spans="1:14" x14ac:dyDescent="0.25">
      <c r="A4410" s="2" t="s">
        <v>1829</v>
      </c>
      <c r="B4410" s="2" t="s">
        <v>1830</v>
      </c>
      <c r="C4410" s="3">
        <v>5.7350000000000003</v>
      </c>
      <c r="D4410" s="4">
        <v>101.68155</v>
      </c>
      <c r="E4410" s="4">
        <v>64.805499999999995</v>
      </c>
      <c r="F4410" s="4">
        <f t="shared" si="277"/>
        <v>36.876050000000006</v>
      </c>
      <c r="G4410" s="5">
        <f t="shared" si="278"/>
        <v>0.36266215454032719</v>
      </c>
      <c r="H4410" s="2" t="s">
        <v>5</v>
      </c>
      <c r="I4410" s="6" t="s">
        <v>2300</v>
      </c>
      <c r="J4410" s="2" t="s">
        <v>5</v>
      </c>
      <c r="K4410" s="2" t="s">
        <v>5</v>
      </c>
      <c r="L4410" s="2" t="s">
        <v>5</v>
      </c>
      <c r="M4410" s="2" t="s">
        <v>5</v>
      </c>
      <c r="N4410" s="4">
        <v>0</v>
      </c>
    </row>
    <row r="4411" spans="1:14" x14ac:dyDescent="0.25">
      <c r="A4411" s="2" t="s">
        <v>1829</v>
      </c>
      <c r="B4411" s="2" t="s">
        <v>1830</v>
      </c>
      <c r="C4411" s="3">
        <v>12.96</v>
      </c>
      <c r="D4411" s="4">
        <v>229.7808</v>
      </c>
      <c r="E4411" s="4">
        <v>146.44800000000001</v>
      </c>
      <c r="F4411" s="4">
        <f t="shared" si="277"/>
        <v>83.332799999999992</v>
      </c>
      <c r="G4411" s="5">
        <f t="shared" si="278"/>
        <v>0.36266215454032708</v>
      </c>
      <c r="H4411" s="2" t="s">
        <v>5</v>
      </c>
      <c r="I4411" s="6" t="s">
        <v>2300</v>
      </c>
      <c r="J4411" s="2" t="s">
        <v>5</v>
      </c>
      <c r="K4411" s="2" t="s">
        <v>5</v>
      </c>
      <c r="L4411" s="2" t="s">
        <v>5</v>
      </c>
      <c r="M4411" s="2" t="s">
        <v>5</v>
      </c>
      <c r="N4411" s="4">
        <v>0</v>
      </c>
    </row>
    <row r="4412" spans="1:14" x14ac:dyDescent="0.25">
      <c r="A4412" s="2" t="s">
        <v>1829</v>
      </c>
      <c r="B4412" s="2" t="s">
        <v>1830</v>
      </c>
      <c r="C4412" s="3">
        <v>26.3</v>
      </c>
      <c r="D4412" s="4">
        <v>466.29899999999998</v>
      </c>
      <c r="E4412" s="4">
        <v>297.19</v>
      </c>
      <c r="F4412" s="4">
        <f t="shared" si="277"/>
        <v>169.10899999999998</v>
      </c>
      <c r="G4412" s="5">
        <f t="shared" si="278"/>
        <v>0.36266215454032713</v>
      </c>
      <c r="H4412" s="2" t="s">
        <v>5</v>
      </c>
      <c r="I4412" s="6" t="s">
        <v>2300</v>
      </c>
      <c r="J4412" s="2" t="s">
        <v>5</v>
      </c>
      <c r="K4412" s="2" t="s">
        <v>5</v>
      </c>
      <c r="L4412" s="2" t="s">
        <v>5</v>
      </c>
      <c r="M4412" s="2" t="s">
        <v>5</v>
      </c>
      <c r="N4412" s="4">
        <v>0</v>
      </c>
    </row>
    <row r="4413" spans="1:14" x14ac:dyDescent="0.25">
      <c r="A4413" s="2" t="s">
        <v>1829</v>
      </c>
      <c r="B4413" s="2" t="s">
        <v>1830</v>
      </c>
      <c r="C4413" s="3">
        <v>22.3</v>
      </c>
      <c r="D4413" s="4">
        <v>395.37900000000002</v>
      </c>
      <c r="E4413" s="4">
        <v>251.99</v>
      </c>
      <c r="F4413" s="4">
        <f t="shared" si="277"/>
        <v>143.38900000000001</v>
      </c>
      <c r="G4413" s="5">
        <f t="shared" si="278"/>
        <v>0.36266215454032713</v>
      </c>
      <c r="H4413" s="2" t="s">
        <v>5</v>
      </c>
      <c r="I4413" s="6" t="s">
        <v>2300</v>
      </c>
      <c r="J4413" s="2" t="s">
        <v>5</v>
      </c>
      <c r="K4413" s="2" t="s">
        <v>5</v>
      </c>
      <c r="L4413" s="2" t="s">
        <v>5</v>
      </c>
      <c r="M4413" s="2" t="s">
        <v>5</v>
      </c>
      <c r="N4413" s="4">
        <v>0</v>
      </c>
    </row>
    <row r="4414" spans="1:14" x14ac:dyDescent="0.25">
      <c r="A4414" s="2" t="s">
        <v>1960</v>
      </c>
      <c r="B4414" s="2" t="s">
        <v>1961</v>
      </c>
      <c r="C4414" s="3">
        <v>9.9450000000000003</v>
      </c>
      <c r="D4414" s="4">
        <v>132.36795000000001</v>
      </c>
      <c r="E4414" s="4">
        <v>79.56</v>
      </c>
      <c r="F4414" s="4">
        <f t="shared" si="277"/>
        <v>52.807950000000005</v>
      </c>
      <c r="G4414" s="5">
        <f t="shared" si="278"/>
        <v>0.39894815927873784</v>
      </c>
      <c r="H4414" s="2" t="s">
        <v>5</v>
      </c>
      <c r="I4414" s="6" t="s">
        <v>2300</v>
      </c>
      <c r="J4414" s="2" t="s">
        <v>5</v>
      </c>
      <c r="K4414" s="2" t="s">
        <v>5</v>
      </c>
      <c r="L4414" s="2" t="s">
        <v>5</v>
      </c>
      <c r="M4414" s="2" t="s">
        <v>5</v>
      </c>
      <c r="N4414" s="4">
        <v>0</v>
      </c>
    </row>
    <row r="4415" spans="1:14" x14ac:dyDescent="0.25">
      <c r="A4415" s="2" t="s">
        <v>1960</v>
      </c>
      <c r="B4415" s="2" t="s">
        <v>1961</v>
      </c>
      <c r="C4415" s="3">
        <v>10</v>
      </c>
      <c r="D4415" s="4">
        <v>133.1</v>
      </c>
      <c r="E4415" s="4">
        <v>80</v>
      </c>
      <c r="F4415" s="4">
        <f t="shared" si="277"/>
        <v>53.099999999999994</v>
      </c>
      <c r="G4415" s="5">
        <f t="shared" si="278"/>
        <v>0.39894815927873778</v>
      </c>
      <c r="H4415" s="2" t="s">
        <v>5</v>
      </c>
      <c r="I4415" s="6" t="s">
        <v>2300</v>
      </c>
      <c r="J4415" s="2" t="s">
        <v>5</v>
      </c>
      <c r="K4415" s="2" t="s">
        <v>5</v>
      </c>
      <c r="L4415" s="2" t="s">
        <v>5</v>
      </c>
      <c r="M4415" s="2" t="s">
        <v>5</v>
      </c>
      <c r="N4415" s="4">
        <v>0</v>
      </c>
    </row>
    <row r="4416" spans="1:14" x14ac:dyDescent="0.25">
      <c r="A4416" s="2" t="s">
        <v>1831</v>
      </c>
      <c r="B4416" s="2" t="s">
        <v>1832</v>
      </c>
      <c r="C4416" s="3">
        <v>20.34</v>
      </c>
      <c r="D4416" s="4">
        <v>451.14120000000003</v>
      </c>
      <c r="E4416" s="4">
        <v>254.25</v>
      </c>
      <c r="F4416" s="4">
        <f t="shared" si="277"/>
        <v>196.89120000000003</v>
      </c>
      <c r="G4416" s="5">
        <f t="shared" si="278"/>
        <v>0.436429215509468</v>
      </c>
      <c r="H4416" s="2" t="s">
        <v>5</v>
      </c>
      <c r="I4416" s="6" t="s">
        <v>2300</v>
      </c>
      <c r="J4416" s="2" t="s">
        <v>5</v>
      </c>
      <c r="K4416" s="2" t="s">
        <v>5</v>
      </c>
      <c r="L4416" s="2" t="s">
        <v>5</v>
      </c>
      <c r="M4416" s="2" t="s">
        <v>5</v>
      </c>
      <c r="N4416" s="4">
        <v>0</v>
      </c>
    </row>
    <row r="4417" spans="1:14" x14ac:dyDescent="0.25">
      <c r="A4417" s="2" t="s">
        <v>1831</v>
      </c>
      <c r="B4417" s="2" t="s">
        <v>1832</v>
      </c>
      <c r="C4417" s="3">
        <v>30.7</v>
      </c>
      <c r="D4417" s="4">
        <v>680.92600000000004</v>
      </c>
      <c r="E4417" s="4">
        <v>383.75</v>
      </c>
      <c r="F4417" s="4">
        <f t="shared" si="277"/>
        <v>297.17600000000004</v>
      </c>
      <c r="G4417" s="5">
        <f t="shared" si="278"/>
        <v>0.436429215509468</v>
      </c>
      <c r="H4417" s="2" t="s">
        <v>5</v>
      </c>
      <c r="I4417" s="6" t="s">
        <v>2300</v>
      </c>
      <c r="J4417" s="2" t="s">
        <v>5</v>
      </c>
      <c r="K4417" s="2" t="s">
        <v>5</v>
      </c>
      <c r="L4417" s="2" t="s">
        <v>5</v>
      </c>
      <c r="M4417" s="2" t="s">
        <v>5</v>
      </c>
      <c r="N4417" s="4">
        <v>0</v>
      </c>
    </row>
    <row r="4418" spans="1:14" x14ac:dyDescent="0.25">
      <c r="A4418" s="2" t="s">
        <v>1831</v>
      </c>
      <c r="B4418" s="2" t="s">
        <v>1832</v>
      </c>
      <c r="C4418" s="3">
        <v>30.49</v>
      </c>
      <c r="D4418" s="4">
        <v>676.26819999999998</v>
      </c>
      <c r="E4418" s="4">
        <v>381.125</v>
      </c>
      <c r="F4418" s="4">
        <f t="shared" si="277"/>
        <v>295.14319999999998</v>
      </c>
      <c r="G4418" s="5">
        <f t="shared" si="278"/>
        <v>0.43642921550946795</v>
      </c>
      <c r="H4418" s="2" t="s">
        <v>5</v>
      </c>
      <c r="I4418" s="6" t="s">
        <v>2300</v>
      </c>
      <c r="J4418" s="2" t="s">
        <v>5</v>
      </c>
      <c r="K4418" s="2" t="s">
        <v>5</v>
      </c>
      <c r="L4418" s="2" t="s">
        <v>5</v>
      </c>
      <c r="M4418" s="2" t="s">
        <v>5</v>
      </c>
      <c r="N4418" s="4">
        <v>0</v>
      </c>
    </row>
    <row r="4419" spans="1:14" x14ac:dyDescent="0.25">
      <c r="A4419" s="2" t="s">
        <v>1911</v>
      </c>
      <c r="B4419" s="2" t="s">
        <v>1912</v>
      </c>
      <c r="C4419" s="3">
        <v>60.865000000000002</v>
      </c>
      <c r="D4419" s="4">
        <v>975.05730000000005</v>
      </c>
      <c r="E4419" s="4">
        <v>419.96850000000001</v>
      </c>
      <c r="F4419" s="4">
        <f t="shared" si="277"/>
        <v>555.08879999999999</v>
      </c>
      <c r="G4419" s="5">
        <f t="shared" si="278"/>
        <v>0.56928838951310856</v>
      </c>
      <c r="H4419" s="2" t="s">
        <v>5</v>
      </c>
      <c r="I4419" s="6" t="s">
        <v>2300</v>
      </c>
      <c r="J4419" s="2" t="s">
        <v>5</v>
      </c>
      <c r="K4419" s="2" t="s">
        <v>5</v>
      </c>
      <c r="L4419" s="2" t="s">
        <v>5</v>
      </c>
      <c r="M4419" s="2" t="s">
        <v>5</v>
      </c>
      <c r="N4419" s="4">
        <v>0</v>
      </c>
    </row>
    <row r="4420" spans="1:14" x14ac:dyDescent="0.25">
      <c r="A4420" s="2" t="s">
        <v>1865</v>
      </c>
      <c r="B4420" s="2" t="s">
        <v>1866</v>
      </c>
      <c r="C4420" s="3">
        <v>30.85</v>
      </c>
      <c r="D4420" s="4">
        <v>389.01850000000002</v>
      </c>
      <c r="E4420" s="4">
        <v>376.37</v>
      </c>
      <c r="F4420" s="4">
        <f t="shared" si="277"/>
        <v>12.648500000000013</v>
      </c>
      <c r="G4420" s="5">
        <f t="shared" si="278"/>
        <v>3.2513877874702647E-2</v>
      </c>
      <c r="H4420" s="2" t="s">
        <v>5</v>
      </c>
      <c r="I4420" s="6" t="s">
        <v>2300</v>
      </c>
      <c r="J4420" s="2" t="s">
        <v>5</v>
      </c>
      <c r="K4420" s="2" t="s">
        <v>5</v>
      </c>
      <c r="L4420" s="2" t="s">
        <v>5</v>
      </c>
      <c r="M4420" s="2" t="s">
        <v>5</v>
      </c>
      <c r="N4420" s="4">
        <v>0</v>
      </c>
    </row>
    <row r="4421" spans="1:14" x14ac:dyDescent="0.25">
      <c r="A4421" s="2" t="s">
        <v>1865</v>
      </c>
      <c r="B4421" s="2" t="s">
        <v>1866</v>
      </c>
      <c r="C4421" s="3">
        <v>44.875</v>
      </c>
      <c r="D4421" s="4">
        <v>565.87374999999997</v>
      </c>
      <c r="E4421" s="4">
        <v>547.47500000000002</v>
      </c>
      <c r="F4421" s="4">
        <f t="shared" si="277"/>
        <v>18.39874999999995</v>
      </c>
      <c r="G4421" s="5">
        <f t="shared" si="278"/>
        <v>3.2513877874702529E-2</v>
      </c>
      <c r="H4421" s="2" t="s">
        <v>5</v>
      </c>
      <c r="I4421" s="6" t="s">
        <v>2300</v>
      </c>
      <c r="J4421" s="2" t="s">
        <v>5</v>
      </c>
      <c r="K4421" s="2" t="s">
        <v>5</v>
      </c>
      <c r="L4421" s="2" t="s">
        <v>5</v>
      </c>
      <c r="M4421" s="2" t="s">
        <v>5</v>
      </c>
      <c r="N4421" s="4">
        <v>0</v>
      </c>
    </row>
    <row r="4422" spans="1:14" x14ac:dyDescent="0.25">
      <c r="A4422" s="2" t="s">
        <v>1870</v>
      </c>
      <c r="B4422" s="2" t="s">
        <v>1871</v>
      </c>
      <c r="C4422" s="3">
        <v>29.425000000000001</v>
      </c>
      <c r="D4422" s="4">
        <v>347.21499999999997</v>
      </c>
      <c r="E4422" s="4">
        <v>214.80250000000001</v>
      </c>
      <c r="F4422" s="4">
        <f t="shared" si="277"/>
        <v>132.41249999999997</v>
      </c>
      <c r="G4422" s="5">
        <f t="shared" si="278"/>
        <v>0.38135593220338976</v>
      </c>
      <c r="H4422" s="2" t="s">
        <v>5</v>
      </c>
      <c r="I4422" s="6" t="s">
        <v>2300</v>
      </c>
      <c r="J4422" s="2" t="s">
        <v>5</v>
      </c>
      <c r="K4422" s="2" t="s">
        <v>5</v>
      </c>
      <c r="L4422" s="2" t="s">
        <v>5</v>
      </c>
      <c r="M4422" s="2" t="s">
        <v>5</v>
      </c>
      <c r="N4422" s="4">
        <v>0</v>
      </c>
    </row>
    <row r="4423" spans="1:14" x14ac:dyDescent="0.25">
      <c r="A4423" s="2" t="s">
        <v>1882</v>
      </c>
      <c r="B4423" s="2" t="s">
        <v>1883</v>
      </c>
      <c r="C4423" s="3">
        <v>59.9</v>
      </c>
      <c r="D4423" s="4">
        <v>973.375</v>
      </c>
      <c r="E4423" s="4">
        <v>404.32499999999999</v>
      </c>
      <c r="F4423" s="4">
        <f t="shared" si="277"/>
        <v>569.04999999999995</v>
      </c>
      <c r="G4423" s="5">
        <f t="shared" si="278"/>
        <v>0.58461538461538454</v>
      </c>
      <c r="H4423" s="2" t="s">
        <v>5</v>
      </c>
      <c r="I4423" s="6" t="s">
        <v>2300</v>
      </c>
      <c r="J4423" s="2" t="s">
        <v>5</v>
      </c>
      <c r="K4423" s="2" t="s">
        <v>5</v>
      </c>
      <c r="L4423" s="2" t="s">
        <v>5</v>
      </c>
      <c r="M4423" s="2" t="s">
        <v>5</v>
      </c>
      <c r="N4423" s="4">
        <v>0</v>
      </c>
    </row>
    <row r="4424" spans="1:14" x14ac:dyDescent="0.25">
      <c r="A4424" s="2" t="s">
        <v>1887</v>
      </c>
      <c r="B4424" s="2" t="s">
        <v>1888</v>
      </c>
      <c r="C4424" s="3">
        <v>12.49</v>
      </c>
      <c r="D4424" s="4">
        <v>646.35749999999996</v>
      </c>
      <c r="E4424" s="4">
        <v>318.495</v>
      </c>
      <c r="F4424" s="4">
        <f t="shared" si="277"/>
        <v>327.86249999999995</v>
      </c>
      <c r="G4424" s="5">
        <f t="shared" si="278"/>
        <v>0.50724637681159412</v>
      </c>
      <c r="H4424" s="2" t="s">
        <v>5</v>
      </c>
      <c r="I4424" s="6" t="s">
        <v>2300</v>
      </c>
      <c r="J4424" s="2" t="s">
        <v>5</v>
      </c>
      <c r="K4424" s="2" t="s">
        <v>5</v>
      </c>
      <c r="L4424" s="2" t="s">
        <v>5</v>
      </c>
      <c r="M4424" s="2" t="s">
        <v>5</v>
      </c>
      <c r="N4424" s="4">
        <v>0</v>
      </c>
    </row>
    <row r="4425" spans="1:14" x14ac:dyDescent="0.25">
      <c r="A4425" s="2" t="s">
        <v>1808</v>
      </c>
      <c r="B4425" s="2" t="s">
        <v>1809</v>
      </c>
      <c r="C4425" s="3">
        <v>48</v>
      </c>
      <c r="D4425" s="4">
        <v>1349.76</v>
      </c>
      <c r="E4425" s="4">
        <v>780</v>
      </c>
      <c r="F4425" s="4">
        <f t="shared" si="277"/>
        <v>569.76</v>
      </c>
      <c r="G4425" s="5">
        <f t="shared" si="278"/>
        <v>0.42211948790896159</v>
      </c>
      <c r="H4425" s="2" t="s">
        <v>5</v>
      </c>
      <c r="I4425" s="6" t="s">
        <v>2300</v>
      </c>
      <c r="J4425" s="2" t="s">
        <v>5</v>
      </c>
      <c r="K4425" s="2" t="s">
        <v>5</v>
      </c>
      <c r="L4425" s="2" t="s">
        <v>5</v>
      </c>
      <c r="M4425" s="2" t="s">
        <v>5</v>
      </c>
      <c r="N4425" s="4">
        <v>0</v>
      </c>
    </row>
    <row r="4426" spans="1:14" x14ac:dyDescent="0.25">
      <c r="A4426" s="2" t="s">
        <v>1808</v>
      </c>
      <c r="B4426" s="2" t="s">
        <v>1809</v>
      </c>
      <c r="C4426" s="3">
        <v>144</v>
      </c>
      <c r="D4426" s="4">
        <v>4049.28</v>
      </c>
      <c r="E4426" s="4">
        <v>2340</v>
      </c>
      <c r="F4426" s="4">
        <f t="shared" si="277"/>
        <v>1709.2800000000002</v>
      </c>
      <c r="G4426" s="5">
        <f t="shared" si="278"/>
        <v>0.42211948790896164</v>
      </c>
      <c r="H4426" s="2" t="s">
        <v>5</v>
      </c>
      <c r="I4426" s="6" t="s">
        <v>2300</v>
      </c>
      <c r="J4426" s="2" t="s">
        <v>5</v>
      </c>
      <c r="K4426" s="2" t="s">
        <v>5</v>
      </c>
      <c r="L4426" s="2" t="s">
        <v>5</v>
      </c>
      <c r="M4426" s="2" t="s">
        <v>5</v>
      </c>
      <c r="N4426" s="4">
        <v>0</v>
      </c>
    </row>
    <row r="4427" spans="1:14" x14ac:dyDescent="0.25">
      <c r="A4427" s="2" t="s">
        <v>1808</v>
      </c>
      <c r="B4427" s="2" t="s">
        <v>1809</v>
      </c>
      <c r="C4427" s="3">
        <v>2.21</v>
      </c>
      <c r="D4427" s="4">
        <v>62.145200000000003</v>
      </c>
      <c r="E4427" s="4">
        <v>35.912500000000001</v>
      </c>
      <c r="F4427" s="4">
        <f t="shared" si="277"/>
        <v>26.232700000000001</v>
      </c>
      <c r="G4427" s="5">
        <f t="shared" si="278"/>
        <v>0.42211948790896159</v>
      </c>
      <c r="H4427" s="2" t="s">
        <v>5</v>
      </c>
      <c r="I4427" s="6" t="s">
        <v>2300</v>
      </c>
      <c r="J4427" s="2" t="s">
        <v>5</v>
      </c>
      <c r="K4427" s="2" t="s">
        <v>5</v>
      </c>
      <c r="L4427" s="2" t="s">
        <v>5</v>
      </c>
      <c r="M4427" s="2" t="s">
        <v>5</v>
      </c>
      <c r="N4427" s="4">
        <v>0</v>
      </c>
    </row>
    <row r="4428" spans="1:14" x14ac:dyDescent="0.25">
      <c r="A4428" s="2" t="s">
        <v>1901</v>
      </c>
      <c r="B4428" s="2" t="s">
        <v>1902</v>
      </c>
      <c r="C4428" s="3">
        <v>197.78</v>
      </c>
      <c r="D4428" s="4">
        <v>4679.4748</v>
      </c>
      <c r="E4428" s="4">
        <v>3263.37</v>
      </c>
      <c r="F4428" s="4">
        <f t="shared" si="277"/>
        <v>1416.1048000000001</v>
      </c>
      <c r="G4428" s="5">
        <f t="shared" si="278"/>
        <v>0.30262045646661034</v>
      </c>
      <c r="H4428" s="2" t="s">
        <v>5</v>
      </c>
      <c r="I4428" s="6" t="s">
        <v>2300</v>
      </c>
      <c r="J4428" s="2" t="s">
        <v>5</v>
      </c>
      <c r="K4428" s="2" t="s">
        <v>5</v>
      </c>
      <c r="L4428" s="2" t="s">
        <v>5</v>
      </c>
      <c r="M4428" s="2" t="s">
        <v>5</v>
      </c>
      <c r="N4428" s="4">
        <v>0</v>
      </c>
    </row>
    <row r="4429" spans="1:14" x14ac:dyDescent="0.25">
      <c r="A4429" s="2" t="s">
        <v>1842</v>
      </c>
      <c r="B4429" s="2" t="s">
        <v>1843</v>
      </c>
      <c r="C4429" s="3">
        <v>10.02</v>
      </c>
      <c r="D4429" s="4">
        <v>192.48419999999999</v>
      </c>
      <c r="E4429" s="4">
        <v>95.19</v>
      </c>
      <c r="F4429" s="4">
        <f t="shared" si="277"/>
        <v>97.294199999999989</v>
      </c>
      <c r="G4429" s="5">
        <f t="shared" si="278"/>
        <v>0.50546590317542939</v>
      </c>
      <c r="H4429" s="2" t="s">
        <v>5</v>
      </c>
      <c r="I4429" s="6" t="s">
        <v>2300</v>
      </c>
      <c r="J4429" s="2" t="s">
        <v>5</v>
      </c>
      <c r="K4429" s="2" t="s">
        <v>5</v>
      </c>
      <c r="L4429" s="2" t="s">
        <v>5</v>
      </c>
      <c r="M4429" s="2" t="s">
        <v>5</v>
      </c>
      <c r="N4429" s="4">
        <v>0</v>
      </c>
    </row>
    <row r="4430" spans="1:14" x14ac:dyDescent="0.25">
      <c r="A4430" s="2" t="s">
        <v>1842</v>
      </c>
      <c r="B4430" s="2" t="s">
        <v>1843</v>
      </c>
      <c r="C4430" s="3">
        <v>6</v>
      </c>
      <c r="D4430" s="4">
        <v>115.26</v>
      </c>
      <c r="E4430" s="4">
        <v>57</v>
      </c>
      <c r="F4430" s="4">
        <f t="shared" si="277"/>
        <v>58.260000000000005</v>
      </c>
      <c r="G4430" s="5">
        <f t="shared" si="278"/>
        <v>0.5054659031754295</v>
      </c>
      <c r="H4430" s="2" t="s">
        <v>5</v>
      </c>
      <c r="I4430" s="6" t="s">
        <v>2300</v>
      </c>
      <c r="J4430" s="2" t="s">
        <v>5</v>
      </c>
      <c r="K4430" s="2" t="s">
        <v>5</v>
      </c>
      <c r="L4430" s="2" t="s">
        <v>5</v>
      </c>
      <c r="M4430" s="2" t="s">
        <v>5</v>
      </c>
      <c r="N4430" s="4">
        <v>0</v>
      </c>
    </row>
    <row r="4431" spans="1:14" x14ac:dyDescent="0.25">
      <c r="A4431" s="2" t="s">
        <v>1842</v>
      </c>
      <c r="B4431" s="2" t="s">
        <v>1843</v>
      </c>
      <c r="C4431" s="3">
        <v>12.074999999999999</v>
      </c>
      <c r="D4431" s="4">
        <v>231.96074999999999</v>
      </c>
      <c r="E4431" s="4">
        <v>114.71250000000001</v>
      </c>
      <c r="F4431" s="4">
        <f t="shared" si="277"/>
        <v>117.24824999999998</v>
      </c>
      <c r="G4431" s="5">
        <f t="shared" si="278"/>
        <v>0.50546590317542939</v>
      </c>
      <c r="H4431" s="2" t="s">
        <v>5</v>
      </c>
      <c r="I4431" s="6" t="s">
        <v>2300</v>
      </c>
      <c r="J4431" s="2" t="s">
        <v>5</v>
      </c>
      <c r="K4431" s="2" t="s">
        <v>5</v>
      </c>
      <c r="L4431" s="2" t="s">
        <v>5</v>
      </c>
      <c r="M4431" s="2" t="s">
        <v>5</v>
      </c>
      <c r="N4431" s="4">
        <v>0</v>
      </c>
    </row>
    <row r="4432" spans="1:14" x14ac:dyDescent="0.25">
      <c r="A4432" s="2" t="s">
        <v>1842</v>
      </c>
      <c r="B4432" s="2" t="s">
        <v>1843</v>
      </c>
      <c r="C4432" s="3">
        <v>5.99</v>
      </c>
      <c r="D4432" s="4">
        <v>115.06789999999999</v>
      </c>
      <c r="E4432" s="4">
        <v>56.905000000000001</v>
      </c>
      <c r="F4432" s="4">
        <f t="shared" si="277"/>
        <v>58.162899999999993</v>
      </c>
      <c r="G4432" s="5">
        <f t="shared" si="278"/>
        <v>0.50546590317542939</v>
      </c>
      <c r="H4432" s="2" t="s">
        <v>5</v>
      </c>
      <c r="I4432" s="6" t="s">
        <v>2300</v>
      </c>
      <c r="J4432" s="2" t="s">
        <v>5</v>
      </c>
      <c r="K4432" s="2" t="s">
        <v>5</v>
      </c>
      <c r="L4432" s="2" t="s">
        <v>5</v>
      </c>
      <c r="M4432" s="2" t="s">
        <v>5</v>
      </c>
      <c r="N4432" s="4">
        <v>0</v>
      </c>
    </row>
    <row r="4433" spans="1:14" x14ac:dyDescent="0.25">
      <c r="A4433" s="2" t="s">
        <v>1842</v>
      </c>
      <c r="B4433" s="2" t="s">
        <v>1843</v>
      </c>
      <c r="C4433" s="3">
        <v>9.84</v>
      </c>
      <c r="D4433" s="4">
        <v>189.0264</v>
      </c>
      <c r="E4433" s="4">
        <v>93.48</v>
      </c>
      <c r="F4433" s="4">
        <f t="shared" si="277"/>
        <v>95.546399999999991</v>
      </c>
      <c r="G4433" s="5">
        <f t="shared" si="278"/>
        <v>0.50546590317542939</v>
      </c>
      <c r="H4433" s="2" t="s">
        <v>5</v>
      </c>
      <c r="I4433" s="6" t="s">
        <v>2300</v>
      </c>
      <c r="J4433" s="2" t="s">
        <v>5</v>
      </c>
      <c r="K4433" s="2" t="s">
        <v>5</v>
      </c>
      <c r="L4433" s="2" t="s">
        <v>5</v>
      </c>
      <c r="M4433" s="2" t="s">
        <v>5</v>
      </c>
      <c r="N4433" s="4">
        <v>0</v>
      </c>
    </row>
    <row r="4434" spans="1:14" x14ac:dyDescent="0.25">
      <c r="A4434" s="2" t="s">
        <v>1842</v>
      </c>
      <c r="B4434" s="2" t="s">
        <v>1843</v>
      </c>
      <c r="C4434" s="3">
        <v>9.91</v>
      </c>
      <c r="D4434" s="4">
        <v>190.37110000000001</v>
      </c>
      <c r="E4434" s="4">
        <v>94.144999999999996</v>
      </c>
      <c r="F4434" s="4">
        <f t="shared" si="277"/>
        <v>96.226100000000017</v>
      </c>
      <c r="G4434" s="5">
        <f t="shared" si="278"/>
        <v>0.5054659031754295</v>
      </c>
      <c r="H4434" s="2" t="s">
        <v>5</v>
      </c>
      <c r="I4434" s="6" t="s">
        <v>2300</v>
      </c>
      <c r="J4434" s="2" t="s">
        <v>5</v>
      </c>
      <c r="K4434" s="2" t="s">
        <v>5</v>
      </c>
      <c r="L4434" s="2" t="s">
        <v>5</v>
      </c>
      <c r="M4434" s="2" t="s">
        <v>5</v>
      </c>
      <c r="N4434" s="4">
        <v>0</v>
      </c>
    </row>
    <row r="4435" spans="1:14" x14ac:dyDescent="0.25">
      <c r="A4435" s="2" t="s">
        <v>1842</v>
      </c>
      <c r="B4435" s="2" t="s">
        <v>1843</v>
      </c>
      <c r="C4435" s="3">
        <v>16</v>
      </c>
      <c r="D4435" s="4">
        <v>307.36</v>
      </c>
      <c r="E4435" s="4">
        <v>152</v>
      </c>
      <c r="F4435" s="4">
        <f t="shared" si="277"/>
        <v>155.36000000000001</v>
      </c>
      <c r="G4435" s="5">
        <f t="shared" si="278"/>
        <v>0.5054659031754295</v>
      </c>
      <c r="H4435" s="2" t="s">
        <v>5</v>
      </c>
      <c r="I4435" s="6" t="s">
        <v>2300</v>
      </c>
      <c r="J4435" s="2" t="s">
        <v>5</v>
      </c>
      <c r="K4435" s="2" t="s">
        <v>5</v>
      </c>
      <c r="L4435" s="2" t="s">
        <v>5</v>
      </c>
      <c r="M4435" s="2" t="s">
        <v>5</v>
      </c>
      <c r="N4435" s="4">
        <v>0</v>
      </c>
    </row>
    <row r="4436" spans="1:14" x14ac:dyDescent="0.25">
      <c r="A4436" s="2" t="s">
        <v>1842</v>
      </c>
      <c r="B4436" s="2" t="s">
        <v>1843</v>
      </c>
      <c r="C4436" s="3">
        <v>39.909999999999997</v>
      </c>
      <c r="D4436" s="4">
        <v>766.67110000000002</v>
      </c>
      <c r="E4436" s="4">
        <v>379.14499999999998</v>
      </c>
      <c r="F4436" s="4">
        <f t="shared" si="277"/>
        <v>387.52610000000004</v>
      </c>
      <c r="G4436" s="5">
        <f t="shared" si="278"/>
        <v>0.5054659031754295</v>
      </c>
      <c r="H4436" s="2" t="s">
        <v>5</v>
      </c>
      <c r="I4436" s="6" t="s">
        <v>2300</v>
      </c>
      <c r="J4436" s="2" t="s">
        <v>5</v>
      </c>
      <c r="K4436" s="2" t="s">
        <v>5</v>
      </c>
      <c r="L4436" s="2" t="s">
        <v>5</v>
      </c>
      <c r="M4436" s="2" t="s">
        <v>5</v>
      </c>
      <c r="N4436" s="4">
        <v>0</v>
      </c>
    </row>
    <row r="4437" spans="1:14" x14ac:dyDescent="0.25">
      <c r="A4437" s="2" t="s">
        <v>1847</v>
      </c>
      <c r="B4437" s="2" t="s">
        <v>1848</v>
      </c>
      <c r="C4437" s="3">
        <v>4.8499999999999996</v>
      </c>
      <c r="D4437" s="4">
        <v>121.97750000000001</v>
      </c>
      <c r="E4437" s="4">
        <v>73.962500000000006</v>
      </c>
      <c r="F4437" s="4">
        <f t="shared" si="277"/>
        <v>48.015000000000001</v>
      </c>
      <c r="G4437" s="5">
        <f t="shared" si="278"/>
        <v>0.39363817097415504</v>
      </c>
      <c r="H4437" s="2" t="s">
        <v>5</v>
      </c>
      <c r="I4437" s="6" t="s">
        <v>2300</v>
      </c>
      <c r="J4437" s="2" t="s">
        <v>5</v>
      </c>
      <c r="K4437" s="2" t="s">
        <v>5</v>
      </c>
      <c r="L4437" s="2" t="s">
        <v>5</v>
      </c>
      <c r="M4437" s="2" t="s">
        <v>5</v>
      </c>
      <c r="N4437" s="4">
        <v>0</v>
      </c>
    </row>
    <row r="4438" spans="1:14" x14ac:dyDescent="0.25">
      <c r="A4438" s="2" t="s">
        <v>1847</v>
      </c>
      <c r="B4438" s="2" t="s">
        <v>1848</v>
      </c>
      <c r="C4438" s="3">
        <v>31</v>
      </c>
      <c r="D4438" s="4">
        <v>779.65</v>
      </c>
      <c r="E4438" s="4">
        <v>472.75</v>
      </c>
      <c r="F4438" s="4">
        <f t="shared" si="277"/>
        <v>306.89999999999998</v>
      </c>
      <c r="G4438" s="5">
        <f t="shared" si="278"/>
        <v>0.39363817097415504</v>
      </c>
      <c r="H4438" s="2" t="s">
        <v>5</v>
      </c>
      <c r="I4438" s="6" t="s">
        <v>2300</v>
      </c>
      <c r="J4438" s="2" t="s">
        <v>5</v>
      </c>
      <c r="K4438" s="2" t="s">
        <v>5</v>
      </c>
      <c r="L4438" s="2" t="s">
        <v>5</v>
      </c>
      <c r="M4438" s="2" t="s">
        <v>5</v>
      </c>
      <c r="N4438" s="4">
        <v>0</v>
      </c>
    </row>
    <row r="4439" spans="1:14" x14ac:dyDescent="0.25">
      <c r="A4439" s="2" t="s">
        <v>1847</v>
      </c>
      <c r="B4439" s="2" t="s">
        <v>1848</v>
      </c>
      <c r="C4439" s="3">
        <v>29.04</v>
      </c>
      <c r="D4439" s="4">
        <v>730.35599999999999</v>
      </c>
      <c r="E4439" s="4">
        <v>442.86</v>
      </c>
      <c r="F4439" s="4">
        <f t="shared" si="277"/>
        <v>287.49599999999998</v>
      </c>
      <c r="G4439" s="5">
        <f t="shared" si="278"/>
        <v>0.39363817097415504</v>
      </c>
      <c r="H4439" s="2" t="s">
        <v>5</v>
      </c>
      <c r="I4439" s="6" t="s">
        <v>2300</v>
      </c>
      <c r="J4439" s="2" t="s">
        <v>5</v>
      </c>
      <c r="K4439" s="2" t="s">
        <v>5</v>
      </c>
      <c r="L4439" s="2" t="s">
        <v>5</v>
      </c>
      <c r="M4439" s="2" t="s">
        <v>5</v>
      </c>
      <c r="N4439" s="4">
        <v>0</v>
      </c>
    </row>
    <row r="4440" spans="1:14" x14ac:dyDescent="0.25">
      <c r="A4440" s="2" t="s">
        <v>1962</v>
      </c>
      <c r="B4440" s="2" t="s">
        <v>1963</v>
      </c>
      <c r="C4440" s="3">
        <v>10.02</v>
      </c>
      <c r="D4440" s="4">
        <v>192.48419999999999</v>
      </c>
      <c r="E4440" s="4">
        <v>109.218</v>
      </c>
      <c r="F4440" s="4">
        <f t="shared" si="277"/>
        <v>83.266199999999984</v>
      </c>
      <c r="G4440" s="5">
        <f t="shared" si="278"/>
        <v>0.4325871941697032</v>
      </c>
      <c r="H4440" s="2" t="s">
        <v>5</v>
      </c>
      <c r="I4440" s="6" t="s">
        <v>2300</v>
      </c>
      <c r="J4440" s="2" t="s">
        <v>5</v>
      </c>
      <c r="K4440" s="2" t="s">
        <v>5</v>
      </c>
      <c r="L4440" s="2" t="s">
        <v>5</v>
      </c>
      <c r="M4440" s="2" t="s">
        <v>5</v>
      </c>
      <c r="N4440" s="4">
        <v>0</v>
      </c>
    </row>
    <row r="4441" spans="1:14" x14ac:dyDescent="0.25">
      <c r="A4441" s="2" t="s">
        <v>1833</v>
      </c>
      <c r="B4441" s="2" t="s">
        <v>1834</v>
      </c>
      <c r="C4441" s="3">
        <v>19.899999999999999</v>
      </c>
      <c r="D4441" s="4">
        <v>293.72399999999999</v>
      </c>
      <c r="E4441" s="4">
        <v>174.125</v>
      </c>
      <c r="F4441" s="4">
        <f t="shared" si="277"/>
        <v>119.59899999999999</v>
      </c>
      <c r="G4441" s="5">
        <f t="shared" si="278"/>
        <v>0.40718157181571812</v>
      </c>
      <c r="H4441" s="2" t="s">
        <v>5</v>
      </c>
      <c r="I4441" s="6" t="s">
        <v>2300</v>
      </c>
      <c r="J4441" s="2" t="s">
        <v>5</v>
      </c>
      <c r="K4441" s="2" t="s">
        <v>5</v>
      </c>
      <c r="L4441" s="2" t="s">
        <v>5</v>
      </c>
      <c r="M4441" s="2" t="s">
        <v>5</v>
      </c>
      <c r="N4441" s="4">
        <v>0</v>
      </c>
    </row>
    <row r="4442" spans="1:14" x14ac:dyDescent="0.25">
      <c r="A4442" s="2" t="s">
        <v>1852</v>
      </c>
      <c r="B4442" s="2" t="s">
        <v>1853</v>
      </c>
      <c r="C4442" s="3">
        <v>10.215</v>
      </c>
      <c r="D4442" s="4">
        <v>165.99375000000001</v>
      </c>
      <c r="E4442" s="4">
        <v>82.741500000000002</v>
      </c>
      <c r="F4442" s="4">
        <f t="shared" si="277"/>
        <v>83.252250000000004</v>
      </c>
      <c r="G4442" s="5">
        <f t="shared" si="278"/>
        <v>0.50153846153846149</v>
      </c>
      <c r="H4442" s="2" t="s">
        <v>5</v>
      </c>
      <c r="I4442" s="6" t="s">
        <v>2300</v>
      </c>
      <c r="J4442" s="2" t="s">
        <v>5</v>
      </c>
      <c r="K4442" s="2" t="s">
        <v>5</v>
      </c>
      <c r="L4442" s="2" t="s">
        <v>5</v>
      </c>
      <c r="M4442" s="2" t="s">
        <v>5</v>
      </c>
      <c r="N4442" s="4">
        <v>0</v>
      </c>
    </row>
    <row r="4443" spans="1:14" x14ac:dyDescent="0.25">
      <c r="A4443" s="2" t="s">
        <v>1852</v>
      </c>
      <c r="B4443" s="2" t="s">
        <v>1853</v>
      </c>
      <c r="C4443" s="3">
        <v>15.28</v>
      </c>
      <c r="D4443" s="4">
        <v>248.3</v>
      </c>
      <c r="E4443" s="4">
        <v>123.768</v>
      </c>
      <c r="F4443" s="4">
        <f t="shared" si="277"/>
        <v>124.53200000000001</v>
      </c>
      <c r="G4443" s="5">
        <f t="shared" si="278"/>
        <v>0.5015384615384616</v>
      </c>
      <c r="H4443" s="2" t="s">
        <v>5</v>
      </c>
      <c r="I4443" s="6" t="s">
        <v>2300</v>
      </c>
      <c r="J4443" s="2" t="s">
        <v>5</v>
      </c>
      <c r="K4443" s="2" t="s">
        <v>5</v>
      </c>
      <c r="L4443" s="2" t="s">
        <v>5</v>
      </c>
      <c r="M4443" s="2" t="s">
        <v>5</v>
      </c>
      <c r="N4443" s="4">
        <v>0</v>
      </c>
    </row>
    <row r="4444" spans="1:14" x14ac:dyDescent="0.25">
      <c r="A4444" s="2" t="s">
        <v>1852</v>
      </c>
      <c r="B4444" s="2" t="s">
        <v>1853</v>
      </c>
      <c r="C4444" s="3">
        <v>5.12</v>
      </c>
      <c r="D4444" s="4">
        <v>83.2</v>
      </c>
      <c r="E4444" s="4">
        <v>41.472000000000001</v>
      </c>
      <c r="F4444" s="4">
        <f t="shared" si="277"/>
        <v>41.728000000000002</v>
      </c>
      <c r="G4444" s="5">
        <f t="shared" si="278"/>
        <v>0.50153846153846149</v>
      </c>
      <c r="H4444" s="2" t="s">
        <v>5</v>
      </c>
      <c r="I4444" s="6" t="s">
        <v>2300</v>
      </c>
      <c r="J4444" s="2" t="s">
        <v>5</v>
      </c>
      <c r="K4444" s="2" t="s">
        <v>5</v>
      </c>
      <c r="L4444" s="2" t="s">
        <v>5</v>
      </c>
      <c r="M4444" s="2" t="s">
        <v>5</v>
      </c>
      <c r="N4444" s="4">
        <v>0</v>
      </c>
    </row>
    <row r="4445" spans="1:14" x14ac:dyDescent="0.25">
      <c r="A4445" s="2" t="s">
        <v>1835</v>
      </c>
      <c r="B4445" s="2" t="s">
        <v>1836</v>
      </c>
      <c r="C4445" s="3">
        <v>29.5</v>
      </c>
      <c r="D4445" s="4">
        <v>566.69500000000005</v>
      </c>
      <c r="E4445" s="4">
        <v>280.25</v>
      </c>
      <c r="F4445" s="4">
        <f t="shared" si="277"/>
        <v>286.44500000000005</v>
      </c>
      <c r="G4445" s="5">
        <f t="shared" si="278"/>
        <v>0.5054659031754295</v>
      </c>
      <c r="H4445" s="2" t="s">
        <v>5</v>
      </c>
      <c r="I4445" s="6" t="s">
        <v>2300</v>
      </c>
      <c r="J4445" s="2" t="s">
        <v>5</v>
      </c>
      <c r="K4445" s="2" t="s">
        <v>5</v>
      </c>
      <c r="L4445" s="2" t="s">
        <v>5</v>
      </c>
      <c r="M4445" s="2" t="s">
        <v>5</v>
      </c>
      <c r="N4445" s="4">
        <v>0</v>
      </c>
    </row>
    <row r="4446" spans="1:14" x14ac:dyDescent="0.25">
      <c r="A4446" s="2" t="s">
        <v>1854</v>
      </c>
      <c r="B4446" s="2" t="s">
        <v>1855</v>
      </c>
      <c r="C4446" s="3">
        <v>-31</v>
      </c>
      <c r="D4446" s="4">
        <v>-411.68</v>
      </c>
      <c r="E4446" s="4">
        <v>-226.3</v>
      </c>
      <c r="F4446" s="4">
        <f t="shared" si="277"/>
        <v>-185.38</v>
      </c>
      <c r="G4446" s="5">
        <f t="shared" si="278"/>
        <v>0.4503012048192771</v>
      </c>
      <c r="H4446" s="2" t="s">
        <v>5</v>
      </c>
      <c r="I4446" s="6" t="s">
        <v>2300</v>
      </c>
      <c r="J4446" s="2" t="s">
        <v>5</v>
      </c>
      <c r="K4446" s="2" t="s">
        <v>5</v>
      </c>
      <c r="L4446" s="2" t="s">
        <v>5</v>
      </c>
      <c r="M4446" s="2" t="s">
        <v>5</v>
      </c>
      <c r="N4446" s="4">
        <v>0</v>
      </c>
    </row>
    <row r="4447" spans="1:14" x14ac:dyDescent="0.25">
      <c r="A4447" s="2" t="s">
        <v>1854</v>
      </c>
      <c r="B4447" s="2" t="s">
        <v>1855</v>
      </c>
      <c r="C4447" s="3">
        <v>8.6</v>
      </c>
      <c r="D4447" s="4">
        <v>114.208</v>
      </c>
      <c r="E4447" s="4">
        <v>62.78</v>
      </c>
      <c r="F4447" s="4">
        <f t="shared" si="277"/>
        <v>51.427999999999997</v>
      </c>
      <c r="G4447" s="5">
        <f t="shared" si="278"/>
        <v>0.4503012048192771</v>
      </c>
      <c r="H4447" s="2" t="s">
        <v>5</v>
      </c>
      <c r="I4447" s="6" t="s">
        <v>2300</v>
      </c>
      <c r="J4447" s="2" t="s">
        <v>5</v>
      </c>
      <c r="K4447" s="2" t="s">
        <v>5</v>
      </c>
      <c r="L4447" s="2" t="s">
        <v>5</v>
      </c>
      <c r="M4447" s="2" t="s">
        <v>5</v>
      </c>
      <c r="N4447" s="4">
        <v>0</v>
      </c>
    </row>
    <row r="4448" spans="1:14" x14ac:dyDescent="0.25">
      <c r="A4448" s="2" t="s">
        <v>1854</v>
      </c>
      <c r="B4448" s="2" t="s">
        <v>1855</v>
      </c>
      <c r="C4448" s="3">
        <v>13.27</v>
      </c>
      <c r="D4448" s="4">
        <v>176.22559999999999</v>
      </c>
      <c r="E4448" s="4">
        <v>96.870999999999995</v>
      </c>
      <c r="F4448" s="4">
        <f t="shared" si="277"/>
        <v>79.354599999999991</v>
      </c>
      <c r="G4448" s="5">
        <f t="shared" si="278"/>
        <v>0.4503012048192771</v>
      </c>
      <c r="H4448" s="2" t="s">
        <v>5</v>
      </c>
      <c r="I4448" s="6" t="s">
        <v>2300</v>
      </c>
      <c r="J4448" s="2" t="s">
        <v>5</v>
      </c>
      <c r="K4448" s="2" t="s">
        <v>5</v>
      </c>
      <c r="L4448" s="2" t="s">
        <v>5</v>
      </c>
      <c r="M4448" s="2" t="s">
        <v>5</v>
      </c>
      <c r="N4448" s="4">
        <v>0</v>
      </c>
    </row>
    <row r="4449" spans="1:14" x14ac:dyDescent="0.25">
      <c r="A4449" s="2" t="s">
        <v>1810</v>
      </c>
      <c r="B4449" s="2" t="s">
        <v>1811</v>
      </c>
      <c r="C4449" s="3">
        <v>20.350000000000001</v>
      </c>
      <c r="D4449" s="4">
        <v>256.61349999999999</v>
      </c>
      <c r="E4449" s="4">
        <v>144.48500000000001</v>
      </c>
      <c r="F4449" s="4">
        <f t="shared" ref="F4449:F4512" si="279">D4449-E4449</f>
        <v>112.12849999999997</v>
      </c>
      <c r="G4449" s="5">
        <f t="shared" ref="G4449:G4512" si="280">IF(((D4449)=0),0,(D4449-E4449)/ D4449)</f>
        <v>0.43695479777953999</v>
      </c>
      <c r="H4449" s="2" t="s">
        <v>5</v>
      </c>
      <c r="I4449" s="6" t="s">
        <v>2300</v>
      </c>
      <c r="J4449" s="2" t="s">
        <v>5</v>
      </c>
      <c r="K4449" s="2" t="s">
        <v>5</v>
      </c>
      <c r="L4449" s="2" t="s">
        <v>5</v>
      </c>
      <c r="M4449" s="2" t="s">
        <v>5</v>
      </c>
      <c r="N4449" s="4">
        <v>0</v>
      </c>
    </row>
    <row r="4450" spans="1:14" x14ac:dyDescent="0.25">
      <c r="A4450" s="2" t="s">
        <v>1810</v>
      </c>
      <c r="B4450" s="2" t="s">
        <v>1811</v>
      </c>
      <c r="C4450" s="3">
        <v>5.0999999999999996</v>
      </c>
      <c r="D4450" s="4">
        <v>64.311000000000007</v>
      </c>
      <c r="E4450" s="4">
        <v>36.21</v>
      </c>
      <c r="F4450" s="4">
        <f t="shared" si="279"/>
        <v>28.101000000000006</v>
      </c>
      <c r="G4450" s="5">
        <f t="shared" si="280"/>
        <v>0.43695479777954011</v>
      </c>
      <c r="H4450" s="2" t="s">
        <v>5</v>
      </c>
      <c r="I4450" s="6" t="s">
        <v>2300</v>
      </c>
      <c r="J4450" s="2" t="s">
        <v>5</v>
      </c>
      <c r="K4450" s="2" t="s">
        <v>5</v>
      </c>
      <c r="L4450" s="2" t="s">
        <v>5</v>
      </c>
      <c r="M4450" s="2" t="s">
        <v>5</v>
      </c>
      <c r="N4450" s="4">
        <v>0</v>
      </c>
    </row>
    <row r="4451" spans="1:14" x14ac:dyDescent="0.25">
      <c r="A4451" s="2" t="s">
        <v>1810</v>
      </c>
      <c r="B4451" s="2" t="s">
        <v>1811</v>
      </c>
      <c r="C4451" s="3">
        <v>10.404999999999999</v>
      </c>
      <c r="D4451" s="4">
        <v>131.20705000000001</v>
      </c>
      <c r="E4451" s="4">
        <v>73.875500000000002</v>
      </c>
      <c r="F4451" s="4">
        <f t="shared" si="279"/>
        <v>57.331550000000007</v>
      </c>
      <c r="G4451" s="5">
        <f t="shared" si="280"/>
        <v>0.43695479777954005</v>
      </c>
      <c r="H4451" s="2" t="s">
        <v>5</v>
      </c>
      <c r="I4451" s="6" t="s">
        <v>2300</v>
      </c>
      <c r="J4451" s="2" t="s">
        <v>5</v>
      </c>
      <c r="K4451" s="2" t="s">
        <v>5</v>
      </c>
      <c r="L4451" s="2" t="s">
        <v>5</v>
      </c>
      <c r="M4451" s="2" t="s">
        <v>5</v>
      </c>
      <c r="N4451" s="4">
        <v>0</v>
      </c>
    </row>
    <row r="4452" spans="1:14" x14ac:dyDescent="0.25">
      <c r="A4452" s="2" t="s">
        <v>1810</v>
      </c>
      <c r="B4452" s="2" t="s">
        <v>1811</v>
      </c>
      <c r="C4452" s="3">
        <v>10.08</v>
      </c>
      <c r="D4452" s="4">
        <v>127.1088</v>
      </c>
      <c r="E4452" s="4">
        <v>71.567999999999998</v>
      </c>
      <c r="F4452" s="4">
        <f t="shared" si="279"/>
        <v>55.540800000000004</v>
      </c>
      <c r="G4452" s="5">
        <f t="shared" si="280"/>
        <v>0.43695479777954005</v>
      </c>
      <c r="H4452" s="2" t="s">
        <v>5</v>
      </c>
      <c r="I4452" s="6" t="s">
        <v>2300</v>
      </c>
      <c r="J4452" s="2" t="s">
        <v>5</v>
      </c>
      <c r="K4452" s="2" t="s">
        <v>5</v>
      </c>
      <c r="L4452" s="2" t="s">
        <v>5</v>
      </c>
      <c r="M4452" s="2" t="s">
        <v>5</v>
      </c>
      <c r="N4452" s="4">
        <v>0</v>
      </c>
    </row>
    <row r="4453" spans="1:14" x14ac:dyDescent="0.25">
      <c r="A4453" s="2" t="s">
        <v>1812</v>
      </c>
      <c r="B4453" s="2" t="s">
        <v>1813</v>
      </c>
      <c r="C4453" s="3">
        <v>10.96</v>
      </c>
      <c r="D4453" s="4">
        <v>161.00239999999999</v>
      </c>
      <c r="E4453" s="4">
        <v>88.775999999999996</v>
      </c>
      <c r="F4453" s="4">
        <f t="shared" si="279"/>
        <v>72.226399999999998</v>
      </c>
      <c r="G4453" s="5">
        <f t="shared" si="280"/>
        <v>0.44860449285228049</v>
      </c>
      <c r="H4453" s="2" t="s">
        <v>5</v>
      </c>
      <c r="I4453" s="6" t="s">
        <v>2300</v>
      </c>
      <c r="J4453" s="2" t="s">
        <v>5</v>
      </c>
      <c r="K4453" s="2" t="s">
        <v>5</v>
      </c>
      <c r="L4453" s="2" t="s">
        <v>5</v>
      </c>
      <c r="M4453" s="2" t="s">
        <v>5</v>
      </c>
      <c r="N4453" s="4">
        <v>0</v>
      </c>
    </row>
    <row r="4454" spans="1:14" x14ac:dyDescent="0.25">
      <c r="A4454" s="2" t="s">
        <v>1812</v>
      </c>
      <c r="B4454" s="2" t="s">
        <v>1813</v>
      </c>
      <c r="C4454" s="3">
        <v>21.52</v>
      </c>
      <c r="D4454" s="4">
        <v>316.12880000000001</v>
      </c>
      <c r="E4454" s="4">
        <v>174.31200000000001</v>
      </c>
      <c r="F4454" s="4">
        <f t="shared" si="279"/>
        <v>141.8168</v>
      </c>
      <c r="G4454" s="5">
        <f t="shared" si="280"/>
        <v>0.44860449285228043</v>
      </c>
      <c r="H4454" s="2" t="s">
        <v>5</v>
      </c>
      <c r="I4454" s="6" t="s">
        <v>2300</v>
      </c>
      <c r="J4454" s="2" t="s">
        <v>5</v>
      </c>
      <c r="K4454" s="2" t="s">
        <v>5</v>
      </c>
      <c r="L4454" s="2" t="s">
        <v>5</v>
      </c>
      <c r="M4454" s="2" t="s">
        <v>5</v>
      </c>
      <c r="N4454" s="4">
        <v>0</v>
      </c>
    </row>
    <row r="4455" spans="1:14" x14ac:dyDescent="0.25">
      <c r="A4455" s="2" t="s">
        <v>1812</v>
      </c>
      <c r="B4455" s="2" t="s">
        <v>1813</v>
      </c>
      <c r="C4455" s="3">
        <v>12.74</v>
      </c>
      <c r="D4455" s="4">
        <v>187.1506</v>
      </c>
      <c r="E4455" s="4">
        <v>103.194</v>
      </c>
      <c r="F4455" s="4">
        <f t="shared" si="279"/>
        <v>83.956599999999995</v>
      </c>
      <c r="G4455" s="5">
        <f t="shared" si="280"/>
        <v>0.44860449285228043</v>
      </c>
      <c r="H4455" s="2" t="s">
        <v>5</v>
      </c>
      <c r="I4455" s="6" t="s">
        <v>2300</v>
      </c>
      <c r="J4455" s="2" t="s">
        <v>5</v>
      </c>
      <c r="K4455" s="2" t="s">
        <v>5</v>
      </c>
      <c r="L4455" s="2" t="s">
        <v>5</v>
      </c>
      <c r="M4455" s="2" t="s">
        <v>5</v>
      </c>
      <c r="N4455" s="4">
        <v>0</v>
      </c>
    </row>
    <row r="4456" spans="1:14" x14ac:dyDescent="0.25">
      <c r="A4456" s="2" t="s">
        <v>1812</v>
      </c>
      <c r="B4456" s="2" t="s">
        <v>1813</v>
      </c>
      <c r="C4456" s="3">
        <v>11.86</v>
      </c>
      <c r="D4456" s="4">
        <v>174.2234</v>
      </c>
      <c r="E4456" s="4">
        <v>96.066000000000003</v>
      </c>
      <c r="F4456" s="4">
        <f t="shared" si="279"/>
        <v>78.157399999999996</v>
      </c>
      <c r="G4456" s="5">
        <f t="shared" si="280"/>
        <v>0.44860449285228043</v>
      </c>
      <c r="H4456" s="2" t="s">
        <v>5</v>
      </c>
      <c r="I4456" s="6" t="s">
        <v>2300</v>
      </c>
      <c r="J4456" s="2" t="s">
        <v>5</v>
      </c>
      <c r="K4456" s="2" t="s">
        <v>5</v>
      </c>
      <c r="L4456" s="2" t="s">
        <v>5</v>
      </c>
      <c r="M4456" s="2" t="s">
        <v>5</v>
      </c>
      <c r="N4456" s="4">
        <v>0</v>
      </c>
    </row>
    <row r="4457" spans="1:14" x14ac:dyDescent="0.25">
      <c r="A4457" s="2" t="s">
        <v>1812</v>
      </c>
      <c r="B4457" s="2" t="s">
        <v>1813</v>
      </c>
      <c r="C4457" s="3">
        <v>22.79</v>
      </c>
      <c r="D4457" s="4">
        <v>334.7851</v>
      </c>
      <c r="E4457" s="4">
        <v>184.59899999999999</v>
      </c>
      <c r="F4457" s="4">
        <f t="shared" si="279"/>
        <v>150.18610000000001</v>
      </c>
      <c r="G4457" s="5">
        <f t="shared" si="280"/>
        <v>0.44860449285228049</v>
      </c>
      <c r="H4457" s="2" t="s">
        <v>5</v>
      </c>
      <c r="I4457" s="6" t="s">
        <v>2300</v>
      </c>
      <c r="J4457" s="2" t="s">
        <v>5</v>
      </c>
      <c r="K4457" s="2" t="s">
        <v>5</v>
      </c>
      <c r="L4457" s="2" t="s">
        <v>5</v>
      </c>
      <c r="M4457" s="2" t="s">
        <v>5</v>
      </c>
      <c r="N4457" s="4">
        <v>0</v>
      </c>
    </row>
    <row r="4458" spans="1:14" x14ac:dyDescent="0.25">
      <c r="A4458" s="2" t="s">
        <v>1977</v>
      </c>
      <c r="B4458" s="2" t="s">
        <v>1978</v>
      </c>
      <c r="C4458" s="3">
        <v>7.32</v>
      </c>
      <c r="D4458" s="4">
        <v>92.305199999999999</v>
      </c>
      <c r="E4458" s="4">
        <v>51.972000000000001</v>
      </c>
      <c r="F4458" s="4">
        <f t="shared" si="279"/>
        <v>40.333199999999998</v>
      </c>
      <c r="G4458" s="5">
        <f t="shared" si="280"/>
        <v>0.43695479777954005</v>
      </c>
      <c r="H4458" s="2" t="s">
        <v>5</v>
      </c>
      <c r="I4458" s="6" t="s">
        <v>2300</v>
      </c>
      <c r="J4458" s="2" t="s">
        <v>5</v>
      </c>
      <c r="K4458" s="2" t="s">
        <v>5</v>
      </c>
      <c r="L4458" s="2" t="s">
        <v>5</v>
      </c>
      <c r="M4458" s="2" t="s">
        <v>5</v>
      </c>
      <c r="N4458" s="4">
        <v>0</v>
      </c>
    </row>
    <row r="4459" spans="1:14" x14ac:dyDescent="0.25">
      <c r="A4459" s="2" t="s">
        <v>1977</v>
      </c>
      <c r="B4459" s="2" t="s">
        <v>1978</v>
      </c>
      <c r="C4459" s="3">
        <v>57.73</v>
      </c>
      <c r="D4459" s="4">
        <v>727.97529999999995</v>
      </c>
      <c r="E4459" s="4">
        <v>409.88299999999998</v>
      </c>
      <c r="F4459" s="4">
        <f t="shared" si="279"/>
        <v>318.09229999999997</v>
      </c>
      <c r="G4459" s="5">
        <f t="shared" si="280"/>
        <v>0.43695479777954005</v>
      </c>
      <c r="H4459" s="2" t="s">
        <v>5</v>
      </c>
      <c r="I4459" s="6" t="s">
        <v>2300</v>
      </c>
      <c r="J4459" s="2" t="s">
        <v>5</v>
      </c>
      <c r="K4459" s="2" t="s">
        <v>5</v>
      </c>
      <c r="L4459" s="2" t="s">
        <v>5</v>
      </c>
      <c r="M4459" s="2" t="s">
        <v>5</v>
      </c>
      <c r="N4459" s="4">
        <v>0</v>
      </c>
    </row>
    <row r="4460" spans="1:14" x14ac:dyDescent="0.25">
      <c r="A4460" s="2" t="s">
        <v>1814</v>
      </c>
      <c r="B4460" s="2" t="s">
        <v>1815</v>
      </c>
      <c r="C4460" s="3">
        <v>25.49</v>
      </c>
      <c r="D4460" s="4">
        <v>321.4289</v>
      </c>
      <c r="E4460" s="4">
        <v>180.97900000000001</v>
      </c>
      <c r="F4460" s="4">
        <f t="shared" si="279"/>
        <v>140.44989999999999</v>
      </c>
      <c r="G4460" s="5">
        <f t="shared" si="280"/>
        <v>0.43695479777953999</v>
      </c>
      <c r="H4460" s="2" t="s">
        <v>5</v>
      </c>
      <c r="I4460" s="6" t="s">
        <v>2300</v>
      </c>
      <c r="J4460" s="2" t="s">
        <v>5</v>
      </c>
      <c r="K4460" s="2" t="s">
        <v>5</v>
      </c>
      <c r="L4460" s="2" t="s">
        <v>5</v>
      </c>
      <c r="M4460" s="2" t="s">
        <v>5</v>
      </c>
      <c r="N4460" s="4">
        <v>0</v>
      </c>
    </row>
    <row r="4461" spans="1:14" x14ac:dyDescent="0.25">
      <c r="A4461" s="2" t="s">
        <v>1814</v>
      </c>
      <c r="B4461" s="2" t="s">
        <v>1815</v>
      </c>
      <c r="C4461" s="3">
        <v>10.06</v>
      </c>
      <c r="D4461" s="4">
        <v>126.8566</v>
      </c>
      <c r="E4461" s="4">
        <v>71.426000000000002</v>
      </c>
      <c r="F4461" s="4">
        <f t="shared" si="279"/>
        <v>55.430599999999998</v>
      </c>
      <c r="G4461" s="5">
        <f t="shared" si="280"/>
        <v>0.43695479777954005</v>
      </c>
      <c r="H4461" s="2" t="s">
        <v>5</v>
      </c>
      <c r="I4461" s="6" t="s">
        <v>2300</v>
      </c>
      <c r="J4461" s="2" t="s">
        <v>5</v>
      </c>
      <c r="K4461" s="2" t="s">
        <v>5</v>
      </c>
      <c r="L4461" s="2" t="s">
        <v>5</v>
      </c>
      <c r="M4461" s="2" t="s">
        <v>5</v>
      </c>
      <c r="N4461" s="4">
        <v>0</v>
      </c>
    </row>
    <row r="4462" spans="1:14" x14ac:dyDescent="0.25">
      <c r="A4462" s="2" t="s">
        <v>1816</v>
      </c>
      <c r="B4462" s="2" t="s">
        <v>1817</v>
      </c>
      <c r="C4462" s="3">
        <v>10.244999999999999</v>
      </c>
      <c r="D4462" s="4">
        <v>166.48124999999999</v>
      </c>
      <c r="E4462" s="4">
        <v>89.643749999999997</v>
      </c>
      <c r="F4462" s="4">
        <f t="shared" si="279"/>
        <v>76.837499999999991</v>
      </c>
      <c r="G4462" s="5">
        <f t="shared" si="280"/>
        <v>0.46153846153846151</v>
      </c>
      <c r="H4462" s="2" t="s">
        <v>5</v>
      </c>
      <c r="I4462" s="6" t="s">
        <v>2300</v>
      </c>
      <c r="J4462" s="2" t="s">
        <v>5</v>
      </c>
      <c r="K4462" s="2" t="s">
        <v>5</v>
      </c>
      <c r="L4462" s="2" t="s">
        <v>5</v>
      </c>
      <c r="M4462" s="2" t="s">
        <v>5</v>
      </c>
      <c r="N4462" s="4">
        <v>0</v>
      </c>
    </row>
    <row r="4463" spans="1:14" x14ac:dyDescent="0.25">
      <c r="A4463" s="2" t="s">
        <v>1816</v>
      </c>
      <c r="B4463" s="2" t="s">
        <v>1817</v>
      </c>
      <c r="C4463" s="3">
        <v>25.475000000000001</v>
      </c>
      <c r="D4463" s="4">
        <v>413.96875</v>
      </c>
      <c r="E4463" s="4">
        <v>222.90625</v>
      </c>
      <c r="F4463" s="4">
        <f t="shared" si="279"/>
        <v>191.0625</v>
      </c>
      <c r="G4463" s="5">
        <f t="shared" si="280"/>
        <v>0.46153846153846156</v>
      </c>
      <c r="H4463" s="2" t="s">
        <v>5</v>
      </c>
      <c r="I4463" s="6" t="s">
        <v>2300</v>
      </c>
      <c r="J4463" s="2" t="s">
        <v>5</v>
      </c>
      <c r="K4463" s="2" t="s">
        <v>5</v>
      </c>
      <c r="L4463" s="2" t="s">
        <v>5</v>
      </c>
      <c r="M4463" s="2" t="s">
        <v>5</v>
      </c>
      <c r="N4463" s="4">
        <v>0</v>
      </c>
    </row>
    <row r="4464" spans="1:14" x14ac:dyDescent="0.25">
      <c r="A4464" s="2" t="s">
        <v>1816</v>
      </c>
      <c r="B4464" s="2" t="s">
        <v>1817</v>
      </c>
      <c r="C4464" s="3">
        <v>25.69</v>
      </c>
      <c r="D4464" s="4">
        <v>417.46249999999998</v>
      </c>
      <c r="E4464" s="4">
        <v>224.78749999999999</v>
      </c>
      <c r="F4464" s="4">
        <f t="shared" si="279"/>
        <v>192.67499999999998</v>
      </c>
      <c r="G4464" s="5">
        <f t="shared" si="280"/>
        <v>0.46153846153846151</v>
      </c>
      <c r="H4464" s="2" t="s">
        <v>5</v>
      </c>
      <c r="I4464" s="6" t="s">
        <v>2300</v>
      </c>
      <c r="J4464" s="2" t="s">
        <v>5</v>
      </c>
      <c r="K4464" s="2" t="s">
        <v>5</v>
      </c>
      <c r="L4464" s="2" t="s">
        <v>5</v>
      </c>
      <c r="M4464" s="2" t="s">
        <v>5</v>
      </c>
      <c r="N4464" s="4">
        <v>0</v>
      </c>
    </row>
    <row r="4465" spans="1:14" x14ac:dyDescent="0.25">
      <c r="A4465" s="2" t="s">
        <v>1979</v>
      </c>
      <c r="B4465" s="2" t="s">
        <v>1980</v>
      </c>
      <c r="C4465" s="3">
        <v>30.85</v>
      </c>
      <c r="D4465" s="4">
        <v>476.01549999999997</v>
      </c>
      <c r="E4465" s="4">
        <v>246.8</v>
      </c>
      <c r="F4465" s="4">
        <f t="shared" si="279"/>
        <v>229.21549999999996</v>
      </c>
      <c r="G4465" s="5">
        <f t="shared" si="280"/>
        <v>0.48152948801036938</v>
      </c>
      <c r="H4465" s="2" t="s">
        <v>5</v>
      </c>
      <c r="I4465" s="6" t="s">
        <v>2300</v>
      </c>
      <c r="J4465" s="2" t="s">
        <v>5</v>
      </c>
      <c r="K4465" s="2" t="s">
        <v>5</v>
      </c>
      <c r="L4465" s="2" t="s">
        <v>5</v>
      </c>
      <c r="M4465" s="2" t="s">
        <v>5</v>
      </c>
      <c r="N4465" s="4">
        <v>0</v>
      </c>
    </row>
    <row r="4466" spans="1:14" x14ac:dyDescent="0.25">
      <c r="A4466" s="2" t="s">
        <v>1892</v>
      </c>
      <c r="B4466" s="2" t="s">
        <v>1893</v>
      </c>
      <c r="C4466" s="3">
        <v>60.82</v>
      </c>
      <c r="D4466" s="4">
        <v>1800.2719999999999</v>
      </c>
      <c r="E4466" s="4">
        <v>760.25</v>
      </c>
      <c r="F4466" s="4">
        <f t="shared" si="279"/>
        <v>1040.0219999999999</v>
      </c>
      <c r="G4466" s="5">
        <f t="shared" si="280"/>
        <v>0.57770270270270274</v>
      </c>
      <c r="H4466" s="2" t="s">
        <v>5</v>
      </c>
      <c r="I4466" s="6" t="s">
        <v>2300</v>
      </c>
      <c r="J4466" s="2" t="s">
        <v>5</v>
      </c>
      <c r="K4466" s="2" t="s">
        <v>5</v>
      </c>
      <c r="L4466" s="2" t="s">
        <v>5</v>
      </c>
      <c r="M4466" s="2" t="s">
        <v>5</v>
      </c>
      <c r="N4466" s="4">
        <v>0</v>
      </c>
    </row>
    <row r="4467" spans="1:14" x14ac:dyDescent="0.25">
      <c r="A4467" s="2" t="s">
        <v>1892</v>
      </c>
      <c r="B4467" s="2" t="s">
        <v>1893</v>
      </c>
      <c r="C4467" s="3">
        <v>8.5250000000000004</v>
      </c>
      <c r="D4467" s="4">
        <v>252.34</v>
      </c>
      <c r="E4467" s="4">
        <v>106.5625</v>
      </c>
      <c r="F4467" s="4">
        <f t="shared" si="279"/>
        <v>145.7775</v>
      </c>
      <c r="G4467" s="5">
        <f t="shared" si="280"/>
        <v>0.57770270270270274</v>
      </c>
      <c r="H4467" s="2" t="s">
        <v>5</v>
      </c>
      <c r="I4467" s="6" t="s">
        <v>2300</v>
      </c>
      <c r="J4467" s="2" t="s">
        <v>5</v>
      </c>
      <c r="K4467" s="2" t="s">
        <v>5</v>
      </c>
      <c r="L4467" s="2" t="s">
        <v>5</v>
      </c>
      <c r="M4467" s="2" t="s">
        <v>5</v>
      </c>
      <c r="N4467" s="4">
        <v>0</v>
      </c>
    </row>
    <row r="4468" spans="1:14" x14ac:dyDescent="0.25">
      <c r="A4468" s="2" t="s">
        <v>1892</v>
      </c>
      <c r="B4468" s="2" t="s">
        <v>1893</v>
      </c>
      <c r="C4468" s="3">
        <v>10.37</v>
      </c>
      <c r="D4468" s="4">
        <v>306.952</v>
      </c>
      <c r="E4468" s="4">
        <v>129.625</v>
      </c>
      <c r="F4468" s="4">
        <f t="shared" si="279"/>
        <v>177.327</v>
      </c>
      <c r="G4468" s="5">
        <f t="shared" si="280"/>
        <v>0.57770270270270274</v>
      </c>
      <c r="H4468" s="2" t="s">
        <v>5</v>
      </c>
      <c r="I4468" s="6" t="s">
        <v>2300</v>
      </c>
      <c r="J4468" s="2" t="s">
        <v>5</v>
      </c>
      <c r="K4468" s="2" t="s">
        <v>5</v>
      </c>
      <c r="L4468" s="2" t="s">
        <v>5</v>
      </c>
      <c r="M4468" s="2" t="s">
        <v>5</v>
      </c>
      <c r="N4468" s="4">
        <v>0</v>
      </c>
    </row>
    <row r="4469" spans="1:14" x14ac:dyDescent="0.25">
      <c r="A4469" s="2" t="s">
        <v>1892</v>
      </c>
      <c r="B4469" s="2" t="s">
        <v>1893</v>
      </c>
      <c r="C4469" s="3">
        <v>121.045</v>
      </c>
      <c r="D4469" s="4">
        <v>3582.9319999999998</v>
      </c>
      <c r="E4469" s="4">
        <v>1513.0625</v>
      </c>
      <c r="F4469" s="4">
        <f t="shared" si="279"/>
        <v>2069.8694999999998</v>
      </c>
      <c r="G4469" s="5">
        <f t="shared" si="280"/>
        <v>0.57770270270270263</v>
      </c>
      <c r="H4469" s="2" t="s">
        <v>5</v>
      </c>
      <c r="I4469" s="6" t="s">
        <v>2300</v>
      </c>
      <c r="J4469" s="2" t="s">
        <v>5</v>
      </c>
      <c r="K4469" s="2" t="s">
        <v>5</v>
      </c>
      <c r="L4469" s="2" t="s">
        <v>5</v>
      </c>
      <c r="M4469" s="2" t="s">
        <v>5</v>
      </c>
      <c r="N4469" s="4">
        <v>0</v>
      </c>
    </row>
    <row r="4470" spans="1:14" x14ac:dyDescent="0.25">
      <c r="A4470" s="2" t="s">
        <v>1913</v>
      </c>
      <c r="B4470" s="2" t="s">
        <v>1914</v>
      </c>
      <c r="C4470" s="3">
        <v>80.734999999999999</v>
      </c>
      <c r="D4470" s="4">
        <v>2389.7559999999999</v>
      </c>
      <c r="E4470" s="4">
        <v>1009.1875</v>
      </c>
      <c r="F4470" s="4">
        <f t="shared" si="279"/>
        <v>1380.5684999999999</v>
      </c>
      <c r="G4470" s="5">
        <f t="shared" si="280"/>
        <v>0.57770270270270263</v>
      </c>
      <c r="H4470" s="2" t="s">
        <v>5</v>
      </c>
      <c r="I4470" s="6" t="s">
        <v>2300</v>
      </c>
      <c r="J4470" s="2" t="s">
        <v>5</v>
      </c>
      <c r="K4470" s="2" t="s">
        <v>5</v>
      </c>
      <c r="L4470" s="2" t="s">
        <v>5</v>
      </c>
      <c r="M4470" s="2" t="s">
        <v>5</v>
      </c>
      <c r="N4470" s="4">
        <v>0</v>
      </c>
    </row>
    <row r="4471" spans="1:14" x14ac:dyDescent="0.25">
      <c r="A4471" s="2" t="s">
        <v>1856</v>
      </c>
      <c r="B4471" s="2" t="s">
        <v>1857</v>
      </c>
      <c r="C4471" s="3">
        <v>16.3</v>
      </c>
      <c r="D4471" s="4">
        <v>409.94499999999999</v>
      </c>
      <c r="E4471" s="4">
        <v>224.125</v>
      </c>
      <c r="F4471" s="4">
        <f t="shared" si="279"/>
        <v>185.82</v>
      </c>
      <c r="G4471" s="5">
        <f t="shared" si="280"/>
        <v>0.45328031809145131</v>
      </c>
      <c r="H4471" s="2" t="s">
        <v>5</v>
      </c>
      <c r="I4471" s="6" t="s">
        <v>2300</v>
      </c>
      <c r="J4471" s="2" t="s">
        <v>5</v>
      </c>
      <c r="K4471" s="2" t="s">
        <v>5</v>
      </c>
      <c r="L4471" s="2" t="s">
        <v>5</v>
      </c>
      <c r="M4471" s="2" t="s">
        <v>5</v>
      </c>
      <c r="N4471" s="4">
        <v>0</v>
      </c>
    </row>
    <row r="4472" spans="1:14" x14ac:dyDescent="0.25">
      <c r="A4472" s="2" t="s">
        <v>1894</v>
      </c>
      <c r="B4472" s="2" t="s">
        <v>1895</v>
      </c>
      <c r="C4472" s="3">
        <v>29.625</v>
      </c>
      <c r="D4472" s="4">
        <v>399.9375</v>
      </c>
      <c r="E4472" s="4">
        <v>222.1875</v>
      </c>
      <c r="F4472" s="4">
        <f t="shared" si="279"/>
        <v>177.75</v>
      </c>
      <c r="G4472" s="5">
        <f t="shared" si="280"/>
        <v>0.44444444444444442</v>
      </c>
      <c r="H4472" s="2" t="s">
        <v>5</v>
      </c>
      <c r="I4472" s="6" t="s">
        <v>2300</v>
      </c>
      <c r="J4472" s="2" t="s">
        <v>5</v>
      </c>
      <c r="K4472" s="2" t="s">
        <v>5</v>
      </c>
      <c r="L4472" s="2" t="s">
        <v>5</v>
      </c>
      <c r="M4472" s="2" t="s">
        <v>5</v>
      </c>
      <c r="N4472" s="4">
        <v>0</v>
      </c>
    </row>
    <row r="4473" spans="1:14" x14ac:dyDescent="0.25">
      <c r="A4473" s="2" t="s">
        <v>1858</v>
      </c>
      <c r="B4473" s="2" t="s">
        <v>1859</v>
      </c>
      <c r="C4473" s="3">
        <v>10.45</v>
      </c>
      <c r="D4473" s="4">
        <v>131.77449999999999</v>
      </c>
      <c r="E4473" s="4">
        <v>99.275000000000006</v>
      </c>
      <c r="F4473" s="4">
        <f t="shared" si="279"/>
        <v>32.499499999999983</v>
      </c>
      <c r="G4473" s="5">
        <f t="shared" si="280"/>
        <v>0.24662965900079292</v>
      </c>
      <c r="H4473" s="2" t="s">
        <v>5</v>
      </c>
      <c r="I4473" s="6" t="s">
        <v>2300</v>
      </c>
      <c r="J4473" s="2" t="s">
        <v>5</v>
      </c>
      <c r="K4473" s="2" t="s">
        <v>5</v>
      </c>
      <c r="L4473" s="2" t="s">
        <v>5</v>
      </c>
      <c r="M4473" s="2" t="s">
        <v>5</v>
      </c>
      <c r="N4473" s="4">
        <v>0</v>
      </c>
    </row>
    <row r="4474" spans="1:14" x14ac:dyDescent="0.25">
      <c r="A4474" s="2" t="s">
        <v>1858</v>
      </c>
      <c r="B4474" s="2" t="s">
        <v>1859</v>
      </c>
      <c r="C4474" s="3">
        <v>17.7</v>
      </c>
      <c r="D4474" s="4">
        <v>223.197</v>
      </c>
      <c r="E4474" s="4">
        <v>168.15</v>
      </c>
      <c r="F4474" s="4">
        <f t="shared" si="279"/>
        <v>55.046999999999997</v>
      </c>
      <c r="G4474" s="5">
        <f t="shared" si="280"/>
        <v>0.24662965900079301</v>
      </c>
      <c r="H4474" s="2" t="s">
        <v>5</v>
      </c>
      <c r="I4474" s="6" t="s">
        <v>2300</v>
      </c>
      <c r="J4474" s="2" t="s">
        <v>5</v>
      </c>
      <c r="K4474" s="2" t="s">
        <v>5</v>
      </c>
      <c r="L4474" s="2" t="s">
        <v>5</v>
      </c>
      <c r="M4474" s="2" t="s">
        <v>5</v>
      </c>
      <c r="N4474" s="4">
        <v>0</v>
      </c>
    </row>
    <row r="4475" spans="1:14" x14ac:dyDescent="0.25">
      <c r="A4475" s="2" t="s">
        <v>1858</v>
      </c>
      <c r="B4475" s="2" t="s">
        <v>1859</v>
      </c>
      <c r="C4475" s="3">
        <v>42.734999999999999</v>
      </c>
      <c r="D4475" s="4">
        <v>538.88834999999995</v>
      </c>
      <c r="E4475" s="4">
        <v>405.98250000000002</v>
      </c>
      <c r="F4475" s="4">
        <f t="shared" si="279"/>
        <v>132.90584999999993</v>
      </c>
      <c r="G4475" s="5">
        <f t="shared" si="280"/>
        <v>0.24662965900079292</v>
      </c>
      <c r="H4475" s="2" t="s">
        <v>5</v>
      </c>
      <c r="I4475" s="6" t="s">
        <v>2300</v>
      </c>
      <c r="J4475" s="2" t="s">
        <v>5</v>
      </c>
      <c r="K4475" s="2" t="s">
        <v>5</v>
      </c>
      <c r="L4475" s="2" t="s">
        <v>5</v>
      </c>
      <c r="M4475" s="2" t="s">
        <v>5</v>
      </c>
      <c r="N4475" s="4">
        <v>0</v>
      </c>
    </row>
    <row r="4476" spans="1:14" x14ac:dyDescent="0.25">
      <c r="A4476" s="2" t="s">
        <v>1858</v>
      </c>
      <c r="B4476" s="2" t="s">
        <v>1859</v>
      </c>
      <c r="C4476" s="3">
        <v>72.709999999999994</v>
      </c>
      <c r="D4476" s="4">
        <v>916.87310000000002</v>
      </c>
      <c r="E4476" s="4">
        <v>690.745</v>
      </c>
      <c r="F4476" s="4">
        <f t="shared" si="279"/>
        <v>226.12810000000002</v>
      </c>
      <c r="G4476" s="5">
        <f t="shared" si="280"/>
        <v>0.24662965900079303</v>
      </c>
      <c r="H4476" s="2" t="s">
        <v>5</v>
      </c>
      <c r="I4476" s="6" t="s">
        <v>2300</v>
      </c>
      <c r="J4476" s="2" t="s">
        <v>5</v>
      </c>
      <c r="K4476" s="2" t="s">
        <v>5</v>
      </c>
      <c r="L4476" s="2" t="s">
        <v>5</v>
      </c>
      <c r="M4476" s="2" t="s">
        <v>5</v>
      </c>
      <c r="N4476" s="4">
        <v>0</v>
      </c>
    </row>
    <row r="4477" spans="1:14" x14ac:dyDescent="0.25">
      <c r="A4477" s="2" t="s">
        <v>1858</v>
      </c>
      <c r="B4477" s="2" t="s">
        <v>1859</v>
      </c>
      <c r="C4477" s="3">
        <v>9.3049999999999997</v>
      </c>
      <c r="D4477" s="4">
        <v>117.33605</v>
      </c>
      <c r="E4477" s="4">
        <v>88.397499999999994</v>
      </c>
      <c r="F4477" s="4">
        <f t="shared" si="279"/>
        <v>28.938550000000006</v>
      </c>
      <c r="G4477" s="5">
        <f t="shared" si="280"/>
        <v>0.24662965900079309</v>
      </c>
      <c r="H4477" s="2" t="s">
        <v>5</v>
      </c>
      <c r="I4477" s="6" t="s">
        <v>2300</v>
      </c>
      <c r="J4477" s="2" t="s">
        <v>5</v>
      </c>
      <c r="K4477" s="2" t="s">
        <v>5</v>
      </c>
      <c r="L4477" s="2" t="s">
        <v>5</v>
      </c>
      <c r="M4477" s="2" t="s">
        <v>5</v>
      </c>
      <c r="N4477" s="4">
        <v>0</v>
      </c>
    </row>
    <row r="4478" spans="1:14" x14ac:dyDescent="0.25">
      <c r="A4478" s="2" t="s">
        <v>1858</v>
      </c>
      <c r="B4478" s="2" t="s">
        <v>1859</v>
      </c>
      <c r="C4478" s="3">
        <v>57.15</v>
      </c>
      <c r="D4478" s="4">
        <v>720.66150000000005</v>
      </c>
      <c r="E4478" s="4">
        <v>542.92499999999995</v>
      </c>
      <c r="F4478" s="4">
        <f t="shared" si="279"/>
        <v>177.73650000000009</v>
      </c>
      <c r="G4478" s="5">
        <f t="shared" si="280"/>
        <v>0.24662965900079314</v>
      </c>
      <c r="H4478" s="2" t="s">
        <v>5</v>
      </c>
      <c r="I4478" s="6" t="s">
        <v>2300</v>
      </c>
      <c r="J4478" s="2" t="s">
        <v>5</v>
      </c>
      <c r="K4478" s="2" t="s">
        <v>5</v>
      </c>
      <c r="L4478" s="2" t="s">
        <v>5</v>
      </c>
      <c r="M4478" s="2" t="s">
        <v>5</v>
      </c>
      <c r="N4478" s="4">
        <v>0</v>
      </c>
    </row>
    <row r="4479" spans="1:14" x14ac:dyDescent="0.25">
      <c r="A4479" s="2" t="s">
        <v>1818</v>
      </c>
      <c r="B4479" s="2" t="s">
        <v>1819</v>
      </c>
      <c r="C4479" s="3">
        <v>34.020000000000003</v>
      </c>
      <c r="D4479" s="4">
        <v>704.21400000000006</v>
      </c>
      <c r="E4479" s="4">
        <v>374.22</v>
      </c>
      <c r="F4479" s="4">
        <f t="shared" si="279"/>
        <v>329.99400000000003</v>
      </c>
      <c r="G4479" s="5">
        <f t="shared" si="280"/>
        <v>0.46859903381642515</v>
      </c>
      <c r="H4479" s="2" t="s">
        <v>5</v>
      </c>
      <c r="I4479" s="6" t="s">
        <v>2300</v>
      </c>
      <c r="J4479" s="2" t="s">
        <v>5</v>
      </c>
      <c r="K4479" s="2" t="s">
        <v>5</v>
      </c>
      <c r="L4479" s="2" t="s">
        <v>5</v>
      </c>
      <c r="M4479" s="2" t="s">
        <v>5</v>
      </c>
      <c r="N4479" s="4">
        <v>0</v>
      </c>
    </row>
    <row r="4480" spans="1:14" x14ac:dyDescent="0.25">
      <c r="A4480" s="2" t="s">
        <v>1925</v>
      </c>
      <c r="B4480" s="2" t="s">
        <v>1926</v>
      </c>
      <c r="C4480" s="3">
        <v>31.22</v>
      </c>
      <c r="D4480" s="4">
        <v>254.7552</v>
      </c>
      <c r="E4480" s="4">
        <v>159.22200000000001</v>
      </c>
      <c r="F4480" s="4">
        <f t="shared" si="279"/>
        <v>95.533199999999994</v>
      </c>
      <c r="G4480" s="5">
        <f t="shared" si="280"/>
        <v>0.37499999999999994</v>
      </c>
      <c r="H4480" s="2" t="s">
        <v>5</v>
      </c>
      <c r="I4480" s="6" t="s">
        <v>2300</v>
      </c>
      <c r="J4480" s="2" t="s">
        <v>5</v>
      </c>
      <c r="K4480" s="2" t="s">
        <v>5</v>
      </c>
      <c r="L4480" s="2" t="s">
        <v>5</v>
      </c>
      <c r="M4480" s="2" t="s">
        <v>5</v>
      </c>
      <c r="N4480" s="4">
        <v>0</v>
      </c>
    </row>
    <row r="4481" spans="1:14" x14ac:dyDescent="0.25">
      <c r="A4481" s="2" t="s">
        <v>1228</v>
      </c>
      <c r="B4481" s="2" t="s">
        <v>1229</v>
      </c>
      <c r="C4481" s="3">
        <v>11.55</v>
      </c>
      <c r="D4481" s="4">
        <v>93.670500000000004</v>
      </c>
      <c r="E4481" s="4">
        <v>69.1845</v>
      </c>
      <c r="F4481" s="4">
        <f t="shared" si="279"/>
        <v>24.486000000000004</v>
      </c>
      <c r="G4481" s="5">
        <f t="shared" si="280"/>
        <v>0.26140567200986442</v>
      </c>
      <c r="H4481" s="2" t="s">
        <v>5</v>
      </c>
      <c r="I4481" s="6" t="s">
        <v>2300</v>
      </c>
      <c r="J4481" s="2" t="s">
        <v>5</v>
      </c>
      <c r="K4481" s="2" t="s">
        <v>5</v>
      </c>
      <c r="L4481" s="2" t="s">
        <v>5</v>
      </c>
      <c r="M4481" s="2" t="s">
        <v>5</v>
      </c>
      <c r="N4481" s="4">
        <v>0</v>
      </c>
    </row>
    <row r="4482" spans="1:14" x14ac:dyDescent="0.25">
      <c r="A4482" s="2" t="s">
        <v>1095</v>
      </c>
      <c r="B4482" s="2" t="s">
        <v>1096</v>
      </c>
      <c r="C4482" s="3">
        <v>1</v>
      </c>
      <c r="D4482" s="4">
        <v>46.63</v>
      </c>
      <c r="E4482" s="4">
        <v>31.19</v>
      </c>
      <c r="F4482" s="4">
        <f t="shared" si="279"/>
        <v>15.440000000000001</v>
      </c>
      <c r="G4482" s="5">
        <f t="shared" si="280"/>
        <v>0.33111730645507187</v>
      </c>
      <c r="H4482" s="2" t="s">
        <v>5</v>
      </c>
      <c r="I4482" s="6" t="s">
        <v>2300</v>
      </c>
      <c r="J4482" s="2" t="s">
        <v>5</v>
      </c>
      <c r="K4482" s="2" t="s">
        <v>5</v>
      </c>
      <c r="L4482" s="2" t="s">
        <v>5</v>
      </c>
      <c r="M4482" s="2" t="s">
        <v>5</v>
      </c>
      <c r="N4482" s="4">
        <v>0</v>
      </c>
    </row>
    <row r="4483" spans="1:14" x14ac:dyDescent="0.25">
      <c r="A4483" s="2" t="s">
        <v>1095</v>
      </c>
      <c r="B4483" s="2" t="s">
        <v>1096</v>
      </c>
      <c r="C4483" s="3">
        <v>1</v>
      </c>
      <c r="D4483" s="4">
        <v>46.63</v>
      </c>
      <c r="E4483" s="4">
        <v>31.19</v>
      </c>
      <c r="F4483" s="4">
        <f t="shared" si="279"/>
        <v>15.440000000000001</v>
      </c>
      <c r="G4483" s="5">
        <f t="shared" si="280"/>
        <v>0.33111730645507187</v>
      </c>
      <c r="H4483" s="2" t="s">
        <v>5</v>
      </c>
      <c r="I4483" s="6" t="s">
        <v>2300</v>
      </c>
      <c r="J4483" s="2" t="s">
        <v>5</v>
      </c>
      <c r="K4483" s="2" t="s">
        <v>5</v>
      </c>
      <c r="L4483" s="2" t="s">
        <v>5</v>
      </c>
      <c r="M4483" s="2" t="s">
        <v>5</v>
      </c>
      <c r="N4483" s="4">
        <v>0</v>
      </c>
    </row>
    <row r="4484" spans="1:14" x14ac:dyDescent="0.25">
      <c r="A4484" s="2" t="s">
        <v>1095</v>
      </c>
      <c r="B4484" s="2" t="s">
        <v>1096</v>
      </c>
      <c r="C4484" s="3">
        <v>1</v>
      </c>
      <c r="D4484" s="4">
        <v>46.63</v>
      </c>
      <c r="E4484" s="4">
        <v>31.19</v>
      </c>
      <c r="F4484" s="4">
        <f t="shared" si="279"/>
        <v>15.440000000000001</v>
      </c>
      <c r="G4484" s="5">
        <f t="shared" si="280"/>
        <v>0.33111730645507187</v>
      </c>
      <c r="H4484" s="2" t="s">
        <v>5</v>
      </c>
      <c r="I4484" s="6" t="s">
        <v>2300</v>
      </c>
      <c r="J4484" s="2" t="s">
        <v>5</v>
      </c>
      <c r="K4484" s="2" t="s">
        <v>5</v>
      </c>
      <c r="L4484" s="2" t="s">
        <v>5</v>
      </c>
      <c r="M4484" s="2" t="s">
        <v>5</v>
      </c>
      <c r="N4484" s="4">
        <v>0</v>
      </c>
    </row>
    <row r="4485" spans="1:14" x14ac:dyDescent="0.25">
      <c r="A4485" s="2" t="s">
        <v>1097</v>
      </c>
      <c r="B4485" s="2" t="s">
        <v>1098</v>
      </c>
      <c r="C4485" s="3">
        <v>8</v>
      </c>
      <c r="D4485" s="4">
        <v>1458.88</v>
      </c>
      <c r="E4485" s="4">
        <v>984</v>
      </c>
      <c r="F4485" s="4">
        <f t="shared" si="279"/>
        <v>474.88000000000011</v>
      </c>
      <c r="G4485" s="5">
        <f t="shared" si="280"/>
        <v>0.32550998025882877</v>
      </c>
      <c r="H4485" s="2" t="s">
        <v>5</v>
      </c>
      <c r="I4485" s="6" t="s">
        <v>2300</v>
      </c>
      <c r="J4485" s="2" t="s">
        <v>5</v>
      </c>
      <c r="K4485" s="2" t="s">
        <v>5</v>
      </c>
      <c r="L4485" s="2" t="s">
        <v>5</v>
      </c>
      <c r="M4485" s="2" t="s">
        <v>5</v>
      </c>
      <c r="N4485" s="4">
        <v>0</v>
      </c>
    </row>
    <row r="4486" spans="1:14" x14ac:dyDescent="0.25">
      <c r="A4486" s="2" t="s">
        <v>1097</v>
      </c>
      <c r="B4486" s="2" t="s">
        <v>1098</v>
      </c>
      <c r="C4486" s="3">
        <v>8</v>
      </c>
      <c r="D4486" s="4">
        <v>1458.88</v>
      </c>
      <c r="E4486" s="4">
        <v>984</v>
      </c>
      <c r="F4486" s="4">
        <f t="shared" si="279"/>
        <v>474.88000000000011</v>
      </c>
      <c r="G4486" s="5">
        <f t="shared" si="280"/>
        <v>0.32550998025882877</v>
      </c>
      <c r="H4486" s="2" t="s">
        <v>5</v>
      </c>
      <c r="I4486" s="6" t="s">
        <v>2300</v>
      </c>
      <c r="J4486" s="2" t="s">
        <v>5</v>
      </c>
      <c r="K4486" s="2" t="s">
        <v>5</v>
      </c>
      <c r="L4486" s="2" t="s">
        <v>5</v>
      </c>
      <c r="M4486" s="2" t="s">
        <v>5</v>
      </c>
      <c r="N4486" s="4">
        <v>0</v>
      </c>
    </row>
    <row r="4487" spans="1:14" x14ac:dyDescent="0.25">
      <c r="A4487" s="2" t="s">
        <v>1097</v>
      </c>
      <c r="B4487" s="2" t="s">
        <v>1098</v>
      </c>
      <c r="C4487" s="3">
        <v>7</v>
      </c>
      <c r="D4487" s="4">
        <v>1276.52</v>
      </c>
      <c r="E4487" s="4">
        <v>861</v>
      </c>
      <c r="F4487" s="4">
        <f t="shared" si="279"/>
        <v>415.52</v>
      </c>
      <c r="G4487" s="5">
        <f t="shared" si="280"/>
        <v>0.32550998025882866</v>
      </c>
      <c r="H4487" s="2" t="s">
        <v>5</v>
      </c>
      <c r="I4487" s="6" t="s">
        <v>2300</v>
      </c>
      <c r="J4487" s="2" t="s">
        <v>5</v>
      </c>
      <c r="K4487" s="2" t="s">
        <v>5</v>
      </c>
      <c r="L4487" s="2" t="s">
        <v>5</v>
      </c>
      <c r="M4487" s="2" t="s">
        <v>5</v>
      </c>
      <c r="N4487" s="4">
        <v>0</v>
      </c>
    </row>
    <row r="4488" spans="1:14" x14ac:dyDescent="0.25">
      <c r="A4488" s="2" t="s">
        <v>1097</v>
      </c>
      <c r="B4488" s="2" t="s">
        <v>1098</v>
      </c>
      <c r="C4488" s="3">
        <v>4</v>
      </c>
      <c r="D4488" s="4">
        <v>729.44</v>
      </c>
      <c r="E4488" s="4">
        <v>492</v>
      </c>
      <c r="F4488" s="4">
        <f t="shared" si="279"/>
        <v>237.44000000000005</v>
      </c>
      <c r="G4488" s="5">
        <f t="shared" si="280"/>
        <v>0.32550998025882877</v>
      </c>
      <c r="H4488" s="2" t="s">
        <v>5</v>
      </c>
      <c r="I4488" s="6" t="s">
        <v>2300</v>
      </c>
      <c r="J4488" s="2" t="s">
        <v>5</v>
      </c>
      <c r="K4488" s="2" t="s">
        <v>5</v>
      </c>
      <c r="L4488" s="2" t="s">
        <v>5</v>
      </c>
      <c r="M4488" s="2" t="s">
        <v>5</v>
      </c>
      <c r="N4488" s="4">
        <v>0</v>
      </c>
    </row>
    <row r="4489" spans="1:14" x14ac:dyDescent="0.25">
      <c r="A4489" s="2" t="s">
        <v>1097</v>
      </c>
      <c r="B4489" s="2" t="s">
        <v>1098</v>
      </c>
      <c r="C4489" s="3">
        <v>8</v>
      </c>
      <c r="D4489" s="4">
        <v>1458.88</v>
      </c>
      <c r="E4489" s="4">
        <v>984</v>
      </c>
      <c r="F4489" s="4">
        <f t="shared" si="279"/>
        <v>474.88000000000011</v>
      </c>
      <c r="G4489" s="5">
        <f t="shared" si="280"/>
        <v>0.32550998025882877</v>
      </c>
      <c r="H4489" s="2" t="s">
        <v>5</v>
      </c>
      <c r="I4489" s="6" t="s">
        <v>2300</v>
      </c>
      <c r="J4489" s="2" t="s">
        <v>5</v>
      </c>
      <c r="K4489" s="2" t="s">
        <v>5</v>
      </c>
      <c r="L4489" s="2" t="s">
        <v>5</v>
      </c>
      <c r="M4489" s="2" t="s">
        <v>5</v>
      </c>
      <c r="N4489" s="4">
        <v>0</v>
      </c>
    </row>
    <row r="4490" spans="1:14" x14ac:dyDescent="0.25">
      <c r="A4490" s="2" t="s">
        <v>1097</v>
      </c>
      <c r="B4490" s="2" t="s">
        <v>1098</v>
      </c>
      <c r="C4490" s="3">
        <v>3</v>
      </c>
      <c r="D4490" s="4">
        <v>547.08000000000004</v>
      </c>
      <c r="E4490" s="4">
        <v>369</v>
      </c>
      <c r="F4490" s="4">
        <f t="shared" si="279"/>
        <v>178.08000000000004</v>
      </c>
      <c r="G4490" s="5">
        <f t="shared" si="280"/>
        <v>0.32550998025882877</v>
      </c>
      <c r="H4490" s="2" t="s">
        <v>5</v>
      </c>
      <c r="I4490" s="6" t="s">
        <v>2300</v>
      </c>
      <c r="J4490" s="2" t="s">
        <v>5</v>
      </c>
      <c r="K4490" s="2" t="s">
        <v>5</v>
      </c>
      <c r="L4490" s="2" t="s">
        <v>5</v>
      </c>
      <c r="M4490" s="2" t="s">
        <v>5</v>
      </c>
      <c r="N4490" s="4">
        <v>0</v>
      </c>
    </row>
    <row r="4491" spans="1:14" x14ac:dyDescent="0.25">
      <c r="A4491" s="2" t="s">
        <v>1097</v>
      </c>
      <c r="B4491" s="2" t="s">
        <v>1098</v>
      </c>
      <c r="C4491" s="3">
        <v>4</v>
      </c>
      <c r="D4491" s="4">
        <v>729.44</v>
      </c>
      <c r="E4491" s="4">
        <v>492</v>
      </c>
      <c r="F4491" s="4">
        <f t="shared" si="279"/>
        <v>237.44000000000005</v>
      </c>
      <c r="G4491" s="5">
        <f t="shared" si="280"/>
        <v>0.32550998025882877</v>
      </c>
      <c r="H4491" s="2" t="s">
        <v>5</v>
      </c>
      <c r="I4491" s="6" t="s">
        <v>2300</v>
      </c>
      <c r="J4491" s="2" t="s">
        <v>5</v>
      </c>
      <c r="K4491" s="2" t="s">
        <v>5</v>
      </c>
      <c r="L4491" s="2" t="s">
        <v>5</v>
      </c>
      <c r="M4491" s="2" t="s">
        <v>5</v>
      </c>
      <c r="N4491" s="4">
        <v>0</v>
      </c>
    </row>
    <row r="4492" spans="1:14" x14ac:dyDescent="0.25">
      <c r="A4492" s="2" t="s">
        <v>1097</v>
      </c>
      <c r="B4492" s="2" t="s">
        <v>1098</v>
      </c>
      <c r="C4492" s="3">
        <v>3</v>
      </c>
      <c r="D4492" s="4">
        <v>547.08000000000004</v>
      </c>
      <c r="E4492" s="4">
        <v>369</v>
      </c>
      <c r="F4492" s="4">
        <f t="shared" si="279"/>
        <v>178.08000000000004</v>
      </c>
      <c r="G4492" s="5">
        <f t="shared" si="280"/>
        <v>0.32550998025882877</v>
      </c>
      <c r="H4492" s="2" t="s">
        <v>5</v>
      </c>
      <c r="I4492" s="6" t="s">
        <v>2300</v>
      </c>
      <c r="J4492" s="2" t="s">
        <v>5</v>
      </c>
      <c r="K4492" s="2" t="s">
        <v>5</v>
      </c>
      <c r="L4492" s="2" t="s">
        <v>5</v>
      </c>
      <c r="M4492" s="2" t="s">
        <v>5</v>
      </c>
      <c r="N4492" s="4">
        <v>0</v>
      </c>
    </row>
    <row r="4493" spans="1:14" x14ac:dyDescent="0.25">
      <c r="A4493" s="2" t="s">
        <v>1097</v>
      </c>
      <c r="B4493" s="2" t="s">
        <v>1098</v>
      </c>
      <c r="C4493" s="3">
        <v>1</v>
      </c>
      <c r="D4493" s="4">
        <v>183.62</v>
      </c>
      <c r="E4493" s="4">
        <v>123</v>
      </c>
      <c r="F4493" s="4">
        <f t="shared" si="279"/>
        <v>60.620000000000005</v>
      </c>
      <c r="G4493" s="5">
        <f t="shared" si="280"/>
        <v>0.33013832915804381</v>
      </c>
      <c r="H4493" s="2" t="s">
        <v>5</v>
      </c>
      <c r="I4493" s="6" t="s">
        <v>2300</v>
      </c>
      <c r="J4493" s="2" t="s">
        <v>5</v>
      </c>
      <c r="K4493" s="2" t="s">
        <v>5</v>
      </c>
      <c r="L4493" s="2" t="s">
        <v>5</v>
      </c>
      <c r="M4493" s="2" t="s">
        <v>5</v>
      </c>
      <c r="N4493" s="4">
        <v>0</v>
      </c>
    </row>
    <row r="4494" spans="1:14" x14ac:dyDescent="0.25">
      <c r="A4494" s="2" t="s">
        <v>1138</v>
      </c>
      <c r="B4494" s="2" t="s">
        <v>1139</v>
      </c>
      <c r="C4494" s="3">
        <v>1</v>
      </c>
      <c r="D4494" s="4">
        <v>30.42</v>
      </c>
      <c r="E4494" s="4">
        <v>20.52</v>
      </c>
      <c r="F4494" s="4">
        <f t="shared" si="279"/>
        <v>9.9000000000000021</v>
      </c>
      <c r="G4494" s="5">
        <f t="shared" si="280"/>
        <v>0.32544378698224857</v>
      </c>
      <c r="H4494" s="2" t="s">
        <v>5</v>
      </c>
      <c r="I4494" s="6" t="s">
        <v>2300</v>
      </c>
      <c r="J4494" s="2" t="s">
        <v>5</v>
      </c>
      <c r="K4494" s="2" t="s">
        <v>5</v>
      </c>
      <c r="L4494" s="2" t="s">
        <v>5</v>
      </c>
      <c r="M4494" s="2" t="s">
        <v>5</v>
      </c>
      <c r="N4494" s="4">
        <v>0</v>
      </c>
    </row>
    <row r="4495" spans="1:14" x14ac:dyDescent="0.25">
      <c r="A4495" s="2" t="s">
        <v>1138</v>
      </c>
      <c r="B4495" s="2" t="s">
        <v>1139</v>
      </c>
      <c r="C4495" s="3">
        <v>1</v>
      </c>
      <c r="D4495" s="4">
        <v>30.42</v>
      </c>
      <c r="E4495" s="4">
        <v>20.52</v>
      </c>
      <c r="F4495" s="4">
        <f t="shared" si="279"/>
        <v>9.9000000000000021</v>
      </c>
      <c r="G4495" s="5">
        <f t="shared" si="280"/>
        <v>0.32544378698224857</v>
      </c>
      <c r="H4495" s="2" t="s">
        <v>5</v>
      </c>
      <c r="I4495" s="6" t="s">
        <v>2300</v>
      </c>
      <c r="J4495" s="2" t="s">
        <v>5</v>
      </c>
      <c r="K4495" s="2" t="s">
        <v>5</v>
      </c>
      <c r="L4495" s="2" t="s">
        <v>5</v>
      </c>
      <c r="M4495" s="2" t="s">
        <v>5</v>
      </c>
      <c r="N4495" s="4">
        <v>0</v>
      </c>
    </row>
    <row r="4496" spans="1:14" x14ac:dyDescent="0.25">
      <c r="A4496" s="2" t="s">
        <v>1138</v>
      </c>
      <c r="B4496" s="2" t="s">
        <v>1139</v>
      </c>
      <c r="C4496" s="3">
        <v>1</v>
      </c>
      <c r="D4496" s="4">
        <v>30.42</v>
      </c>
      <c r="E4496" s="4">
        <v>20.52</v>
      </c>
      <c r="F4496" s="4">
        <f t="shared" si="279"/>
        <v>9.9000000000000021</v>
      </c>
      <c r="G4496" s="5">
        <f t="shared" si="280"/>
        <v>0.32544378698224857</v>
      </c>
      <c r="H4496" s="2" t="s">
        <v>5</v>
      </c>
      <c r="I4496" s="6" t="s">
        <v>2300</v>
      </c>
      <c r="J4496" s="2" t="s">
        <v>5</v>
      </c>
      <c r="K4496" s="2" t="s">
        <v>5</v>
      </c>
      <c r="L4496" s="2" t="s">
        <v>5</v>
      </c>
      <c r="M4496" s="2" t="s">
        <v>5</v>
      </c>
      <c r="N4496" s="4">
        <v>0</v>
      </c>
    </row>
    <row r="4497" spans="1:14" x14ac:dyDescent="0.25">
      <c r="A4497" s="2" t="s">
        <v>620</v>
      </c>
      <c r="B4497" s="2" t="s">
        <v>621</v>
      </c>
      <c r="C4497" s="3">
        <v>4.96</v>
      </c>
      <c r="D4497" s="4">
        <v>51.732799999999997</v>
      </c>
      <c r="E4497" s="4">
        <v>49.6</v>
      </c>
      <c r="F4497" s="4">
        <f t="shared" si="279"/>
        <v>2.132799999999996</v>
      </c>
      <c r="G4497" s="5">
        <f t="shared" si="280"/>
        <v>4.1227229146692163E-2</v>
      </c>
      <c r="H4497" s="2" t="s">
        <v>5</v>
      </c>
      <c r="I4497" s="6" t="s">
        <v>2300</v>
      </c>
      <c r="J4497" s="2" t="s">
        <v>5</v>
      </c>
      <c r="K4497" s="2" t="s">
        <v>5</v>
      </c>
      <c r="L4497" s="2" t="s">
        <v>5</v>
      </c>
      <c r="M4497" s="2" t="s">
        <v>5</v>
      </c>
      <c r="N4497" s="4">
        <v>0</v>
      </c>
    </row>
    <row r="4498" spans="1:14" x14ac:dyDescent="0.25">
      <c r="A4498" s="2" t="s">
        <v>620</v>
      </c>
      <c r="B4498" s="2" t="s">
        <v>621</v>
      </c>
      <c r="C4498" s="3">
        <v>30.47</v>
      </c>
      <c r="D4498" s="4">
        <v>316.27859999999998</v>
      </c>
      <c r="E4498" s="4">
        <v>304.7</v>
      </c>
      <c r="F4498" s="4">
        <f t="shared" si="279"/>
        <v>11.578599999999994</v>
      </c>
      <c r="G4498" s="5">
        <f t="shared" si="280"/>
        <v>3.6608863198458561E-2</v>
      </c>
      <c r="H4498" s="2" t="s">
        <v>5</v>
      </c>
      <c r="I4498" s="6" t="s">
        <v>2300</v>
      </c>
      <c r="J4498" s="2" t="s">
        <v>5</v>
      </c>
      <c r="K4498" s="2" t="s">
        <v>5</v>
      </c>
      <c r="L4498" s="2" t="s">
        <v>5</v>
      </c>
      <c r="M4498" s="2" t="s">
        <v>5</v>
      </c>
      <c r="N4498" s="4">
        <v>0</v>
      </c>
    </row>
    <row r="4499" spans="1:14" x14ac:dyDescent="0.25">
      <c r="A4499" s="2" t="s">
        <v>620</v>
      </c>
      <c r="B4499" s="2" t="s">
        <v>621</v>
      </c>
      <c r="C4499" s="3">
        <v>14.715</v>
      </c>
      <c r="D4499" s="4">
        <v>152.74170000000001</v>
      </c>
      <c r="E4499" s="4">
        <v>147.15</v>
      </c>
      <c r="F4499" s="4">
        <f t="shared" si="279"/>
        <v>5.591700000000003</v>
      </c>
      <c r="G4499" s="5">
        <f t="shared" si="280"/>
        <v>3.6608863198458595E-2</v>
      </c>
      <c r="H4499" s="2" t="s">
        <v>5</v>
      </c>
      <c r="I4499" s="6" t="s">
        <v>2300</v>
      </c>
      <c r="J4499" s="2" t="s">
        <v>5</v>
      </c>
      <c r="K4499" s="2" t="s">
        <v>5</v>
      </c>
      <c r="L4499" s="2" t="s">
        <v>5</v>
      </c>
      <c r="M4499" s="2" t="s">
        <v>5</v>
      </c>
      <c r="N4499" s="4">
        <v>0</v>
      </c>
    </row>
    <row r="4500" spans="1:14" x14ac:dyDescent="0.25">
      <c r="A4500" s="2" t="s">
        <v>620</v>
      </c>
      <c r="B4500" s="2" t="s">
        <v>621</v>
      </c>
      <c r="C4500" s="3">
        <v>16.37</v>
      </c>
      <c r="D4500" s="4">
        <v>156.6609</v>
      </c>
      <c r="E4500" s="4">
        <v>163.69999999999999</v>
      </c>
      <c r="F4500" s="4">
        <f t="shared" si="279"/>
        <v>-7.0390999999999906</v>
      </c>
      <c r="G4500" s="5">
        <f t="shared" si="280"/>
        <v>-4.4932079414837976E-2</v>
      </c>
      <c r="H4500" s="2" t="s">
        <v>5</v>
      </c>
      <c r="I4500" s="6" t="s">
        <v>2300</v>
      </c>
      <c r="J4500" s="2" t="s">
        <v>5</v>
      </c>
      <c r="K4500" s="2" t="s">
        <v>5</v>
      </c>
      <c r="L4500" s="2" t="s">
        <v>5</v>
      </c>
      <c r="M4500" s="2" t="s">
        <v>5</v>
      </c>
      <c r="N4500" s="4">
        <v>0</v>
      </c>
    </row>
    <row r="4501" spans="1:14" x14ac:dyDescent="0.25">
      <c r="A4501" s="2" t="s">
        <v>620</v>
      </c>
      <c r="B4501" s="2" t="s">
        <v>621</v>
      </c>
      <c r="C4501" s="3">
        <v>63.05</v>
      </c>
      <c r="D4501" s="4">
        <v>586.36500000000001</v>
      </c>
      <c r="E4501" s="4">
        <v>630.5</v>
      </c>
      <c r="F4501" s="4">
        <f t="shared" si="279"/>
        <v>-44.134999999999991</v>
      </c>
      <c r="G4501" s="5">
        <f t="shared" si="280"/>
        <v>-7.5268817204301064E-2</v>
      </c>
      <c r="H4501" s="2" t="s">
        <v>5</v>
      </c>
      <c r="I4501" s="6" t="s">
        <v>2300</v>
      </c>
      <c r="J4501" s="2" t="s">
        <v>5</v>
      </c>
      <c r="K4501" s="2" t="s">
        <v>5</v>
      </c>
      <c r="L4501" s="2" t="s">
        <v>5</v>
      </c>
      <c r="M4501" s="2" t="s">
        <v>5</v>
      </c>
      <c r="N4501" s="4">
        <v>0</v>
      </c>
    </row>
    <row r="4502" spans="1:14" x14ac:dyDescent="0.25">
      <c r="A4502" s="2" t="s">
        <v>207</v>
      </c>
      <c r="B4502" s="2" t="s">
        <v>208</v>
      </c>
      <c r="C4502" s="3">
        <v>5</v>
      </c>
      <c r="D4502" s="4">
        <v>79.45</v>
      </c>
      <c r="E4502" s="4">
        <v>64.099999999999994</v>
      </c>
      <c r="F4502" s="4">
        <f t="shared" si="279"/>
        <v>15.350000000000009</v>
      </c>
      <c r="G4502" s="5">
        <f t="shared" si="280"/>
        <v>0.19320327249842678</v>
      </c>
      <c r="H4502" s="2" t="s">
        <v>5</v>
      </c>
      <c r="I4502" s="6" t="s">
        <v>2300</v>
      </c>
      <c r="J4502" s="2" t="s">
        <v>5</v>
      </c>
      <c r="K4502" s="2" t="s">
        <v>5</v>
      </c>
      <c r="L4502" s="2" t="s">
        <v>5</v>
      </c>
      <c r="M4502" s="2" t="s">
        <v>5</v>
      </c>
      <c r="N4502" s="4">
        <v>0</v>
      </c>
    </row>
    <row r="4503" spans="1:14" x14ac:dyDescent="0.25">
      <c r="A4503" s="2" t="s">
        <v>207</v>
      </c>
      <c r="B4503" s="2" t="s">
        <v>208</v>
      </c>
      <c r="C4503" s="3">
        <v>15</v>
      </c>
      <c r="D4503" s="4">
        <v>238.35</v>
      </c>
      <c r="E4503" s="4">
        <v>192.3</v>
      </c>
      <c r="F4503" s="4">
        <f t="shared" si="279"/>
        <v>46.049999999999983</v>
      </c>
      <c r="G4503" s="5">
        <f t="shared" si="280"/>
        <v>0.19320327249842661</v>
      </c>
      <c r="H4503" s="2" t="s">
        <v>5</v>
      </c>
      <c r="I4503" s="6" t="s">
        <v>2300</v>
      </c>
      <c r="J4503" s="2" t="s">
        <v>5</v>
      </c>
      <c r="K4503" s="2" t="s">
        <v>5</v>
      </c>
      <c r="L4503" s="2" t="s">
        <v>5</v>
      </c>
      <c r="M4503" s="2" t="s">
        <v>5</v>
      </c>
      <c r="N4503" s="4">
        <v>0</v>
      </c>
    </row>
    <row r="4504" spans="1:14" x14ac:dyDescent="0.25">
      <c r="A4504" s="2" t="s">
        <v>207</v>
      </c>
      <c r="B4504" s="2" t="s">
        <v>208</v>
      </c>
      <c r="C4504" s="3">
        <v>5</v>
      </c>
      <c r="D4504" s="4">
        <v>100.5</v>
      </c>
      <c r="E4504" s="4">
        <v>64.099999999999994</v>
      </c>
      <c r="F4504" s="4">
        <f t="shared" si="279"/>
        <v>36.400000000000006</v>
      </c>
      <c r="G4504" s="5">
        <f t="shared" si="280"/>
        <v>0.3621890547263682</v>
      </c>
      <c r="H4504" s="2" t="s">
        <v>5</v>
      </c>
      <c r="I4504" s="6" t="s">
        <v>2300</v>
      </c>
      <c r="J4504" s="2" t="s">
        <v>5</v>
      </c>
      <c r="K4504" s="2" t="s">
        <v>5</v>
      </c>
      <c r="L4504" s="2" t="s">
        <v>5</v>
      </c>
      <c r="M4504" s="2" t="s">
        <v>5</v>
      </c>
      <c r="N4504" s="4">
        <v>0</v>
      </c>
    </row>
    <row r="4505" spans="1:14" x14ac:dyDescent="0.25">
      <c r="A4505" s="2" t="s">
        <v>207</v>
      </c>
      <c r="B4505" s="2" t="s">
        <v>208</v>
      </c>
      <c r="C4505" s="3">
        <v>10</v>
      </c>
      <c r="D4505" s="4">
        <v>158.9</v>
      </c>
      <c r="E4505" s="4">
        <v>128.19999999999999</v>
      </c>
      <c r="F4505" s="4">
        <f t="shared" si="279"/>
        <v>30.700000000000017</v>
      </c>
      <c r="G4505" s="5">
        <f t="shared" si="280"/>
        <v>0.19320327249842678</v>
      </c>
      <c r="H4505" s="2" t="s">
        <v>5</v>
      </c>
      <c r="I4505" s="6" t="s">
        <v>2300</v>
      </c>
      <c r="J4505" s="2" t="s">
        <v>5</v>
      </c>
      <c r="K4505" s="2" t="s">
        <v>5</v>
      </c>
      <c r="L4505" s="2" t="s">
        <v>5</v>
      </c>
      <c r="M4505" s="2" t="s">
        <v>5</v>
      </c>
      <c r="N4505" s="4">
        <v>0</v>
      </c>
    </row>
    <row r="4506" spans="1:14" x14ac:dyDescent="0.25">
      <c r="A4506" s="2" t="s">
        <v>207</v>
      </c>
      <c r="B4506" s="2" t="s">
        <v>208</v>
      </c>
      <c r="C4506" s="3">
        <v>5</v>
      </c>
      <c r="D4506" s="4">
        <v>91.65</v>
      </c>
      <c r="E4506" s="4">
        <v>64.099999999999994</v>
      </c>
      <c r="F4506" s="4">
        <f t="shared" si="279"/>
        <v>27.550000000000011</v>
      </c>
      <c r="G4506" s="5">
        <f t="shared" si="280"/>
        <v>0.30060010911074753</v>
      </c>
      <c r="H4506" s="2" t="s">
        <v>5</v>
      </c>
      <c r="I4506" s="6" t="s">
        <v>2300</v>
      </c>
      <c r="J4506" s="2" t="s">
        <v>5</v>
      </c>
      <c r="K4506" s="2" t="s">
        <v>5</v>
      </c>
      <c r="L4506" s="2" t="s">
        <v>5</v>
      </c>
      <c r="M4506" s="2" t="s">
        <v>5</v>
      </c>
      <c r="N4506" s="4">
        <v>0</v>
      </c>
    </row>
    <row r="4507" spans="1:14" x14ac:dyDescent="0.25">
      <c r="A4507" s="2" t="s">
        <v>350</v>
      </c>
      <c r="B4507" s="2" t="s">
        <v>351</v>
      </c>
      <c r="C4507" s="3">
        <v>12</v>
      </c>
      <c r="D4507" s="4">
        <v>133.68</v>
      </c>
      <c r="E4507" s="4">
        <v>86.4</v>
      </c>
      <c r="F4507" s="4">
        <f t="shared" si="279"/>
        <v>47.28</v>
      </c>
      <c r="G4507" s="5">
        <f t="shared" si="280"/>
        <v>0.35368043087971274</v>
      </c>
      <c r="H4507" s="2" t="s">
        <v>5</v>
      </c>
      <c r="I4507" s="6" t="s">
        <v>2300</v>
      </c>
      <c r="J4507" s="2" t="s">
        <v>5</v>
      </c>
      <c r="K4507" s="2" t="s">
        <v>5</v>
      </c>
      <c r="L4507" s="2" t="s">
        <v>5</v>
      </c>
      <c r="M4507" s="2" t="s">
        <v>5</v>
      </c>
      <c r="N4507" s="4">
        <v>0</v>
      </c>
    </row>
    <row r="4508" spans="1:14" x14ac:dyDescent="0.25">
      <c r="A4508" s="2" t="s">
        <v>350</v>
      </c>
      <c r="B4508" s="2" t="s">
        <v>351</v>
      </c>
      <c r="C4508" s="3">
        <v>12</v>
      </c>
      <c r="D4508" s="4">
        <v>133.68</v>
      </c>
      <c r="E4508" s="4">
        <v>86.4</v>
      </c>
      <c r="F4508" s="4">
        <f t="shared" si="279"/>
        <v>47.28</v>
      </c>
      <c r="G4508" s="5">
        <f t="shared" si="280"/>
        <v>0.35368043087971274</v>
      </c>
      <c r="H4508" s="2" t="s">
        <v>5</v>
      </c>
      <c r="I4508" s="6" t="s">
        <v>2300</v>
      </c>
      <c r="J4508" s="2" t="s">
        <v>5</v>
      </c>
      <c r="K4508" s="2" t="s">
        <v>5</v>
      </c>
      <c r="L4508" s="2" t="s">
        <v>5</v>
      </c>
      <c r="M4508" s="2" t="s">
        <v>5</v>
      </c>
      <c r="N4508" s="4">
        <v>0</v>
      </c>
    </row>
    <row r="4509" spans="1:14" x14ac:dyDescent="0.25">
      <c r="A4509" s="2" t="s">
        <v>350</v>
      </c>
      <c r="B4509" s="2" t="s">
        <v>351</v>
      </c>
      <c r="C4509" s="3">
        <v>12</v>
      </c>
      <c r="D4509" s="4">
        <v>133.68</v>
      </c>
      <c r="E4509" s="4">
        <v>86.4</v>
      </c>
      <c r="F4509" s="4">
        <f t="shared" si="279"/>
        <v>47.28</v>
      </c>
      <c r="G4509" s="5">
        <f t="shared" si="280"/>
        <v>0.35368043087971274</v>
      </c>
      <c r="H4509" s="2" t="s">
        <v>5</v>
      </c>
      <c r="I4509" s="6" t="s">
        <v>2300</v>
      </c>
      <c r="J4509" s="2" t="s">
        <v>5</v>
      </c>
      <c r="K4509" s="2" t="s">
        <v>5</v>
      </c>
      <c r="L4509" s="2" t="s">
        <v>5</v>
      </c>
      <c r="M4509" s="2" t="s">
        <v>5</v>
      </c>
      <c r="N4509" s="4">
        <v>0</v>
      </c>
    </row>
    <row r="4510" spans="1:14" x14ac:dyDescent="0.25">
      <c r="A4510" s="2" t="s">
        <v>350</v>
      </c>
      <c r="B4510" s="2" t="s">
        <v>351</v>
      </c>
      <c r="C4510" s="3">
        <v>12</v>
      </c>
      <c r="D4510" s="4">
        <v>133.68</v>
      </c>
      <c r="E4510" s="4">
        <v>86.4</v>
      </c>
      <c r="F4510" s="4">
        <f t="shared" si="279"/>
        <v>47.28</v>
      </c>
      <c r="G4510" s="5">
        <f t="shared" si="280"/>
        <v>0.35368043087971274</v>
      </c>
      <c r="H4510" s="2" t="s">
        <v>5</v>
      </c>
      <c r="I4510" s="6" t="s">
        <v>2300</v>
      </c>
      <c r="J4510" s="2" t="s">
        <v>5</v>
      </c>
      <c r="K4510" s="2" t="s">
        <v>5</v>
      </c>
      <c r="L4510" s="2" t="s">
        <v>5</v>
      </c>
      <c r="M4510" s="2" t="s">
        <v>5</v>
      </c>
      <c r="N4510" s="4">
        <v>0</v>
      </c>
    </row>
    <row r="4511" spans="1:14" x14ac:dyDescent="0.25">
      <c r="A4511" s="2" t="s">
        <v>350</v>
      </c>
      <c r="B4511" s="2" t="s">
        <v>351</v>
      </c>
      <c r="C4511" s="3">
        <v>12</v>
      </c>
      <c r="D4511" s="4">
        <v>133.68</v>
      </c>
      <c r="E4511" s="4">
        <v>86.4</v>
      </c>
      <c r="F4511" s="4">
        <f t="shared" si="279"/>
        <v>47.28</v>
      </c>
      <c r="G4511" s="5">
        <f t="shared" si="280"/>
        <v>0.35368043087971274</v>
      </c>
      <c r="H4511" s="2" t="s">
        <v>5</v>
      </c>
      <c r="I4511" s="6" t="s">
        <v>2300</v>
      </c>
      <c r="J4511" s="2" t="s">
        <v>5</v>
      </c>
      <c r="K4511" s="2" t="s">
        <v>5</v>
      </c>
      <c r="L4511" s="2" t="s">
        <v>5</v>
      </c>
      <c r="M4511" s="2" t="s">
        <v>5</v>
      </c>
      <c r="N4511" s="4">
        <v>0</v>
      </c>
    </row>
    <row r="4512" spans="1:14" x14ac:dyDescent="0.25">
      <c r="A4512" s="2" t="s">
        <v>350</v>
      </c>
      <c r="B4512" s="2" t="s">
        <v>351</v>
      </c>
      <c r="C4512" s="3">
        <v>12</v>
      </c>
      <c r="D4512" s="4">
        <v>133.68</v>
      </c>
      <c r="E4512" s="4">
        <v>86.4</v>
      </c>
      <c r="F4512" s="4">
        <f t="shared" si="279"/>
        <v>47.28</v>
      </c>
      <c r="G4512" s="5">
        <f t="shared" si="280"/>
        <v>0.35368043087971274</v>
      </c>
      <c r="H4512" s="2" t="s">
        <v>5</v>
      </c>
      <c r="I4512" s="6" t="s">
        <v>2300</v>
      </c>
      <c r="J4512" s="2" t="s">
        <v>5</v>
      </c>
      <c r="K4512" s="2" t="s">
        <v>5</v>
      </c>
      <c r="L4512" s="2" t="s">
        <v>5</v>
      </c>
      <c r="M4512" s="2" t="s">
        <v>5</v>
      </c>
      <c r="N4512" s="4">
        <v>0</v>
      </c>
    </row>
    <row r="4513" spans="1:14" x14ac:dyDescent="0.25">
      <c r="A4513" s="2" t="s">
        <v>355</v>
      </c>
      <c r="B4513" s="2" t="s">
        <v>356</v>
      </c>
      <c r="C4513" s="3">
        <v>60</v>
      </c>
      <c r="D4513" s="4">
        <v>857.4</v>
      </c>
      <c r="E4513" s="4">
        <v>600</v>
      </c>
      <c r="F4513" s="4">
        <f t="shared" ref="F4513:F4576" si="281">D4513-E4513</f>
        <v>257.39999999999998</v>
      </c>
      <c r="G4513" s="5">
        <f t="shared" ref="G4513:G4576" si="282">IF(((D4513)=0),0,(D4513-E4513)/ D4513)</f>
        <v>0.30020993701889431</v>
      </c>
      <c r="H4513" s="2" t="s">
        <v>5</v>
      </c>
      <c r="I4513" s="6" t="s">
        <v>2300</v>
      </c>
      <c r="J4513" s="2" t="s">
        <v>5</v>
      </c>
      <c r="K4513" s="2" t="s">
        <v>5</v>
      </c>
      <c r="L4513" s="2" t="s">
        <v>5</v>
      </c>
      <c r="M4513" s="2" t="s">
        <v>5</v>
      </c>
      <c r="N4513" s="4">
        <v>0</v>
      </c>
    </row>
    <row r="4514" spans="1:14" x14ac:dyDescent="0.25">
      <c r="A4514" s="2" t="s">
        <v>355</v>
      </c>
      <c r="B4514" s="2" t="s">
        <v>356</v>
      </c>
      <c r="C4514" s="3">
        <v>60</v>
      </c>
      <c r="D4514" s="4">
        <v>857.4</v>
      </c>
      <c r="E4514" s="4">
        <v>600</v>
      </c>
      <c r="F4514" s="4">
        <f t="shared" si="281"/>
        <v>257.39999999999998</v>
      </c>
      <c r="G4514" s="5">
        <f t="shared" si="282"/>
        <v>0.30020993701889431</v>
      </c>
      <c r="H4514" s="2" t="s">
        <v>5</v>
      </c>
      <c r="I4514" s="6" t="s">
        <v>2300</v>
      </c>
      <c r="J4514" s="2" t="s">
        <v>5</v>
      </c>
      <c r="K4514" s="2" t="s">
        <v>5</v>
      </c>
      <c r="L4514" s="2" t="s">
        <v>5</v>
      </c>
      <c r="M4514" s="2" t="s">
        <v>5</v>
      </c>
      <c r="N4514" s="4">
        <v>0</v>
      </c>
    </row>
    <row r="4515" spans="1:14" x14ac:dyDescent="0.25">
      <c r="A4515" s="2" t="s">
        <v>355</v>
      </c>
      <c r="B4515" s="2" t="s">
        <v>356</v>
      </c>
      <c r="C4515" s="3">
        <v>50</v>
      </c>
      <c r="D4515" s="4">
        <v>714.5</v>
      </c>
      <c r="E4515" s="4">
        <v>500</v>
      </c>
      <c r="F4515" s="4">
        <f t="shared" si="281"/>
        <v>214.5</v>
      </c>
      <c r="G4515" s="5">
        <f t="shared" si="282"/>
        <v>0.30020993701889431</v>
      </c>
      <c r="H4515" s="2" t="s">
        <v>5</v>
      </c>
      <c r="I4515" s="6" t="s">
        <v>2300</v>
      </c>
      <c r="J4515" s="2" t="s">
        <v>5</v>
      </c>
      <c r="K4515" s="2" t="s">
        <v>5</v>
      </c>
      <c r="L4515" s="2" t="s">
        <v>5</v>
      </c>
      <c r="M4515" s="2" t="s">
        <v>5</v>
      </c>
      <c r="N4515" s="4">
        <v>0</v>
      </c>
    </row>
    <row r="4516" spans="1:14" x14ac:dyDescent="0.25">
      <c r="A4516" s="2" t="s">
        <v>355</v>
      </c>
      <c r="B4516" s="2" t="s">
        <v>356</v>
      </c>
      <c r="C4516" s="3">
        <v>150</v>
      </c>
      <c r="D4516" s="4">
        <v>2143.5</v>
      </c>
      <c r="E4516" s="4">
        <v>1500</v>
      </c>
      <c r="F4516" s="4">
        <f t="shared" si="281"/>
        <v>643.5</v>
      </c>
      <c r="G4516" s="5">
        <f t="shared" si="282"/>
        <v>0.30020993701889431</v>
      </c>
      <c r="H4516" s="2" t="s">
        <v>5</v>
      </c>
      <c r="I4516" s="6" t="s">
        <v>2300</v>
      </c>
      <c r="J4516" s="2" t="s">
        <v>5</v>
      </c>
      <c r="K4516" s="2" t="s">
        <v>5</v>
      </c>
      <c r="L4516" s="2" t="s">
        <v>5</v>
      </c>
      <c r="M4516" s="2" t="s">
        <v>5</v>
      </c>
      <c r="N4516" s="4">
        <v>0</v>
      </c>
    </row>
    <row r="4517" spans="1:14" x14ac:dyDescent="0.25">
      <c r="A4517" s="2" t="s">
        <v>355</v>
      </c>
      <c r="B4517" s="2" t="s">
        <v>356</v>
      </c>
      <c r="C4517" s="3">
        <v>50</v>
      </c>
      <c r="D4517" s="4">
        <v>714.5</v>
      </c>
      <c r="E4517" s="4">
        <v>500</v>
      </c>
      <c r="F4517" s="4">
        <f t="shared" si="281"/>
        <v>214.5</v>
      </c>
      <c r="G4517" s="5">
        <f t="shared" si="282"/>
        <v>0.30020993701889431</v>
      </c>
      <c r="H4517" s="2" t="s">
        <v>5</v>
      </c>
      <c r="I4517" s="6" t="s">
        <v>2300</v>
      </c>
      <c r="J4517" s="2" t="s">
        <v>5</v>
      </c>
      <c r="K4517" s="2" t="s">
        <v>5</v>
      </c>
      <c r="L4517" s="2" t="s">
        <v>5</v>
      </c>
      <c r="M4517" s="2" t="s">
        <v>5</v>
      </c>
      <c r="N4517" s="4">
        <v>0</v>
      </c>
    </row>
    <row r="4518" spans="1:14" x14ac:dyDescent="0.25">
      <c r="A4518" s="2" t="s">
        <v>355</v>
      </c>
      <c r="B4518" s="2" t="s">
        <v>356</v>
      </c>
      <c r="C4518" s="3">
        <v>120</v>
      </c>
      <c r="D4518" s="4">
        <v>1714.8</v>
      </c>
      <c r="E4518" s="4">
        <v>1200</v>
      </c>
      <c r="F4518" s="4">
        <f t="shared" si="281"/>
        <v>514.79999999999995</v>
      </c>
      <c r="G4518" s="5">
        <f t="shared" si="282"/>
        <v>0.30020993701889431</v>
      </c>
      <c r="H4518" s="2" t="s">
        <v>5</v>
      </c>
      <c r="I4518" s="6" t="s">
        <v>2300</v>
      </c>
      <c r="J4518" s="2" t="s">
        <v>5</v>
      </c>
      <c r="K4518" s="2" t="s">
        <v>5</v>
      </c>
      <c r="L4518" s="2" t="s">
        <v>5</v>
      </c>
      <c r="M4518" s="2" t="s">
        <v>5</v>
      </c>
      <c r="N4518" s="4">
        <v>0</v>
      </c>
    </row>
    <row r="4519" spans="1:14" x14ac:dyDescent="0.25">
      <c r="A4519" s="2" t="s">
        <v>355</v>
      </c>
      <c r="B4519" s="2" t="s">
        <v>356</v>
      </c>
      <c r="C4519" s="3">
        <v>100</v>
      </c>
      <c r="D4519" s="4">
        <v>1429</v>
      </c>
      <c r="E4519" s="4">
        <v>1000</v>
      </c>
      <c r="F4519" s="4">
        <f t="shared" si="281"/>
        <v>429</v>
      </c>
      <c r="G4519" s="5">
        <f t="shared" si="282"/>
        <v>0.30020993701889431</v>
      </c>
      <c r="H4519" s="2" t="s">
        <v>5</v>
      </c>
      <c r="I4519" s="6" t="s">
        <v>2300</v>
      </c>
      <c r="J4519" s="2" t="s">
        <v>5</v>
      </c>
      <c r="K4519" s="2" t="s">
        <v>5</v>
      </c>
      <c r="L4519" s="2" t="s">
        <v>5</v>
      </c>
      <c r="M4519" s="2" t="s">
        <v>5</v>
      </c>
      <c r="N4519" s="4">
        <v>0</v>
      </c>
    </row>
    <row r="4520" spans="1:14" x14ac:dyDescent="0.25">
      <c r="A4520" s="2" t="s">
        <v>355</v>
      </c>
      <c r="B4520" s="2" t="s">
        <v>356</v>
      </c>
      <c r="C4520" s="3">
        <v>55</v>
      </c>
      <c r="D4520" s="4">
        <v>785.95</v>
      </c>
      <c r="E4520" s="4">
        <v>550</v>
      </c>
      <c r="F4520" s="4">
        <f t="shared" si="281"/>
        <v>235.95000000000005</v>
      </c>
      <c r="G4520" s="5">
        <f t="shared" si="282"/>
        <v>0.30020993701889437</v>
      </c>
      <c r="H4520" s="2" t="s">
        <v>5</v>
      </c>
      <c r="I4520" s="6" t="s">
        <v>2300</v>
      </c>
      <c r="J4520" s="2" t="s">
        <v>5</v>
      </c>
      <c r="K4520" s="2" t="s">
        <v>5</v>
      </c>
      <c r="L4520" s="2" t="s">
        <v>5</v>
      </c>
      <c r="M4520" s="2" t="s">
        <v>5</v>
      </c>
      <c r="N4520" s="4">
        <v>0</v>
      </c>
    </row>
    <row r="4521" spans="1:14" x14ac:dyDescent="0.25">
      <c r="A4521" s="2" t="s">
        <v>355</v>
      </c>
      <c r="B4521" s="2" t="s">
        <v>356</v>
      </c>
      <c r="C4521" s="3">
        <v>50</v>
      </c>
      <c r="D4521" s="4">
        <v>714.5</v>
      </c>
      <c r="E4521" s="4">
        <v>500</v>
      </c>
      <c r="F4521" s="4">
        <f t="shared" si="281"/>
        <v>214.5</v>
      </c>
      <c r="G4521" s="5">
        <f t="shared" si="282"/>
        <v>0.30020993701889431</v>
      </c>
      <c r="H4521" s="2" t="s">
        <v>5</v>
      </c>
      <c r="I4521" s="6" t="s">
        <v>2300</v>
      </c>
      <c r="J4521" s="2" t="s">
        <v>5</v>
      </c>
      <c r="K4521" s="2" t="s">
        <v>5</v>
      </c>
      <c r="L4521" s="2" t="s">
        <v>5</v>
      </c>
      <c r="M4521" s="2" t="s">
        <v>5</v>
      </c>
      <c r="N4521" s="4">
        <v>0</v>
      </c>
    </row>
    <row r="4522" spans="1:14" x14ac:dyDescent="0.25">
      <c r="A4522" s="2" t="s">
        <v>355</v>
      </c>
      <c r="B4522" s="2" t="s">
        <v>356</v>
      </c>
      <c r="C4522" s="3">
        <v>75</v>
      </c>
      <c r="D4522" s="4">
        <v>1071.75</v>
      </c>
      <c r="E4522" s="4">
        <v>750</v>
      </c>
      <c r="F4522" s="4">
        <f t="shared" si="281"/>
        <v>321.75</v>
      </c>
      <c r="G4522" s="5">
        <f t="shared" si="282"/>
        <v>0.30020993701889431</v>
      </c>
      <c r="H4522" s="2" t="s">
        <v>5</v>
      </c>
      <c r="I4522" s="6" t="s">
        <v>2300</v>
      </c>
      <c r="J4522" s="2" t="s">
        <v>5</v>
      </c>
      <c r="K4522" s="2" t="s">
        <v>5</v>
      </c>
      <c r="L4522" s="2" t="s">
        <v>5</v>
      </c>
      <c r="M4522" s="2" t="s">
        <v>5</v>
      </c>
      <c r="N4522" s="4">
        <v>0</v>
      </c>
    </row>
    <row r="4523" spans="1:14" x14ac:dyDescent="0.25">
      <c r="A4523" s="2" t="s">
        <v>355</v>
      </c>
      <c r="B4523" s="2" t="s">
        <v>356</v>
      </c>
      <c r="C4523" s="3">
        <v>265</v>
      </c>
      <c r="D4523" s="4">
        <v>3786.85</v>
      </c>
      <c r="E4523" s="4">
        <v>2650</v>
      </c>
      <c r="F4523" s="4">
        <f t="shared" si="281"/>
        <v>1136.8499999999999</v>
      </c>
      <c r="G4523" s="5">
        <f t="shared" si="282"/>
        <v>0.30020993701889431</v>
      </c>
      <c r="H4523" s="2" t="s">
        <v>5</v>
      </c>
      <c r="I4523" s="6" t="s">
        <v>2300</v>
      </c>
      <c r="J4523" s="2" t="s">
        <v>5</v>
      </c>
      <c r="K4523" s="2" t="s">
        <v>5</v>
      </c>
      <c r="L4523" s="2" t="s">
        <v>5</v>
      </c>
      <c r="M4523" s="2" t="s">
        <v>5</v>
      </c>
      <c r="N4523" s="4">
        <v>0</v>
      </c>
    </row>
    <row r="4524" spans="1:14" x14ac:dyDescent="0.25">
      <c r="A4524" s="2" t="s">
        <v>355</v>
      </c>
      <c r="B4524" s="2" t="s">
        <v>356</v>
      </c>
      <c r="C4524" s="3">
        <v>60</v>
      </c>
      <c r="D4524" s="4">
        <v>857.4</v>
      </c>
      <c r="E4524" s="4">
        <v>600</v>
      </c>
      <c r="F4524" s="4">
        <f t="shared" si="281"/>
        <v>257.39999999999998</v>
      </c>
      <c r="G4524" s="5">
        <f t="shared" si="282"/>
        <v>0.30020993701889431</v>
      </c>
      <c r="H4524" s="2" t="s">
        <v>5</v>
      </c>
      <c r="I4524" s="6" t="s">
        <v>2300</v>
      </c>
      <c r="J4524" s="2" t="s">
        <v>5</v>
      </c>
      <c r="K4524" s="2" t="s">
        <v>5</v>
      </c>
      <c r="L4524" s="2" t="s">
        <v>5</v>
      </c>
      <c r="M4524" s="2" t="s">
        <v>5</v>
      </c>
      <c r="N4524" s="4">
        <v>0</v>
      </c>
    </row>
    <row r="4525" spans="1:14" x14ac:dyDescent="0.25">
      <c r="A4525" s="2" t="s">
        <v>355</v>
      </c>
      <c r="B4525" s="2" t="s">
        <v>356</v>
      </c>
      <c r="C4525" s="3">
        <v>25</v>
      </c>
      <c r="D4525" s="4">
        <v>357.25</v>
      </c>
      <c r="E4525" s="4">
        <v>250</v>
      </c>
      <c r="F4525" s="4">
        <f t="shared" si="281"/>
        <v>107.25</v>
      </c>
      <c r="G4525" s="5">
        <f t="shared" si="282"/>
        <v>0.30020993701889431</v>
      </c>
      <c r="H4525" s="2" t="s">
        <v>5</v>
      </c>
      <c r="I4525" s="6" t="s">
        <v>2300</v>
      </c>
      <c r="J4525" s="2" t="s">
        <v>5</v>
      </c>
      <c r="K4525" s="2" t="s">
        <v>5</v>
      </c>
      <c r="L4525" s="2" t="s">
        <v>5</v>
      </c>
      <c r="M4525" s="2" t="s">
        <v>5</v>
      </c>
      <c r="N4525" s="4">
        <v>0</v>
      </c>
    </row>
    <row r="4526" spans="1:14" x14ac:dyDescent="0.25">
      <c r="A4526" s="2" t="s">
        <v>355</v>
      </c>
      <c r="B4526" s="2" t="s">
        <v>356</v>
      </c>
      <c r="C4526" s="3">
        <v>120</v>
      </c>
      <c r="D4526" s="4">
        <v>1714.8</v>
      </c>
      <c r="E4526" s="4">
        <v>1200</v>
      </c>
      <c r="F4526" s="4">
        <f t="shared" si="281"/>
        <v>514.79999999999995</v>
      </c>
      <c r="G4526" s="5">
        <f t="shared" si="282"/>
        <v>0.30020993701889431</v>
      </c>
      <c r="H4526" s="2" t="s">
        <v>5</v>
      </c>
      <c r="I4526" s="6" t="s">
        <v>2300</v>
      </c>
      <c r="J4526" s="2" t="s">
        <v>5</v>
      </c>
      <c r="K4526" s="2" t="s">
        <v>5</v>
      </c>
      <c r="L4526" s="2" t="s">
        <v>5</v>
      </c>
      <c r="M4526" s="2" t="s">
        <v>5</v>
      </c>
      <c r="N4526" s="4">
        <v>0</v>
      </c>
    </row>
    <row r="4527" spans="1:14" x14ac:dyDescent="0.25">
      <c r="A4527" s="2" t="s">
        <v>355</v>
      </c>
      <c r="B4527" s="2" t="s">
        <v>356</v>
      </c>
      <c r="C4527" s="3">
        <v>75</v>
      </c>
      <c r="D4527" s="4">
        <v>1071.75</v>
      </c>
      <c r="E4527" s="4">
        <v>750</v>
      </c>
      <c r="F4527" s="4">
        <f t="shared" si="281"/>
        <v>321.75</v>
      </c>
      <c r="G4527" s="5">
        <f t="shared" si="282"/>
        <v>0.30020993701889431</v>
      </c>
      <c r="H4527" s="2" t="s">
        <v>5</v>
      </c>
      <c r="I4527" s="6" t="s">
        <v>2300</v>
      </c>
      <c r="J4527" s="2" t="s">
        <v>5</v>
      </c>
      <c r="K4527" s="2" t="s">
        <v>5</v>
      </c>
      <c r="L4527" s="2" t="s">
        <v>5</v>
      </c>
      <c r="M4527" s="2" t="s">
        <v>5</v>
      </c>
      <c r="N4527" s="4">
        <v>0</v>
      </c>
    </row>
    <row r="4528" spans="1:14" x14ac:dyDescent="0.25">
      <c r="A4528" s="2" t="s">
        <v>355</v>
      </c>
      <c r="B4528" s="2" t="s">
        <v>356</v>
      </c>
      <c r="C4528" s="3">
        <v>100</v>
      </c>
      <c r="D4528" s="4">
        <v>1429</v>
      </c>
      <c r="E4528" s="4">
        <v>1000</v>
      </c>
      <c r="F4528" s="4">
        <f t="shared" si="281"/>
        <v>429</v>
      </c>
      <c r="G4528" s="5">
        <f t="shared" si="282"/>
        <v>0.30020993701889431</v>
      </c>
      <c r="H4528" s="2" t="s">
        <v>5</v>
      </c>
      <c r="I4528" s="6" t="s">
        <v>2300</v>
      </c>
      <c r="J4528" s="2" t="s">
        <v>5</v>
      </c>
      <c r="K4528" s="2" t="s">
        <v>5</v>
      </c>
      <c r="L4528" s="2" t="s">
        <v>5</v>
      </c>
      <c r="M4528" s="2" t="s">
        <v>5</v>
      </c>
      <c r="N4528" s="4">
        <v>0</v>
      </c>
    </row>
    <row r="4529" spans="1:14" x14ac:dyDescent="0.25">
      <c r="A4529" s="2" t="s">
        <v>355</v>
      </c>
      <c r="B4529" s="2" t="s">
        <v>356</v>
      </c>
      <c r="C4529" s="3">
        <v>55</v>
      </c>
      <c r="D4529" s="4">
        <v>785.95</v>
      </c>
      <c r="E4529" s="4">
        <v>550</v>
      </c>
      <c r="F4529" s="4">
        <f t="shared" si="281"/>
        <v>235.95000000000005</v>
      </c>
      <c r="G4529" s="5">
        <f t="shared" si="282"/>
        <v>0.30020993701889437</v>
      </c>
      <c r="H4529" s="2" t="s">
        <v>5</v>
      </c>
      <c r="I4529" s="6" t="s">
        <v>2300</v>
      </c>
      <c r="J4529" s="2" t="s">
        <v>5</v>
      </c>
      <c r="K4529" s="2" t="s">
        <v>5</v>
      </c>
      <c r="L4529" s="2" t="s">
        <v>5</v>
      </c>
      <c r="M4529" s="2" t="s">
        <v>5</v>
      </c>
      <c r="N4529" s="4">
        <v>0</v>
      </c>
    </row>
    <row r="4530" spans="1:14" x14ac:dyDescent="0.25">
      <c r="A4530" s="2" t="s">
        <v>355</v>
      </c>
      <c r="B4530" s="2" t="s">
        <v>356</v>
      </c>
      <c r="C4530" s="3">
        <v>60</v>
      </c>
      <c r="D4530" s="4">
        <v>857.4</v>
      </c>
      <c r="E4530" s="4">
        <v>600</v>
      </c>
      <c r="F4530" s="4">
        <f t="shared" si="281"/>
        <v>257.39999999999998</v>
      </c>
      <c r="G4530" s="5">
        <f t="shared" si="282"/>
        <v>0.30020993701889431</v>
      </c>
      <c r="H4530" s="2" t="s">
        <v>5</v>
      </c>
      <c r="I4530" s="6" t="s">
        <v>2300</v>
      </c>
      <c r="J4530" s="2" t="s">
        <v>5</v>
      </c>
      <c r="K4530" s="2" t="s">
        <v>5</v>
      </c>
      <c r="L4530" s="2" t="s">
        <v>5</v>
      </c>
      <c r="M4530" s="2" t="s">
        <v>5</v>
      </c>
      <c r="N4530" s="4">
        <v>0</v>
      </c>
    </row>
    <row r="4531" spans="1:14" x14ac:dyDescent="0.25">
      <c r="A4531" s="2" t="s">
        <v>355</v>
      </c>
      <c r="B4531" s="2" t="s">
        <v>356</v>
      </c>
      <c r="C4531" s="3">
        <v>120</v>
      </c>
      <c r="D4531" s="4">
        <v>1714.8</v>
      </c>
      <c r="E4531" s="4">
        <v>1200</v>
      </c>
      <c r="F4531" s="4">
        <f t="shared" si="281"/>
        <v>514.79999999999995</v>
      </c>
      <c r="G4531" s="5">
        <f t="shared" si="282"/>
        <v>0.30020993701889431</v>
      </c>
      <c r="H4531" s="2" t="s">
        <v>5</v>
      </c>
      <c r="I4531" s="6" t="s">
        <v>2300</v>
      </c>
      <c r="J4531" s="2" t="s">
        <v>5</v>
      </c>
      <c r="K4531" s="2" t="s">
        <v>5</v>
      </c>
      <c r="L4531" s="2" t="s">
        <v>5</v>
      </c>
      <c r="M4531" s="2" t="s">
        <v>5</v>
      </c>
      <c r="N4531" s="4">
        <v>0</v>
      </c>
    </row>
    <row r="4532" spans="1:14" x14ac:dyDescent="0.25">
      <c r="A4532" s="2" t="s">
        <v>355</v>
      </c>
      <c r="B4532" s="2" t="s">
        <v>356</v>
      </c>
      <c r="C4532" s="3">
        <v>120</v>
      </c>
      <c r="D4532" s="4">
        <v>1714.8</v>
      </c>
      <c r="E4532" s="4">
        <v>1200</v>
      </c>
      <c r="F4532" s="4">
        <f t="shared" si="281"/>
        <v>514.79999999999995</v>
      </c>
      <c r="G4532" s="5">
        <f t="shared" si="282"/>
        <v>0.30020993701889431</v>
      </c>
      <c r="H4532" s="2" t="s">
        <v>5</v>
      </c>
      <c r="I4532" s="6" t="s">
        <v>2300</v>
      </c>
      <c r="J4532" s="2" t="s">
        <v>5</v>
      </c>
      <c r="K4532" s="2" t="s">
        <v>5</v>
      </c>
      <c r="L4532" s="2" t="s">
        <v>5</v>
      </c>
      <c r="M4532" s="2" t="s">
        <v>5</v>
      </c>
      <c r="N4532" s="4">
        <v>0</v>
      </c>
    </row>
    <row r="4533" spans="1:14" x14ac:dyDescent="0.25">
      <c r="A4533" s="2" t="s">
        <v>355</v>
      </c>
      <c r="B4533" s="2" t="s">
        <v>356</v>
      </c>
      <c r="C4533" s="3">
        <v>180</v>
      </c>
      <c r="D4533" s="4">
        <v>2572.1999999999998</v>
      </c>
      <c r="E4533" s="4">
        <v>1800</v>
      </c>
      <c r="F4533" s="4">
        <f t="shared" si="281"/>
        <v>772.19999999999982</v>
      </c>
      <c r="G4533" s="5">
        <f t="shared" si="282"/>
        <v>0.30020993701889426</v>
      </c>
      <c r="H4533" s="2" t="s">
        <v>5</v>
      </c>
      <c r="I4533" s="6" t="s">
        <v>2300</v>
      </c>
      <c r="J4533" s="2" t="s">
        <v>5</v>
      </c>
      <c r="K4533" s="2" t="s">
        <v>5</v>
      </c>
      <c r="L4533" s="2" t="s">
        <v>5</v>
      </c>
      <c r="M4533" s="2" t="s">
        <v>5</v>
      </c>
      <c r="N4533" s="4">
        <v>0</v>
      </c>
    </row>
    <row r="4534" spans="1:14" x14ac:dyDescent="0.25">
      <c r="A4534" s="2" t="s">
        <v>360</v>
      </c>
      <c r="B4534" s="2" t="s">
        <v>361</v>
      </c>
      <c r="C4534" s="3">
        <v>101.295</v>
      </c>
      <c r="D4534" s="4">
        <v>1670.35455</v>
      </c>
      <c r="E4534" s="4">
        <v>1195.2809999999999</v>
      </c>
      <c r="F4534" s="4">
        <f t="shared" si="281"/>
        <v>475.07355000000007</v>
      </c>
      <c r="G4534" s="5">
        <f t="shared" si="282"/>
        <v>0.28441479684657373</v>
      </c>
      <c r="H4534" s="2" t="s">
        <v>5</v>
      </c>
      <c r="I4534" s="6" t="s">
        <v>2300</v>
      </c>
      <c r="J4534" s="2" t="s">
        <v>5</v>
      </c>
      <c r="K4534" s="2" t="s">
        <v>5</v>
      </c>
      <c r="L4534" s="2" t="s">
        <v>5</v>
      </c>
      <c r="M4534" s="2" t="s">
        <v>5</v>
      </c>
      <c r="N4534" s="4">
        <v>0</v>
      </c>
    </row>
    <row r="4535" spans="1:14" x14ac:dyDescent="0.25">
      <c r="A4535" s="2" t="s">
        <v>360</v>
      </c>
      <c r="B4535" s="2" t="s">
        <v>361</v>
      </c>
      <c r="C4535" s="3">
        <v>30.59</v>
      </c>
      <c r="D4535" s="4">
        <v>504.42910000000001</v>
      </c>
      <c r="E4535" s="4">
        <v>360.96199999999999</v>
      </c>
      <c r="F4535" s="4">
        <f t="shared" si="281"/>
        <v>143.46710000000002</v>
      </c>
      <c r="G4535" s="5">
        <f t="shared" si="282"/>
        <v>0.28441479684657373</v>
      </c>
      <c r="H4535" s="2" t="s">
        <v>5</v>
      </c>
      <c r="I4535" s="6" t="s">
        <v>2300</v>
      </c>
      <c r="J4535" s="2" t="s">
        <v>5</v>
      </c>
      <c r="K4535" s="2" t="s">
        <v>5</v>
      </c>
      <c r="L4535" s="2" t="s">
        <v>5</v>
      </c>
      <c r="M4535" s="2" t="s">
        <v>5</v>
      </c>
      <c r="N4535" s="4">
        <v>0</v>
      </c>
    </row>
    <row r="4536" spans="1:14" x14ac:dyDescent="0.25">
      <c r="A4536" s="2" t="s">
        <v>360</v>
      </c>
      <c r="B4536" s="2" t="s">
        <v>361</v>
      </c>
      <c r="C4536" s="3">
        <v>15.37</v>
      </c>
      <c r="D4536" s="4">
        <v>253.4513</v>
      </c>
      <c r="E4536" s="4">
        <v>181.36600000000001</v>
      </c>
      <c r="F4536" s="4">
        <f t="shared" si="281"/>
        <v>72.085299999999989</v>
      </c>
      <c r="G4536" s="5">
        <f t="shared" si="282"/>
        <v>0.28441479684657361</v>
      </c>
      <c r="H4536" s="2" t="s">
        <v>5</v>
      </c>
      <c r="I4536" s="6" t="s">
        <v>2300</v>
      </c>
      <c r="J4536" s="2" t="s">
        <v>5</v>
      </c>
      <c r="K4536" s="2" t="s">
        <v>5</v>
      </c>
      <c r="L4536" s="2" t="s">
        <v>5</v>
      </c>
      <c r="M4536" s="2" t="s">
        <v>5</v>
      </c>
      <c r="N4536" s="4">
        <v>0</v>
      </c>
    </row>
    <row r="4537" spans="1:14" x14ac:dyDescent="0.25">
      <c r="A4537" s="2" t="s">
        <v>360</v>
      </c>
      <c r="B4537" s="2" t="s">
        <v>361</v>
      </c>
      <c r="C4537" s="3">
        <v>30.46</v>
      </c>
      <c r="D4537" s="4">
        <v>502.28539999999998</v>
      </c>
      <c r="E4537" s="4">
        <v>359.428</v>
      </c>
      <c r="F4537" s="4">
        <f t="shared" si="281"/>
        <v>142.85739999999998</v>
      </c>
      <c r="G4537" s="5">
        <f t="shared" si="282"/>
        <v>0.28441479684657367</v>
      </c>
      <c r="H4537" s="2" t="s">
        <v>5</v>
      </c>
      <c r="I4537" s="6" t="s">
        <v>2300</v>
      </c>
      <c r="J4537" s="2" t="s">
        <v>5</v>
      </c>
      <c r="K4537" s="2" t="s">
        <v>5</v>
      </c>
      <c r="L4537" s="2" t="s">
        <v>5</v>
      </c>
      <c r="M4537" s="2" t="s">
        <v>5</v>
      </c>
      <c r="N4537" s="4">
        <v>0</v>
      </c>
    </row>
    <row r="4538" spans="1:14" x14ac:dyDescent="0.25">
      <c r="A4538" s="2" t="s">
        <v>360</v>
      </c>
      <c r="B4538" s="2" t="s">
        <v>361</v>
      </c>
      <c r="C4538" s="3">
        <v>160.54</v>
      </c>
      <c r="D4538" s="4">
        <v>2647.3045999999999</v>
      </c>
      <c r="E4538" s="4">
        <v>1894.3720000000001</v>
      </c>
      <c r="F4538" s="4">
        <f t="shared" si="281"/>
        <v>752.93259999999987</v>
      </c>
      <c r="G4538" s="5">
        <f t="shared" si="282"/>
        <v>0.28441479684657361</v>
      </c>
      <c r="H4538" s="2" t="s">
        <v>5</v>
      </c>
      <c r="I4538" s="6" t="s">
        <v>2300</v>
      </c>
      <c r="J4538" s="2" t="s">
        <v>5</v>
      </c>
      <c r="K4538" s="2" t="s">
        <v>5</v>
      </c>
      <c r="L4538" s="2" t="s">
        <v>5</v>
      </c>
      <c r="M4538" s="2" t="s">
        <v>5</v>
      </c>
      <c r="N4538" s="4">
        <v>0</v>
      </c>
    </row>
    <row r="4539" spans="1:14" x14ac:dyDescent="0.25">
      <c r="A4539" s="2" t="s">
        <v>360</v>
      </c>
      <c r="B4539" s="2" t="s">
        <v>361</v>
      </c>
      <c r="C4539" s="3">
        <v>30.53</v>
      </c>
      <c r="D4539" s="4">
        <v>503.43970000000002</v>
      </c>
      <c r="E4539" s="4">
        <v>360.25400000000002</v>
      </c>
      <c r="F4539" s="4">
        <f t="shared" si="281"/>
        <v>143.1857</v>
      </c>
      <c r="G4539" s="5">
        <f t="shared" si="282"/>
        <v>0.28441479684657367</v>
      </c>
      <c r="H4539" s="2" t="s">
        <v>5</v>
      </c>
      <c r="I4539" s="6" t="s">
        <v>2300</v>
      </c>
      <c r="J4539" s="2" t="s">
        <v>5</v>
      </c>
      <c r="K4539" s="2" t="s">
        <v>5</v>
      </c>
      <c r="L4539" s="2" t="s">
        <v>5</v>
      </c>
      <c r="M4539" s="2" t="s">
        <v>5</v>
      </c>
      <c r="N4539" s="4">
        <v>0</v>
      </c>
    </row>
    <row r="4540" spans="1:14" x14ac:dyDescent="0.25">
      <c r="A4540" s="2" t="s">
        <v>360</v>
      </c>
      <c r="B4540" s="2" t="s">
        <v>361</v>
      </c>
      <c r="C4540" s="3">
        <v>111.63</v>
      </c>
      <c r="D4540" s="4">
        <v>1840.7787000000001</v>
      </c>
      <c r="E4540" s="4">
        <v>1317.2339999999999</v>
      </c>
      <c r="F4540" s="4">
        <f t="shared" si="281"/>
        <v>523.54470000000015</v>
      </c>
      <c r="G4540" s="5">
        <f t="shared" si="282"/>
        <v>0.28441479684657373</v>
      </c>
      <c r="H4540" s="2" t="s">
        <v>5</v>
      </c>
      <c r="I4540" s="6" t="s">
        <v>2300</v>
      </c>
      <c r="J4540" s="2" t="s">
        <v>5</v>
      </c>
      <c r="K4540" s="2" t="s">
        <v>5</v>
      </c>
      <c r="L4540" s="2" t="s">
        <v>5</v>
      </c>
      <c r="M4540" s="2" t="s">
        <v>5</v>
      </c>
      <c r="N4540" s="4">
        <v>0</v>
      </c>
    </row>
    <row r="4541" spans="1:14" x14ac:dyDescent="0.25">
      <c r="A4541" s="2" t="s">
        <v>360</v>
      </c>
      <c r="B4541" s="2" t="s">
        <v>361</v>
      </c>
      <c r="C4541" s="3">
        <v>40.43</v>
      </c>
      <c r="D4541" s="4">
        <v>666.69069999999999</v>
      </c>
      <c r="E4541" s="4">
        <v>477.07400000000001</v>
      </c>
      <c r="F4541" s="4">
        <f t="shared" si="281"/>
        <v>189.61669999999998</v>
      </c>
      <c r="G4541" s="5">
        <f t="shared" si="282"/>
        <v>0.28441479684657367</v>
      </c>
      <c r="H4541" s="2" t="s">
        <v>5</v>
      </c>
      <c r="I4541" s="6" t="s">
        <v>2300</v>
      </c>
      <c r="J4541" s="2" t="s">
        <v>5</v>
      </c>
      <c r="K4541" s="2" t="s">
        <v>5</v>
      </c>
      <c r="L4541" s="2" t="s">
        <v>5</v>
      </c>
      <c r="M4541" s="2" t="s">
        <v>5</v>
      </c>
      <c r="N4541" s="4">
        <v>0</v>
      </c>
    </row>
    <row r="4542" spans="1:14" x14ac:dyDescent="0.25">
      <c r="A4542" s="2" t="s">
        <v>360</v>
      </c>
      <c r="B4542" s="2" t="s">
        <v>361</v>
      </c>
      <c r="C4542" s="3">
        <v>45.8</v>
      </c>
      <c r="D4542" s="4">
        <v>755.24199999999996</v>
      </c>
      <c r="E4542" s="4">
        <v>540.44000000000005</v>
      </c>
      <c r="F4542" s="4">
        <f t="shared" si="281"/>
        <v>214.80199999999991</v>
      </c>
      <c r="G4542" s="5">
        <f t="shared" si="282"/>
        <v>0.28441479684657356</v>
      </c>
      <c r="H4542" s="2" t="s">
        <v>5</v>
      </c>
      <c r="I4542" s="6" t="s">
        <v>2300</v>
      </c>
      <c r="J4542" s="2" t="s">
        <v>5</v>
      </c>
      <c r="K4542" s="2" t="s">
        <v>5</v>
      </c>
      <c r="L4542" s="2" t="s">
        <v>5</v>
      </c>
      <c r="M4542" s="2" t="s">
        <v>5</v>
      </c>
      <c r="N4542" s="4">
        <v>0</v>
      </c>
    </row>
    <row r="4543" spans="1:14" x14ac:dyDescent="0.25">
      <c r="A4543" s="2" t="s">
        <v>360</v>
      </c>
      <c r="B4543" s="2" t="s">
        <v>361</v>
      </c>
      <c r="C4543" s="3">
        <v>15.32</v>
      </c>
      <c r="D4543" s="4">
        <v>252.6268</v>
      </c>
      <c r="E4543" s="4">
        <v>180.77600000000001</v>
      </c>
      <c r="F4543" s="4">
        <f t="shared" si="281"/>
        <v>71.850799999999992</v>
      </c>
      <c r="G4543" s="5">
        <f t="shared" si="282"/>
        <v>0.28441479684657367</v>
      </c>
      <c r="H4543" s="2" t="s">
        <v>5</v>
      </c>
      <c r="I4543" s="6" t="s">
        <v>2300</v>
      </c>
      <c r="J4543" s="2" t="s">
        <v>5</v>
      </c>
      <c r="K4543" s="2" t="s">
        <v>5</v>
      </c>
      <c r="L4543" s="2" t="s">
        <v>5</v>
      </c>
      <c r="M4543" s="2" t="s">
        <v>5</v>
      </c>
      <c r="N4543" s="4">
        <v>0</v>
      </c>
    </row>
    <row r="4544" spans="1:14" x14ac:dyDescent="0.25">
      <c r="A4544" s="2" t="s">
        <v>360</v>
      </c>
      <c r="B4544" s="2" t="s">
        <v>361</v>
      </c>
      <c r="C4544" s="3">
        <v>25.36</v>
      </c>
      <c r="D4544" s="4">
        <v>418.18639999999999</v>
      </c>
      <c r="E4544" s="4">
        <v>299.24799999999999</v>
      </c>
      <c r="F4544" s="4">
        <f t="shared" si="281"/>
        <v>118.9384</v>
      </c>
      <c r="G4544" s="5">
        <f t="shared" si="282"/>
        <v>0.28441479684657367</v>
      </c>
      <c r="H4544" s="2" t="s">
        <v>5</v>
      </c>
      <c r="I4544" s="6" t="s">
        <v>2300</v>
      </c>
      <c r="J4544" s="2" t="s">
        <v>5</v>
      </c>
      <c r="K4544" s="2" t="s">
        <v>5</v>
      </c>
      <c r="L4544" s="2" t="s">
        <v>5</v>
      </c>
      <c r="M4544" s="2" t="s">
        <v>5</v>
      </c>
      <c r="N4544" s="4">
        <v>0</v>
      </c>
    </row>
    <row r="4545" spans="1:14" x14ac:dyDescent="0.25">
      <c r="A4545" s="2" t="s">
        <v>360</v>
      </c>
      <c r="B4545" s="2" t="s">
        <v>361</v>
      </c>
      <c r="C4545" s="3">
        <v>83.795000000000002</v>
      </c>
      <c r="D4545" s="4">
        <v>1381.77955</v>
      </c>
      <c r="E4545" s="4">
        <v>988.78099999999995</v>
      </c>
      <c r="F4545" s="4">
        <f t="shared" si="281"/>
        <v>392.99855000000002</v>
      </c>
      <c r="G4545" s="5">
        <f t="shared" si="282"/>
        <v>0.28441479684657373</v>
      </c>
      <c r="H4545" s="2" t="s">
        <v>5</v>
      </c>
      <c r="I4545" s="6" t="s">
        <v>2300</v>
      </c>
      <c r="J4545" s="2" t="s">
        <v>5</v>
      </c>
      <c r="K4545" s="2" t="s">
        <v>5</v>
      </c>
      <c r="L4545" s="2" t="s">
        <v>5</v>
      </c>
      <c r="M4545" s="2" t="s">
        <v>5</v>
      </c>
      <c r="N4545" s="4">
        <v>0</v>
      </c>
    </row>
    <row r="4546" spans="1:14" x14ac:dyDescent="0.25">
      <c r="A4546" s="2" t="s">
        <v>360</v>
      </c>
      <c r="B4546" s="2" t="s">
        <v>361</v>
      </c>
      <c r="C4546" s="3">
        <v>55.274999999999999</v>
      </c>
      <c r="D4546" s="4">
        <v>911.48474999999996</v>
      </c>
      <c r="E4546" s="4">
        <v>652.245</v>
      </c>
      <c r="F4546" s="4">
        <f t="shared" si="281"/>
        <v>259.23974999999996</v>
      </c>
      <c r="G4546" s="5">
        <f t="shared" si="282"/>
        <v>0.28441479684657367</v>
      </c>
      <c r="H4546" s="2" t="s">
        <v>5</v>
      </c>
      <c r="I4546" s="6" t="s">
        <v>2300</v>
      </c>
      <c r="J4546" s="2" t="s">
        <v>5</v>
      </c>
      <c r="K4546" s="2" t="s">
        <v>5</v>
      </c>
      <c r="L4546" s="2" t="s">
        <v>5</v>
      </c>
      <c r="M4546" s="2" t="s">
        <v>5</v>
      </c>
      <c r="N4546" s="4">
        <v>0</v>
      </c>
    </row>
    <row r="4547" spans="1:14" x14ac:dyDescent="0.25">
      <c r="A4547" s="2" t="s">
        <v>360</v>
      </c>
      <c r="B4547" s="2" t="s">
        <v>361</v>
      </c>
      <c r="C4547" s="3">
        <v>30.5</v>
      </c>
      <c r="D4547" s="4">
        <v>502.94499999999999</v>
      </c>
      <c r="E4547" s="4">
        <v>359.9</v>
      </c>
      <c r="F4547" s="4">
        <f t="shared" si="281"/>
        <v>143.04500000000002</v>
      </c>
      <c r="G4547" s="5">
        <f t="shared" si="282"/>
        <v>0.28441479684657373</v>
      </c>
      <c r="H4547" s="2" t="s">
        <v>5</v>
      </c>
      <c r="I4547" s="6" t="s">
        <v>2300</v>
      </c>
      <c r="J4547" s="2" t="s">
        <v>5</v>
      </c>
      <c r="K4547" s="2" t="s">
        <v>5</v>
      </c>
      <c r="L4547" s="2" t="s">
        <v>5</v>
      </c>
      <c r="M4547" s="2" t="s">
        <v>5</v>
      </c>
      <c r="N4547" s="4">
        <v>0</v>
      </c>
    </row>
    <row r="4548" spans="1:14" x14ac:dyDescent="0.25">
      <c r="A4548" s="2" t="s">
        <v>360</v>
      </c>
      <c r="B4548" s="2" t="s">
        <v>361</v>
      </c>
      <c r="C4548" s="3">
        <v>30.4</v>
      </c>
      <c r="D4548" s="4">
        <v>501.29599999999999</v>
      </c>
      <c r="E4548" s="4">
        <v>358.72</v>
      </c>
      <c r="F4548" s="4">
        <f t="shared" si="281"/>
        <v>142.57599999999996</v>
      </c>
      <c r="G4548" s="5">
        <f t="shared" si="282"/>
        <v>0.28441479684657361</v>
      </c>
      <c r="H4548" s="2" t="s">
        <v>5</v>
      </c>
      <c r="I4548" s="6" t="s">
        <v>2300</v>
      </c>
      <c r="J4548" s="2" t="s">
        <v>5</v>
      </c>
      <c r="K4548" s="2" t="s">
        <v>5</v>
      </c>
      <c r="L4548" s="2" t="s">
        <v>5</v>
      </c>
      <c r="M4548" s="2" t="s">
        <v>5</v>
      </c>
      <c r="N4548" s="4">
        <v>0</v>
      </c>
    </row>
    <row r="4549" spans="1:14" x14ac:dyDescent="0.25">
      <c r="A4549" s="2" t="s">
        <v>360</v>
      </c>
      <c r="B4549" s="2" t="s">
        <v>361</v>
      </c>
      <c r="C4549" s="3">
        <v>15.34</v>
      </c>
      <c r="D4549" s="4">
        <v>252.95660000000001</v>
      </c>
      <c r="E4549" s="4">
        <v>181.012</v>
      </c>
      <c r="F4549" s="4">
        <f t="shared" si="281"/>
        <v>71.944600000000008</v>
      </c>
      <c r="G4549" s="5">
        <f t="shared" si="282"/>
        <v>0.28441479684657373</v>
      </c>
      <c r="H4549" s="2" t="s">
        <v>5</v>
      </c>
      <c r="I4549" s="6" t="s">
        <v>2300</v>
      </c>
      <c r="J4549" s="2" t="s">
        <v>5</v>
      </c>
      <c r="K4549" s="2" t="s">
        <v>5</v>
      </c>
      <c r="L4549" s="2" t="s">
        <v>5</v>
      </c>
      <c r="M4549" s="2" t="s">
        <v>5</v>
      </c>
      <c r="N4549" s="4">
        <v>0</v>
      </c>
    </row>
    <row r="4550" spans="1:14" x14ac:dyDescent="0.25">
      <c r="A4550" s="2" t="s">
        <v>360</v>
      </c>
      <c r="B4550" s="2" t="s">
        <v>361</v>
      </c>
      <c r="C4550" s="3">
        <v>40.68</v>
      </c>
      <c r="D4550" s="4">
        <v>670.81320000000005</v>
      </c>
      <c r="E4550" s="4">
        <v>480.024</v>
      </c>
      <c r="F4550" s="4">
        <f t="shared" si="281"/>
        <v>190.78920000000005</v>
      </c>
      <c r="G4550" s="5">
        <f t="shared" si="282"/>
        <v>0.28441479684657373</v>
      </c>
      <c r="H4550" s="2" t="s">
        <v>5</v>
      </c>
      <c r="I4550" s="6" t="s">
        <v>2300</v>
      </c>
      <c r="J4550" s="2" t="s">
        <v>5</v>
      </c>
      <c r="K4550" s="2" t="s">
        <v>5</v>
      </c>
      <c r="L4550" s="2" t="s">
        <v>5</v>
      </c>
      <c r="M4550" s="2" t="s">
        <v>5</v>
      </c>
      <c r="N4550" s="4">
        <v>0</v>
      </c>
    </row>
    <row r="4551" spans="1:14" x14ac:dyDescent="0.25">
      <c r="A4551" s="2" t="s">
        <v>360</v>
      </c>
      <c r="B4551" s="2" t="s">
        <v>361</v>
      </c>
      <c r="C4551" s="3">
        <v>15.14</v>
      </c>
      <c r="D4551" s="4">
        <v>249.65860000000001</v>
      </c>
      <c r="E4551" s="4">
        <v>178.65199999999999</v>
      </c>
      <c r="F4551" s="4">
        <f t="shared" si="281"/>
        <v>71.00660000000002</v>
      </c>
      <c r="G4551" s="5">
        <f t="shared" si="282"/>
        <v>0.28441479684657378</v>
      </c>
      <c r="H4551" s="2" t="s">
        <v>5</v>
      </c>
      <c r="I4551" s="6" t="s">
        <v>2300</v>
      </c>
      <c r="J4551" s="2" t="s">
        <v>5</v>
      </c>
      <c r="K4551" s="2" t="s">
        <v>5</v>
      </c>
      <c r="L4551" s="2" t="s">
        <v>5</v>
      </c>
      <c r="M4551" s="2" t="s">
        <v>5</v>
      </c>
      <c r="N4551" s="4">
        <v>0</v>
      </c>
    </row>
    <row r="4552" spans="1:14" x14ac:dyDescent="0.25">
      <c r="A4552" s="2" t="s">
        <v>360</v>
      </c>
      <c r="B4552" s="2" t="s">
        <v>361</v>
      </c>
      <c r="C4552" s="3">
        <v>15.3</v>
      </c>
      <c r="D4552" s="4">
        <v>252.297</v>
      </c>
      <c r="E4552" s="4">
        <v>180.54</v>
      </c>
      <c r="F4552" s="4">
        <f t="shared" si="281"/>
        <v>71.757000000000005</v>
      </c>
      <c r="G4552" s="5">
        <f t="shared" si="282"/>
        <v>0.28441479684657373</v>
      </c>
      <c r="H4552" s="2" t="s">
        <v>5</v>
      </c>
      <c r="I4552" s="6" t="s">
        <v>2300</v>
      </c>
      <c r="J4552" s="2" t="s">
        <v>5</v>
      </c>
      <c r="K4552" s="2" t="s">
        <v>5</v>
      </c>
      <c r="L4552" s="2" t="s">
        <v>5</v>
      </c>
      <c r="M4552" s="2" t="s">
        <v>5</v>
      </c>
      <c r="N4552" s="4">
        <v>0</v>
      </c>
    </row>
    <row r="4553" spans="1:14" x14ac:dyDescent="0.25">
      <c r="A4553" s="2" t="s">
        <v>466</v>
      </c>
      <c r="B4553" s="2" t="s">
        <v>467</v>
      </c>
      <c r="C4553" s="3">
        <v>59.37</v>
      </c>
      <c r="D4553" s="4">
        <v>848.39729999999997</v>
      </c>
      <c r="E4553" s="4">
        <v>653.07000000000005</v>
      </c>
      <c r="F4553" s="4">
        <f t="shared" si="281"/>
        <v>195.32729999999992</v>
      </c>
      <c r="G4553" s="5">
        <f t="shared" si="282"/>
        <v>0.23023093072078368</v>
      </c>
      <c r="H4553" s="2" t="s">
        <v>5</v>
      </c>
      <c r="I4553" s="6" t="s">
        <v>2300</v>
      </c>
      <c r="J4553" s="2" t="s">
        <v>5</v>
      </c>
      <c r="K4553" s="2" t="s">
        <v>5</v>
      </c>
      <c r="L4553" s="2" t="s">
        <v>5</v>
      </c>
      <c r="M4553" s="2" t="s">
        <v>5</v>
      </c>
      <c r="N4553" s="4">
        <v>0</v>
      </c>
    </row>
    <row r="4554" spans="1:14" x14ac:dyDescent="0.25">
      <c r="A4554" s="2" t="s">
        <v>466</v>
      </c>
      <c r="B4554" s="2" t="s">
        <v>467</v>
      </c>
      <c r="C4554" s="3">
        <v>47.72</v>
      </c>
      <c r="D4554" s="4">
        <v>681.91880000000003</v>
      </c>
      <c r="E4554" s="4">
        <v>524.91999999999996</v>
      </c>
      <c r="F4554" s="4">
        <f t="shared" si="281"/>
        <v>156.99880000000007</v>
      </c>
      <c r="G4554" s="5">
        <f t="shared" si="282"/>
        <v>0.23023093072078385</v>
      </c>
      <c r="H4554" s="2" t="s">
        <v>5</v>
      </c>
      <c r="I4554" s="6" t="s">
        <v>2300</v>
      </c>
      <c r="J4554" s="2" t="s">
        <v>5</v>
      </c>
      <c r="K4554" s="2" t="s">
        <v>5</v>
      </c>
      <c r="L4554" s="2" t="s">
        <v>5</v>
      </c>
      <c r="M4554" s="2" t="s">
        <v>5</v>
      </c>
      <c r="N4554" s="4">
        <v>0</v>
      </c>
    </row>
    <row r="4555" spans="1:14" x14ac:dyDescent="0.25">
      <c r="A4555" s="2" t="s">
        <v>466</v>
      </c>
      <c r="B4555" s="2" t="s">
        <v>467</v>
      </c>
      <c r="C4555" s="3">
        <v>32.26</v>
      </c>
      <c r="D4555" s="4">
        <v>460.99540000000002</v>
      </c>
      <c r="E4555" s="4">
        <v>354.86</v>
      </c>
      <c r="F4555" s="4">
        <f t="shared" si="281"/>
        <v>106.1354</v>
      </c>
      <c r="G4555" s="5">
        <f t="shared" si="282"/>
        <v>0.23023093072078377</v>
      </c>
      <c r="H4555" s="2" t="s">
        <v>5</v>
      </c>
      <c r="I4555" s="6" t="s">
        <v>2300</v>
      </c>
      <c r="J4555" s="2" t="s">
        <v>5</v>
      </c>
      <c r="K4555" s="2" t="s">
        <v>5</v>
      </c>
      <c r="L4555" s="2" t="s">
        <v>5</v>
      </c>
      <c r="M4555" s="2" t="s">
        <v>5</v>
      </c>
      <c r="N4555" s="4">
        <v>0</v>
      </c>
    </row>
    <row r="4556" spans="1:14" x14ac:dyDescent="0.25">
      <c r="A4556" s="2" t="s">
        <v>466</v>
      </c>
      <c r="B4556" s="2" t="s">
        <v>467</v>
      </c>
      <c r="C4556" s="3">
        <v>44.36</v>
      </c>
      <c r="D4556" s="4">
        <v>633.90440000000001</v>
      </c>
      <c r="E4556" s="4">
        <v>487.96</v>
      </c>
      <c r="F4556" s="4">
        <f t="shared" si="281"/>
        <v>145.94440000000003</v>
      </c>
      <c r="G4556" s="5">
        <f t="shared" si="282"/>
        <v>0.23023093072078382</v>
      </c>
      <c r="H4556" s="2" t="s">
        <v>5</v>
      </c>
      <c r="I4556" s="6" t="s">
        <v>2300</v>
      </c>
      <c r="J4556" s="2" t="s">
        <v>5</v>
      </c>
      <c r="K4556" s="2" t="s">
        <v>5</v>
      </c>
      <c r="L4556" s="2" t="s">
        <v>5</v>
      </c>
      <c r="M4556" s="2" t="s">
        <v>5</v>
      </c>
      <c r="N4556" s="4">
        <v>0</v>
      </c>
    </row>
    <row r="4557" spans="1:14" x14ac:dyDescent="0.25">
      <c r="A4557" s="2" t="s">
        <v>466</v>
      </c>
      <c r="B4557" s="2" t="s">
        <v>467</v>
      </c>
      <c r="C4557" s="3">
        <v>80.11</v>
      </c>
      <c r="D4557" s="4">
        <v>1144.7719</v>
      </c>
      <c r="E4557" s="4">
        <v>881.21</v>
      </c>
      <c r="F4557" s="4">
        <f t="shared" si="281"/>
        <v>263.56189999999992</v>
      </c>
      <c r="G4557" s="5">
        <f t="shared" si="282"/>
        <v>0.23023093072078371</v>
      </c>
      <c r="H4557" s="2" t="s">
        <v>5</v>
      </c>
      <c r="I4557" s="6" t="s">
        <v>2300</v>
      </c>
      <c r="J4557" s="2" t="s">
        <v>5</v>
      </c>
      <c r="K4557" s="2" t="s">
        <v>5</v>
      </c>
      <c r="L4557" s="2" t="s">
        <v>5</v>
      </c>
      <c r="M4557" s="2" t="s">
        <v>5</v>
      </c>
      <c r="N4557" s="4">
        <v>0</v>
      </c>
    </row>
    <row r="4558" spans="1:14" x14ac:dyDescent="0.25">
      <c r="A4558" s="2" t="s">
        <v>466</v>
      </c>
      <c r="B4558" s="2" t="s">
        <v>467</v>
      </c>
      <c r="C4558" s="3">
        <v>29.88</v>
      </c>
      <c r="D4558" s="4">
        <v>426.98520000000002</v>
      </c>
      <c r="E4558" s="4">
        <v>328.68</v>
      </c>
      <c r="F4558" s="4">
        <f t="shared" si="281"/>
        <v>98.305200000000013</v>
      </c>
      <c r="G4558" s="5">
        <f t="shared" si="282"/>
        <v>0.23023093072078379</v>
      </c>
      <c r="H4558" s="2" t="s">
        <v>5</v>
      </c>
      <c r="I4558" s="6" t="s">
        <v>2300</v>
      </c>
      <c r="J4558" s="2" t="s">
        <v>5</v>
      </c>
      <c r="K4558" s="2" t="s">
        <v>5</v>
      </c>
      <c r="L4558" s="2" t="s">
        <v>5</v>
      </c>
      <c r="M4558" s="2" t="s">
        <v>5</v>
      </c>
      <c r="N4558" s="4">
        <v>0</v>
      </c>
    </row>
    <row r="4559" spans="1:14" x14ac:dyDescent="0.25">
      <c r="A4559" s="2" t="s">
        <v>362</v>
      </c>
      <c r="B4559" s="2" t="s">
        <v>363</v>
      </c>
      <c r="C4559" s="3">
        <v>137.75</v>
      </c>
      <c r="D4559" s="4">
        <v>1750.8025</v>
      </c>
      <c r="E4559" s="4">
        <v>1377.5</v>
      </c>
      <c r="F4559" s="4">
        <f t="shared" si="281"/>
        <v>373.30250000000001</v>
      </c>
      <c r="G4559" s="5">
        <f t="shared" si="282"/>
        <v>0.21321793863099922</v>
      </c>
      <c r="H4559" s="2" t="s">
        <v>5</v>
      </c>
      <c r="I4559" s="6" t="s">
        <v>2300</v>
      </c>
      <c r="J4559" s="2" t="s">
        <v>5</v>
      </c>
      <c r="K4559" s="2" t="s">
        <v>5</v>
      </c>
      <c r="L4559" s="2" t="s">
        <v>5</v>
      </c>
      <c r="M4559" s="2" t="s">
        <v>5</v>
      </c>
      <c r="N4559" s="4">
        <v>0</v>
      </c>
    </row>
    <row r="4560" spans="1:14" x14ac:dyDescent="0.25">
      <c r="A4560" s="2" t="s">
        <v>362</v>
      </c>
      <c r="B4560" s="2" t="s">
        <v>363</v>
      </c>
      <c r="C4560" s="3">
        <v>76.3</v>
      </c>
      <c r="D4560" s="4">
        <v>969.77300000000002</v>
      </c>
      <c r="E4560" s="4">
        <v>763</v>
      </c>
      <c r="F4560" s="4">
        <f t="shared" si="281"/>
        <v>206.77300000000002</v>
      </c>
      <c r="G4560" s="5">
        <f t="shared" si="282"/>
        <v>0.21321793863099922</v>
      </c>
      <c r="H4560" s="2" t="s">
        <v>5</v>
      </c>
      <c r="I4560" s="6" t="s">
        <v>2300</v>
      </c>
      <c r="J4560" s="2" t="s">
        <v>5</v>
      </c>
      <c r="K4560" s="2" t="s">
        <v>5</v>
      </c>
      <c r="L4560" s="2" t="s">
        <v>5</v>
      </c>
      <c r="M4560" s="2" t="s">
        <v>5</v>
      </c>
      <c r="N4560" s="4">
        <v>0</v>
      </c>
    </row>
    <row r="4561" spans="1:14" x14ac:dyDescent="0.25">
      <c r="A4561" s="2" t="s">
        <v>362</v>
      </c>
      <c r="B4561" s="2" t="s">
        <v>363</v>
      </c>
      <c r="C4561" s="3">
        <v>60.87</v>
      </c>
      <c r="D4561" s="4">
        <v>773.65769999999998</v>
      </c>
      <c r="E4561" s="4">
        <v>608.70000000000005</v>
      </c>
      <c r="F4561" s="4">
        <f t="shared" si="281"/>
        <v>164.95769999999993</v>
      </c>
      <c r="G4561" s="5">
        <f t="shared" si="282"/>
        <v>0.21321793863099914</v>
      </c>
      <c r="H4561" s="2" t="s">
        <v>5</v>
      </c>
      <c r="I4561" s="6" t="s">
        <v>2300</v>
      </c>
      <c r="J4561" s="2" t="s">
        <v>5</v>
      </c>
      <c r="K4561" s="2" t="s">
        <v>5</v>
      </c>
      <c r="L4561" s="2" t="s">
        <v>5</v>
      </c>
      <c r="M4561" s="2" t="s">
        <v>5</v>
      </c>
      <c r="N4561" s="4">
        <v>0</v>
      </c>
    </row>
    <row r="4562" spans="1:14" x14ac:dyDescent="0.25">
      <c r="A4562" s="2" t="s">
        <v>362</v>
      </c>
      <c r="B4562" s="2" t="s">
        <v>363</v>
      </c>
      <c r="C4562" s="3">
        <v>40.549999999999997</v>
      </c>
      <c r="D4562" s="4">
        <v>515.39049999999997</v>
      </c>
      <c r="E4562" s="4">
        <v>494.71</v>
      </c>
      <c r="F4562" s="4">
        <f t="shared" si="281"/>
        <v>20.680499999999995</v>
      </c>
      <c r="G4562" s="5">
        <f t="shared" si="282"/>
        <v>4.0125885129819031E-2</v>
      </c>
      <c r="H4562" s="2" t="s">
        <v>5</v>
      </c>
      <c r="I4562" s="6" t="s">
        <v>2300</v>
      </c>
      <c r="J4562" s="2" t="s">
        <v>5</v>
      </c>
      <c r="K4562" s="2" t="s">
        <v>5</v>
      </c>
      <c r="L4562" s="2" t="s">
        <v>5</v>
      </c>
      <c r="M4562" s="2" t="s">
        <v>5</v>
      </c>
      <c r="N4562" s="4">
        <v>0</v>
      </c>
    </row>
    <row r="4563" spans="1:14" x14ac:dyDescent="0.25">
      <c r="A4563" s="2" t="s">
        <v>362</v>
      </c>
      <c r="B4563" s="2" t="s">
        <v>363</v>
      </c>
      <c r="C4563" s="3">
        <v>15.16</v>
      </c>
      <c r="D4563" s="4">
        <v>192.68360000000001</v>
      </c>
      <c r="E4563" s="4">
        <v>184.952</v>
      </c>
      <c r="F4563" s="4">
        <f t="shared" si="281"/>
        <v>7.7316000000000145</v>
      </c>
      <c r="G4563" s="5">
        <f t="shared" si="282"/>
        <v>4.0125885129819114E-2</v>
      </c>
      <c r="H4563" s="2" t="s">
        <v>5</v>
      </c>
      <c r="I4563" s="6" t="s">
        <v>2300</v>
      </c>
      <c r="J4563" s="2" t="s">
        <v>5</v>
      </c>
      <c r="K4563" s="2" t="s">
        <v>5</v>
      </c>
      <c r="L4563" s="2" t="s">
        <v>5</v>
      </c>
      <c r="M4563" s="2" t="s">
        <v>5</v>
      </c>
      <c r="N4563" s="4">
        <v>0</v>
      </c>
    </row>
    <row r="4564" spans="1:14" x14ac:dyDescent="0.25">
      <c r="A4564" s="2" t="s">
        <v>362</v>
      </c>
      <c r="B4564" s="2" t="s">
        <v>363</v>
      </c>
      <c r="C4564" s="3">
        <v>15.25</v>
      </c>
      <c r="D4564" s="4">
        <v>193.82749999999999</v>
      </c>
      <c r="E4564" s="4">
        <v>186.05</v>
      </c>
      <c r="F4564" s="4">
        <f t="shared" si="281"/>
        <v>7.777499999999975</v>
      </c>
      <c r="G4564" s="5">
        <f t="shared" si="282"/>
        <v>4.0125885129818913E-2</v>
      </c>
      <c r="H4564" s="2" t="s">
        <v>5</v>
      </c>
      <c r="I4564" s="6" t="s">
        <v>2300</v>
      </c>
      <c r="J4564" s="2" t="s">
        <v>5</v>
      </c>
      <c r="K4564" s="2" t="s">
        <v>5</v>
      </c>
      <c r="L4564" s="2" t="s">
        <v>5</v>
      </c>
      <c r="M4564" s="2" t="s">
        <v>5</v>
      </c>
      <c r="N4564" s="4">
        <v>0</v>
      </c>
    </row>
    <row r="4565" spans="1:14" x14ac:dyDescent="0.25">
      <c r="A4565" s="2" t="s">
        <v>362</v>
      </c>
      <c r="B4565" s="2" t="s">
        <v>363</v>
      </c>
      <c r="C4565" s="3">
        <v>15.22</v>
      </c>
      <c r="D4565" s="4">
        <v>193.4462</v>
      </c>
      <c r="E4565" s="4">
        <v>185.684</v>
      </c>
      <c r="F4565" s="4">
        <f t="shared" si="281"/>
        <v>7.7622000000000071</v>
      </c>
      <c r="G4565" s="5">
        <f t="shared" si="282"/>
        <v>4.0125885129819079E-2</v>
      </c>
      <c r="H4565" s="2" t="s">
        <v>5</v>
      </c>
      <c r="I4565" s="6" t="s">
        <v>2300</v>
      </c>
      <c r="J4565" s="2" t="s">
        <v>5</v>
      </c>
      <c r="K4565" s="2" t="s">
        <v>5</v>
      </c>
      <c r="L4565" s="2" t="s">
        <v>5</v>
      </c>
      <c r="M4565" s="2" t="s">
        <v>5</v>
      </c>
      <c r="N4565" s="4">
        <v>0</v>
      </c>
    </row>
    <row r="4566" spans="1:14" x14ac:dyDescent="0.25">
      <c r="A4566" s="2" t="s">
        <v>362</v>
      </c>
      <c r="B4566" s="2" t="s">
        <v>363</v>
      </c>
      <c r="C4566" s="3">
        <v>96.894999999999996</v>
      </c>
      <c r="D4566" s="4">
        <v>1231.5354500000001</v>
      </c>
      <c r="E4566" s="4">
        <v>1182.1189999999999</v>
      </c>
      <c r="F4566" s="4">
        <f t="shared" si="281"/>
        <v>49.416450000000168</v>
      </c>
      <c r="G4566" s="5">
        <f t="shared" si="282"/>
        <v>4.0125885129819176E-2</v>
      </c>
      <c r="H4566" s="2" t="s">
        <v>5</v>
      </c>
      <c r="I4566" s="6" t="s">
        <v>2300</v>
      </c>
      <c r="J4566" s="2" t="s">
        <v>5</v>
      </c>
      <c r="K4566" s="2" t="s">
        <v>5</v>
      </c>
      <c r="L4566" s="2" t="s">
        <v>5</v>
      </c>
      <c r="M4566" s="2" t="s">
        <v>5</v>
      </c>
      <c r="N4566" s="4">
        <v>0</v>
      </c>
    </row>
    <row r="4567" spans="1:14" x14ac:dyDescent="0.25">
      <c r="A4567" s="2" t="s">
        <v>362</v>
      </c>
      <c r="B4567" s="2" t="s">
        <v>363</v>
      </c>
      <c r="C4567" s="3">
        <v>30.04</v>
      </c>
      <c r="D4567" s="4">
        <v>381.80840000000001</v>
      </c>
      <c r="E4567" s="4">
        <v>366.488</v>
      </c>
      <c r="F4567" s="4">
        <f t="shared" si="281"/>
        <v>15.320400000000006</v>
      </c>
      <c r="G4567" s="5">
        <f t="shared" si="282"/>
        <v>4.0125885129819058E-2</v>
      </c>
      <c r="H4567" s="2" t="s">
        <v>5</v>
      </c>
      <c r="I4567" s="6" t="s">
        <v>2300</v>
      </c>
      <c r="J4567" s="2" t="s">
        <v>5</v>
      </c>
      <c r="K4567" s="2" t="s">
        <v>5</v>
      </c>
      <c r="L4567" s="2" t="s">
        <v>5</v>
      </c>
      <c r="M4567" s="2" t="s">
        <v>5</v>
      </c>
      <c r="N4567" s="4">
        <v>0</v>
      </c>
    </row>
    <row r="4568" spans="1:14" x14ac:dyDescent="0.25">
      <c r="A4568" s="2" t="s">
        <v>362</v>
      </c>
      <c r="B4568" s="2" t="s">
        <v>363</v>
      </c>
      <c r="C4568" s="3">
        <v>38.215000000000003</v>
      </c>
      <c r="D4568" s="4">
        <v>485.71265</v>
      </c>
      <c r="E4568" s="4">
        <v>466.22300000000001</v>
      </c>
      <c r="F4568" s="4">
        <f t="shared" si="281"/>
        <v>19.489649999999983</v>
      </c>
      <c r="G4568" s="5">
        <f t="shared" si="282"/>
        <v>4.0125885129819003E-2</v>
      </c>
      <c r="H4568" s="2" t="s">
        <v>5</v>
      </c>
      <c r="I4568" s="6" t="s">
        <v>2300</v>
      </c>
      <c r="J4568" s="2" t="s">
        <v>5</v>
      </c>
      <c r="K4568" s="2" t="s">
        <v>5</v>
      </c>
      <c r="L4568" s="2" t="s">
        <v>5</v>
      </c>
      <c r="M4568" s="2" t="s">
        <v>5</v>
      </c>
      <c r="N4568" s="4">
        <v>0</v>
      </c>
    </row>
    <row r="4569" spans="1:14" x14ac:dyDescent="0.25">
      <c r="A4569" s="2" t="s">
        <v>364</v>
      </c>
      <c r="B4569" s="2" t="s">
        <v>365</v>
      </c>
      <c r="C4569" s="3">
        <v>104.48</v>
      </c>
      <c r="D4569" s="4">
        <v>1493.0192</v>
      </c>
      <c r="E4569" s="4">
        <v>1180.624</v>
      </c>
      <c r="F4569" s="4">
        <f t="shared" si="281"/>
        <v>312.39519999999993</v>
      </c>
      <c r="G4569" s="5">
        <f t="shared" si="282"/>
        <v>0.20923722883135057</v>
      </c>
      <c r="H4569" s="2" t="s">
        <v>5</v>
      </c>
      <c r="I4569" s="6" t="s">
        <v>2300</v>
      </c>
      <c r="J4569" s="2" t="s">
        <v>5</v>
      </c>
      <c r="K4569" s="2" t="s">
        <v>5</v>
      </c>
      <c r="L4569" s="2" t="s">
        <v>5</v>
      </c>
      <c r="M4569" s="2" t="s">
        <v>5</v>
      </c>
      <c r="N4569" s="4">
        <v>0</v>
      </c>
    </row>
    <row r="4570" spans="1:14" x14ac:dyDescent="0.25">
      <c r="A4570" s="2" t="s">
        <v>364</v>
      </c>
      <c r="B4570" s="2" t="s">
        <v>365</v>
      </c>
      <c r="C4570" s="3">
        <v>21.08</v>
      </c>
      <c r="D4570" s="4">
        <v>301.23320000000001</v>
      </c>
      <c r="E4570" s="4">
        <v>238.20400000000001</v>
      </c>
      <c r="F4570" s="4">
        <f t="shared" si="281"/>
        <v>63.029200000000003</v>
      </c>
      <c r="G4570" s="5">
        <f t="shared" si="282"/>
        <v>0.2092372288313506</v>
      </c>
      <c r="H4570" s="2" t="s">
        <v>5</v>
      </c>
      <c r="I4570" s="6" t="s">
        <v>2300</v>
      </c>
      <c r="J4570" s="2" t="s">
        <v>5</v>
      </c>
      <c r="K4570" s="2" t="s">
        <v>5</v>
      </c>
      <c r="L4570" s="2" t="s">
        <v>5</v>
      </c>
      <c r="M4570" s="2" t="s">
        <v>5</v>
      </c>
      <c r="N4570" s="4">
        <v>0</v>
      </c>
    </row>
    <row r="4571" spans="1:14" x14ac:dyDescent="0.25">
      <c r="A4571" s="2" t="s">
        <v>364</v>
      </c>
      <c r="B4571" s="2" t="s">
        <v>365</v>
      </c>
      <c r="C4571" s="3">
        <v>43.4</v>
      </c>
      <c r="D4571" s="4">
        <v>620.18600000000004</v>
      </c>
      <c r="E4571" s="4">
        <v>490.42</v>
      </c>
      <c r="F4571" s="4">
        <f t="shared" si="281"/>
        <v>129.76600000000002</v>
      </c>
      <c r="G4571" s="5">
        <f t="shared" si="282"/>
        <v>0.20923722883135062</v>
      </c>
      <c r="H4571" s="2" t="s">
        <v>5</v>
      </c>
      <c r="I4571" s="6" t="s">
        <v>2300</v>
      </c>
      <c r="J4571" s="2" t="s">
        <v>5</v>
      </c>
      <c r="K4571" s="2" t="s">
        <v>5</v>
      </c>
      <c r="L4571" s="2" t="s">
        <v>5</v>
      </c>
      <c r="M4571" s="2" t="s">
        <v>5</v>
      </c>
      <c r="N4571" s="4">
        <v>0</v>
      </c>
    </row>
    <row r="4572" spans="1:14" x14ac:dyDescent="0.25">
      <c r="A4572" s="2" t="s">
        <v>364</v>
      </c>
      <c r="B4572" s="2" t="s">
        <v>365</v>
      </c>
      <c r="C4572" s="3">
        <v>282.05</v>
      </c>
      <c r="D4572" s="4">
        <v>4030.4944999999998</v>
      </c>
      <c r="E4572" s="4">
        <v>3187.165</v>
      </c>
      <c r="F4572" s="4">
        <f t="shared" si="281"/>
        <v>843.32949999999983</v>
      </c>
      <c r="G4572" s="5">
        <f t="shared" si="282"/>
        <v>0.20923722883135057</v>
      </c>
      <c r="H4572" s="2" t="s">
        <v>5</v>
      </c>
      <c r="I4572" s="6" t="s">
        <v>2300</v>
      </c>
      <c r="J4572" s="2" t="s">
        <v>5</v>
      </c>
      <c r="K4572" s="2" t="s">
        <v>5</v>
      </c>
      <c r="L4572" s="2" t="s">
        <v>5</v>
      </c>
      <c r="M4572" s="2" t="s">
        <v>5</v>
      </c>
      <c r="N4572" s="4">
        <v>0</v>
      </c>
    </row>
    <row r="4573" spans="1:14" x14ac:dyDescent="0.25">
      <c r="A4573" s="2" t="s">
        <v>364</v>
      </c>
      <c r="B4573" s="2" t="s">
        <v>365</v>
      </c>
      <c r="C4573" s="3">
        <v>17.399999999999999</v>
      </c>
      <c r="D4573" s="4">
        <v>248.64599999999999</v>
      </c>
      <c r="E4573" s="4">
        <v>196.62</v>
      </c>
      <c r="F4573" s="4">
        <f t="shared" si="281"/>
        <v>52.025999999999982</v>
      </c>
      <c r="G4573" s="5">
        <f t="shared" si="282"/>
        <v>0.20923722883135054</v>
      </c>
      <c r="H4573" s="2" t="s">
        <v>5</v>
      </c>
      <c r="I4573" s="6" t="s">
        <v>2300</v>
      </c>
      <c r="J4573" s="2" t="s">
        <v>5</v>
      </c>
      <c r="K4573" s="2" t="s">
        <v>5</v>
      </c>
      <c r="L4573" s="2" t="s">
        <v>5</v>
      </c>
      <c r="M4573" s="2" t="s">
        <v>5</v>
      </c>
      <c r="N4573" s="4">
        <v>0</v>
      </c>
    </row>
    <row r="4574" spans="1:14" x14ac:dyDescent="0.25">
      <c r="A4574" s="2" t="s">
        <v>364</v>
      </c>
      <c r="B4574" s="2" t="s">
        <v>365</v>
      </c>
      <c r="C4574" s="3">
        <v>445.98</v>
      </c>
      <c r="D4574" s="4">
        <v>6373.0541999999996</v>
      </c>
      <c r="E4574" s="4">
        <v>5039.5739999999996</v>
      </c>
      <c r="F4574" s="4">
        <f t="shared" si="281"/>
        <v>1333.4802</v>
      </c>
      <c r="G4574" s="5">
        <f t="shared" si="282"/>
        <v>0.2092372288313506</v>
      </c>
      <c r="H4574" s="2" t="s">
        <v>5</v>
      </c>
      <c r="I4574" s="6" t="s">
        <v>2300</v>
      </c>
      <c r="J4574" s="2" t="s">
        <v>5</v>
      </c>
      <c r="K4574" s="2" t="s">
        <v>5</v>
      </c>
      <c r="L4574" s="2" t="s">
        <v>5</v>
      </c>
      <c r="M4574" s="2" t="s">
        <v>5</v>
      </c>
      <c r="N4574" s="4">
        <v>0</v>
      </c>
    </row>
    <row r="4575" spans="1:14" x14ac:dyDescent="0.25">
      <c r="A4575" s="2" t="s">
        <v>364</v>
      </c>
      <c r="B4575" s="2" t="s">
        <v>365</v>
      </c>
      <c r="C4575" s="3">
        <v>68.89</v>
      </c>
      <c r="D4575" s="4">
        <v>984.43809999999996</v>
      </c>
      <c r="E4575" s="4">
        <v>778.45699999999999</v>
      </c>
      <c r="F4575" s="4">
        <f t="shared" si="281"/>
        <v>205.98109999999997</v>
      </c>
      <c r="G4575" s="5">
        <f t="shared" si="282"/>
        <v>0.20923722883135057</v>
      </c>
      <c r="H4575" s="2" t="s">
        <v>5</v>
      </c>
      <c r="I4575" s="6" t="s">
        <v>2300</v>
      </c>
      <c r="J4575" s="2" t="s">
        <v>5</v>
      </c>
      <c r="K4575" s="2" t="s">
        <v>5</v>
      </c>
      <c r="L4575" s="2" t="s">
        <v>5</v>
      </c>
      <c r="M4575" s="2" t="s">
        <v>5</v>
      </c>
      <c r="N4575" s="4">
        <v>0</v>
      </c>
    </row>
    <row r="4576" spans="1:14" x14ac:dyDescent="0.25">
      <c r="A4576" s="2" t="s">
        <v>364</v>
      </c>
      <c r="B4576" s="2" t="s">
        <v>365</v>
      </c>
      <c r="C4576" s="3">
        <v>24.6</v>
      </c>
      <c r="D4576" s="4">
        <v>351.53399999999999</v>
      </c>
      <c r="E4576" s="4">
        <v>277.98</v>
      </c>
      <c r="F4576" s="4">
        <f t="shared" si="281"/>
        <v>73.553999999999974</v>
      </c>
      <c r="G4576" s="5">
        <f t="shared" si="282"/>
        <v>0.20923722883135051</v>
      </c>
      <c r="H4576" s="2" t="s">
        <v>5</v>
      </c>
      <c r="I4576" s="6" t="s">
        <v>2300</v>
      </c>
      <c r="J4576" s="2" t="s">
        <v>5</v>
      </c>
      <c r="K4576" s="2" t="s">
        <v>5</v>
      </c>
      <c r="L4576" s="2" t="s">
        <v>5</v>
      </c>
      <c r="M4576" s="2" t="s">
        <v>5</v>
      </c>
      <c r="N4576" s="4">
        <v>0</v>
      </c>
    </row>
    <row r="4577" spans="1:14" x14ac:dyDescent="0.25">
      <c r="A4577" s="2" t="s">
        <v>364</v>
      </c>
      <c r="B4577" s="2" t="s">
        <v>365</v>
      </c>
      <c r="C4577" s="3">
        <v>44.4</v>
      </c>
      <c r="D4577" s="4">
        <v>634.476</v>
      </c>
      <c r="E4577" s="4">
        <v>501.72</v>
      </c>
      <c r="F4577" s="4">
        <f t="shared" ref="F4577:F4640" si="283">D4577-E4577</f>
        <v>132.75599999999997</v>
      </c>
      <c r="G4577" s="5">
        <f t="shared" ref="G4577:G4640" si="284">IF(((D4577)=0),0,(D4577-E4577)/ D4577)</f>
        <v>0.20923722883135054</v>
      </c>
      <c r="H4577" s="2" t="s">
        <v>5</v>
      </c>
      <c r="I4577" s="6" t="s">
        <v>2300</v>
      </c>
      <c r="J4577" s="2" t="s">
        <v>5</v>
      </c>
      <c r="K4577" s="2" t="s">
        <v>5</v>
      </c>
      <c r="L4577" s="2" t="s">
        <v>5</v>
      </c>
      <c r="M4577" s="2" t="s">
        <v>5</v>
      </c>
      <c r="N4577" s="4">
        <v>0</v>
      </c>
    </row>
    <row r="4578" spans="1:14" x14ac:dyDescent="0.25">
      <c r="A4578" s="2" t="s">
        <v>364</v>
      </c>
      <c r="B4578" s="2" t="s">
        <v>365</v>
      </c>
      <c r="C4578" s="3">
        <v>116.5</v>
      </c>
      <c r="D4578" s="4">
        <v>1664.7850000000001</v>
      </c>
      <c r="E4578" s="4">
        <v>1316.45</v>
      </c>
      <c r="F4578" s="4">
        <f t="shared" si="283"/>
        <v>348.33500000000004</v>
      </c>
      <c r="G4578" s="5">
        <f t="shared" si="284"/>
        <v>0.2092372288313506</v>
      </c>
      <c r="H4578" s="2" t="s">
        <v>5</v>
      </c>
      <c r="I4578" s="6" t="s">
        <v>2300</v>
      </c>
      <c r="J4578" s="2" t="s">
        <v>5</v>
      </c>
      <c r="K4578" s="2" t="s">
        <v>5</v>
      </c>
      <c r="L4578" s="2" t="s">
        <v>5</v>
      </c>
      <c r="M4578" s="2" t="s">
        <v>5</v>
      </c>
      <c r="N4578" s="4">
        <v>0</v>
      </c>
    </row>
    <row r="4579" spans="1:14" x14ac:dyDescent="0.25">
      <c r="A4579" s="2" t="s">
        <v>366</v>
      </c>
      <c r="B4579" s="2" t="s">
        <v>367</v>
      </c>
      <c r="C4579" s="3">
        <v>56.924999999999997</v>
      </c>
      <c r="D4579" s="4">
        <v>568.11149999999998</v>
      </c>
      <c r="E4579" s="4">
        <v>336.42675000000003</v>
      </c>
      <c r="F4579" s="4">
        <f t="shared" si="283"/>
        <v>231.68474999999995</v>
      </c>
      <c r="G4579" s="5">
        <f t="shared" si="284"/>
        <v>0.40781563126252496</v>
      </c>
      <c r="H4579" s="2" t="s">
        <v>5</v>
      </c>
      <c r="I4579" s="6" t="s">
        <v>2300</v>
      </c>
      <c r="J4579" s="2" t="s">
        <v>5</v>
      </c>
      <c r="K4579" s="2" t="s">
        <v>5</v>
      </c>
      <c r="L4579" s="2" t="s">
        <v>5</v>
      </c>
      <c r="M4579" s="2" t="s">
        <v>5</v>
      </c>
      <c r="N4579" s="4">
        <v>0</v>
      </c>
    </row>
    <row r="4580" spans="1:14" x14ac:dyDescent="0.25">
      <c r="A4580" s="2" t="s">
        <v>366</v>
      </c>
      <c r="B4580" s="2" t="s">
        <v>367</v>
      </c>
      <c r="C4580" s="3">
        <v>14.39</v>
      </c>
      <c r="D4580" s="4">
        <v>143.6122</v>
      </c>
      <c r="E4580" s="4">
        <v>85.044899999999998</v>
      </c>
      <c r="F4580" s="4">
        <f t="shared" si="283"/>
        <v>58.567300000000003</v>
      </c>
      <c r="G4580" s="5">
        <f t="shared" si="284"/>
        <v>0.40781563126252507</v>
      </c>
      <c r="H4580" s="2" t="s">
        <v>5</v>
      </c>
      <c r="I4580" s="6" t="s">
        <v>2300</v>
      </c>
      <c r="J4580" s="2" t="s">
        <v>5</v>
      </c>
      <c r="K4580" s="2" t="s">
        <v>5</v>
      </c>
      <c r="L4580" s="2" t="s">
        <v>5</v>
      </c>
      <c r="M4580" s="2" t="s">
        <v>5</v>
      </c>
      <c r="N4580" s="4">
        <v>0</v>
      </c>
    </row>
    <row r="4581" spans="1:14" x14ac:dyDescent="0.25">
      <c r="A4581" s="2" t="s">
        <v>366</v>
      </c>
      <c r="B4581" s="2" t="s">
        <v>367</v>
      </c>
      <c r="C4581" s="3">
        <v>57.685000000000002</v>
      </c>
      <c r="D4581" s="4">
        <v>575.69629999999995</v>
      </c>
      <c r="E4581" s="4">
        <v>340.91834999999998</v>
      </c>
      <c r="F4581" s="4">
        <f t="shared" si="283"/>
        <v>234.77794999999998</v>
      </c>
      <c r="G4581" s="5">
        <f t="shared" si="284"/>
        <v>0.40781563126252507</v>
      </c>
      <c r="H4581" s="2" t="s">
        <v>5</v>
      </c>
      <c r="I4581" s="6" t="s">
        <v>2300</v>
      </c>
      <c r="J4581" s="2" t="s">
        <v>5</v>
      </c>
      <c r="K4581" s="2" t="s">
        <v>5</v>
      </c>
      <c r="L4581" s="2" t="s">
        <v>5</v>
      </c>
      <c r="M4581" s="2" t="s">
        <v>5</v>
      </c>
      <c r="N4581" s="4">
        <v>0</v>
      </c>
    </row>
    <row r="4582" spans="1:14" x14ac:dyDescent="0.25">
      <c r="A4582" s="2" t="s">
        <v>366</v>
      </c>
      <c r="B4582" s="2" t="s">
        <v>367</v>
      </c>
      <c r="C4582" s="3">
        <v>59.774999999999999</v>
      </c>
      <c r="D4582" s="4">
        <v>596.55449999999996</v>
      </c>
      <c r="E4582" s="4">
        <v>353.27024999999998</v>
      </c>
      <c r="F4582" s="4">
        <f t="shared" si="283"/>
        <v>243.28424999999999</v>
      </c>
      <c r="G4582" s="5">
        <f t="shared" si="284"/>
        <v>0.40781563126252507</v>
      </c>
      <c r="H4582" s="2" t="s">
        <v>5</v>
      </c>
      <c r="I4582" s="6" t="s">
        <v>2300</v>
      </c>
      <c r="J4582" s="2" t="s">
        <v>5</v>
      </c>
      <c r="K4582" s="2" t="s">
        <v>5</v>
      </c>
      <c r="L4582" s="2" t="s">
        <v>5</v>
      </c>
      <c r="M4582" s="2" t="s">
        <v>5</v>
      </c>
      <c r="N4582" s="4">
        <v>0</v>
      </c>
    </row>
    <row r="4583" spans="1:14" x14ac:dyDescent="0.25">
      <c r="A4583" s="2" t="s">
        <v>366</v>
      </c>
      <c r="B4583" s="2" t="s">
        <v>367</v>
      </c>
      <c r="C4583" s="3">
        <v>130.965</v>
      </c>
      <c r="D4583" s="4">
        <v>1307.0307</v>
      </c>
      <c r="E4583" s="4">
        <v>774.00315000000001</v>
      </c>
      <c r="F4583" s="4">
        <f t="shared" si="283"/>
        <v>533.02755000000002</v>
      </c>
      <c r="G4583" s="5">
        <f t="shared" si="284"/>
        <v>0.40781563126252507</v>
      </c>
      <c r="H4583" s="2" t="s">
        <v>5</v>
      </c>
      <c r="I4583" s="6" t="s">
        <v>2300</v>
      </c>
      <c r="J4583" s="2" t="s">
        <v>5</v>
      </c>
      <c r="K4583" s="2" t="s">
        <v>5</v>
      </c>
      <c r="L4583" s="2" t="s">
        <v>5</v>
      </c>
      <c r="M4583" s="2" t="s">
        <v>5</v>
      </c>
      <c r="N4583" s="4">
        <v>0</v>
      </c>
    </row>
    <row r="4584" spans="1:14" x14ac:dyDescent="0.25">
      <c r="A4584" s="2" t="s">
        <v>366</v>
      </c>
      <c r="B4584" s="2" t="s">
        <v>367</v>
      </c>
      <c r="C4584" s="3">
        <v>84.79</v>
      </c>
      <c r="D4584" s="4">
        <v>846.20420000000001</v>
      </c>
      <c r="E4584" s="4">
        <v>501.10890000000001</v>
      </c>
      <c r="F4584" s="4">
        <f t="shared" si="283"/>
        <v>345.09530000000001</v>
      </c>
      <c r="G4584" s="5">
        <f t="shared" si="284"/>
        <v>0.40781563126252507</v>
      </c>
      <c r="H4584" s="2" t="s">
        <v>5</v>
      </c>
      <c r="I4584" s="6" t="s">
        <v>2300</v>
      </c>
      <c r="J4584" s="2" t="s">
        <v>5</v>
      </c>
      <c r="K4584" s="2" t="s">
        <v>5</v>
      </c>
      <c r="L4584" s="2" t="s">
        <v>5</v>
      </c>
      <c r="M4584" s="2" t="s">
        <v>5</v>
      </c>
      <c r="N4584" s="4">
        <v>0</v>
      </c>
    </row>
    <row r="4585" spans="1:14" x14ac:dyDescent="0.25">
      <c r="A4585" s="2" t="s">
        <v>366</v>
      </c>
      <c r="B4585" s="2" t="s">
        <v>367</v>
      </c>
      <c r="C4585" s="3">
        <v>29.385000000000002</v>
      </c>
      <c r="D4585" s="4">
        <v>293.26229999999998</v>
      </c>
      <c r="E4585" s="4">
        <v>173.66534999999999</v>
      </c>
      <c r="F4585" s="4">
        <f t="shared" si="283"/>
        <v>119.59694999999999</v>
      </c>
      <c r="G4585" s="5">
        <f t="shared" si="284"/>
        <v>0.40781563126252507</v>
      </c>
      <c r="H4585" s="2" t="s">
        <v>5</v>
      </c>
      <c r="I4585" s="6" t="s">
        <v>2300</v>
      </c>
      <c r="J4585" s="2" t="s">
        <v>5</v>
      </c>
      <c r="K4585" s="2" t="s">
        <v>5</v>
      </c>
      <c r="L4585" s="2" t="s">
        <v>5</v>
      </c>
      <c r="M4585" s="2" t="s">
        <v>5</v>
      </c>
      <c r="N4585" s="4">
        <v>0</v>
      </c>
    </row>
    <row r="4586" spans="1:14" x14ac:dyDescent="0.25">
      <c r="A4586" s="2" t="s">
        <v>436</v>
      </c>
      <c r="B4586" s="2" t="s">
        <v>437</v>
      </c>
      <c r="C4586" s="3">
        <v>15.37</v>
      </c>
      <c r="D4586" s="4">
        <v>144.47800000000001</v>
      </c>
      <c r="E4586" s="4">
        <v>115.27500000000001</v>
      </c>
      <c r="F4586" s="4">
        <f t="shared" si="283"/>
        <v>29.203000000000003</v>
      </c>
      <c r="G4586" s="5">
        <f t="shared" si="284"/>
        <v>0.2021276595744681</v>
      </c>
      <c r="H4586" s="2" t="s">
        <v>5</v>
      </c>
      <c r="I4586" s="6" t="s">
        <v>2300</v>
      </c>
      <c r="J4586" s="2" t="s">
        <v>5</v>
      </c>
      <c r="K4586" s="2" t="s">
        <v>5</v>
      </c>
      <c r="L4586" s="2" t="s">
        <v>5</v>
      </c>
      <c r="M4586" s="2" t="s">
        <v>5</v>
      </c>
      <c r="N4586" s="4">
        <v>0</v>
      </c>
    </row>
    <row r="4587" spans="1:14" x14ac:dyDescent="0.25">
      <c r="A4587" s="2" t="s">
        <v>436</v>
      </c>
      <c r="B4587" s="2" t="s">
        <v>437</v>
      </c>
      <c r="C4587" s="3">
        <v>10.17</v>
      </c>
      <c r="D4587" s="4">
        <v>95.597999999999999</v>
      </c>
      <c r="E4587" s="4">
        <v>81.36</v>
      </c>
      <c r="F4587" s="4">
        <f t="shared" si="283"/>
        <v>14.238</v>
      </c>
      <c r="G4587" s="5">
        <f t="shared" si="284"/>
        <v>0.14893617021276595</v>
      </c>
      <c r="H4587" s="2" t="s">
        <v>5</v>
      </c>
      <c r="I4587" s="6" t="s">
        <v>2300</v>
      </c>
      <c r="J4587" s="2" t="s">
        <v>5</v>
      </c>
      <c r="K4587" s="2" t="s">
        <v>5</v>
      </c>
      <c r="L4587" s="2" t="s">
        <v>5</v>
      </c>
      <c r="M4587" s="2" t="s">
        <v>5</v>
      </c>
      <c r="N4587" s="4">
        <v>0</v>
      </c>
    </row>
    <row r="4588" spans="1:14" x14ac:dyDescent="0.25">
      <c r="A4588" s="2" t="s">
        <v>368</v>
      </c>
      <c r="B4588" s="2" t="s">
        <v>369</v>
      </c>
      <c r="C4588" s="3">
        <v>15.36</v>
      </c>
      <c r="D4588" s="4">
        <v>253.28639999999999</v>
      </c>
      <c r="E4588" s="4">
        <v>192</v>
      </c>
      <c r="F4588" s="4">
        <f t="shared" si="283"/>
        <v>61.286399999999986</v>
      </c>
      <c r="G4588" s="5">
        <f t="shared" si="284"/>
        <v>0.24196482716798054</v>
      </c>
      <c r="H4588" s="2" t="s">
        <v>5</v>
      </c>
      <c r="I4588" s="6" t="s">
        <v>2300</v>
      </c>
      <c r="J4588" s="2" t="s">
        <v>5</v>
      </c>
      <c r="K4588" s="2" t="s">
        <v>5</v>
      </c>
      <c r="L4588" s="2" t="s">
        <v>5</v>
      </c>
      <c r="M4588" s="2" t="s">
        <v>5</v>
      </c>
      <c r="N4588" s="4">
        <v>0</v>
      </c>
    </row>
    <row r="4589" spans="1:14" x14ac:dyDescent="0.25">
      <c r="A4589" s="2" t="s">
        <v>368</v>
      </c>
      <c r="B4589" s="2" t="s">
        <v>369</v>
      </c>
      <c r="C4589" s="3">
        <v>30.69</v>
      </c>
      <c r="D4589" s="4">
        <v>506.07810000000001</v>
      </c>
      <c r="E4589" s="4">
        <v>383.625</v>
      </c>
      <c r="F4589" s="4">
        <f t="shared" si="283"/>
        <v>122.45310000000001</v>
      </c>
      <c r="G4589" s="5">
        <f t="shared" si="284"/>
        <v>0.2419648271679806</v>
      </c>
      <c r="H4589" s="2" t="s">
        <v>5</v>
      </c>
      <c r="I4589" s="6" t="s">
        <v>2300</v>
      </c>
      <c r="J4589" s="2" t="s">
        <v>5</v>
      </c>
      <c r="K4589" s="2" t="s">
        <v>5</v>
      </c>
      <c r="L4589" s="2" t="s">
        <v>5</v>
      </c>
      <c r="M4589" s="2" t="s">
        <v>5</v>
      </c>
      <c r="N4589" s="4">
        <v>0</v>
      </c>
    </row>
    <row r="4590" spans="1:14" x14ac:dyDescent="0.25">
      <c r="A4590" s="2" t="s">
        <v>368</v>
      </c>
      <c r="B4590" s="2" t="s">
        <v>369</v>
      </c>
      <c r="C4590" s="3">
        <v>56.25</v>
      </c>
      <c r="D4590" s="4">
        <v>927.5625</v>
      </c>
      <c r="E4590" s="4">
        <v>703.125</v>
      </c>
      <c r="F4590" s="4">
        <f t="shared" si="283"/>
        <v>224.4375</v>
      </c>
      <c r="G4590" s="5">
        <f t="shared" si="284"/>
        <v>0.2419648271679806</v>
      </c>
      <c r="H4590" s="2" t="s">
        <v>5</v>
      </c>
      <c r="I4590" s="6" t="s">
        <v>2300</v>
      </c>
      <c r="J4590" s="2" t="s">
        <v>5</v>
      </c>
      <c r="K4590" s="2" t="s">
        <v>5</v>
      </c>
      <c r="L4590" s="2" t="s">
        <v>5</v>
      </c>
      <c r="M4590" s="2" t="s">
        <v>5</v>
      </c>
      <c r="N4590" s="4">
        <v>0</v>
      </c>
    </row>
    <row r="4591" spans="1:14" x14ac:dyDescent="0.25">
      <c r="A4591" s="2" t="s">
        <v>368</v>
      </c>
      <c r="B4591" s="2" t="s">
        <v>369</v>
      </c>
      <c r="C4591" s="3">
        <v>15.26</v>
      </c>
      <c r="D4591" s="4">
        <v>251.63740000000001</v>
      </c>
      <c r="E4591" s="4">
        <v>190.75</v>
      </c>
      <c r="F4591" s="4">
        <f t="shared" si="283"/>
        <v>60.887400000000014</v>
      </c>
      <c r="G4591" s="5">
        <f t="shared" si="284"/>
        <v>0.24196482716798062</v>
      </c>
      <c r="H4591" s="2" t="s">
        <v>5</v>
      </c>
      <c r="I4591" s="6" t="s">
        <v>2300</v>
      </c>
      <c r="J4591" s="2" t="s">
        <v>5</v>
      </c>
      <c r="K4591" s="2" t="s">
        <v>5</v>
      </c>
      <c r="L4591" s="2" t="s">
        <v>5</v>
      </c>
      <c r="M4591" s="2" t="s">
        <v>5</v>
      </c>
      <c r="N4591" s="4">
        <v>0</v>
      </c>
    </row>
    <row r="4592" spans="1:14" x14ac:dyDescent="0.25">
      <c r="A4592" s="2" t="s">
        <v>368</v>
      </c>
      <c r="B4592" s="2" t="s">
        <v>369</v>
      </c>
      <c r="C4592" s="3">
        <v>15.19</v>
      </c>
      <c r="D4592" s="4">
        <v>250.48310000000001</v>
      </c>
      <c r="E4592" s="4">
        <v>189.875</v>
      </c>
      <c r="F4592" s="4">
        <f t="shared" si="283"/>
        <v>60.608100000000007</v>
      </c>
      <c r="G4592" s="5">
        <f t="shared" si="284"/>
        <v>0.24196482716798062</v>
      </c>
      <c r="H4592" s="2" t="s">
        <v>5</v>
      </c>
      <c r="I4592" s="6" t="s">
        <v>2300</v>
      </c>
      <c r="J4592" s="2" t="s">
        <v>5</v>
      </c>
      <c r="K4592" s="2" t="s">
        <v>5</v>
      </c>
      <c r="L4592" s="2" t="s">
        <v>5</v>
      </c>
      <c r="M4592" s="2" t="s">
        <v>5</v>
      </c>
      <c r="N4592" s="4">
        <v>0</v>
      </c>
    </row>
    <row r="4593" spans="1:14" x14ac:dyDescent="0.25">
      <c r="A4593" s="2" t="s">
        <v>368</v>
      </c>
      <c r="B4593" s="2" t="s">
        <v>369</v>
      </c>
      <c r="C4593" s="3">
        <v>15.26</v>
      </c>
      <c r="D4593" s="4">
        <v>251.63740000000001</v>
      </c>
      <c r="E4593" s="4">
        <v>190.75</v>
      </c>
      <c r="F4593" s="4">
        <f t="shared" si="283"/>
        <v>60.887400000000014</v>
      </c>
      <c r="G4593" s="5">
        <f t="shared" si="284"/>
        <v>0.24196482716798062</v>
      </c>
      <c r="H4593" s="2" t="s">
        <v>5</v>
      </c>
      <c r="I4593" s="6" t="s">
        <v>2300</v>
      </c>
      <c r="J4593" s="2" t="s">
        <v>5</v>
      </c>
      <c r="K4593" s="2" t="s">
        <v>5</v>
      </c>
      <c r="L4593" s="2" t="s">
        <v>5</v>
      </c>
      <c r="M4593" s="2" t="s">
        <v>5</v>
      </c>
      <c r="N4593" s="4">
        <v>0</v>
      </c>
    </row>
    <row r="4594" spans="1:14" x14ac:dyDescent="0.25">
      <c r="A4594" s="2" t="s">
        <v>368</v>
      </c>
      <c r="B4594" s="2" t="s">
        <v>369</v>
      </c>
      <c r="C4594" s="3">
        <v>15.24</v>
      </c>
      <c r="D4594" s="4">
        <v>251.30760000000001</v>
      </c>
      <c r="E4594" s="4">
        <v>190.5</v>
      </c>
      <c r="F4594" s="4">
        <f t="shared" si="283"/>
        <v>60.807600000000008</v>
      </c>
      <c r="G4594" s="5">
        <f t="shared" si="284"/>
        <v>0.24196482716798062</v>
      </c>
      <c r="H4594" s="2" t="s">
        <v>5</v>
      </c>
      <c r="I4594" s="6" t="s">
        <v>2300</v>
      </c>
      <c r="J4594" s="2" t="s">
        <v>5</v>
      </c>
      <c r="K4594" s="2" t="s">
        <v>5</v>
      </c>
      <c r="L4594" s="2" t="s">
        <v>5</v>
      </c>
      <c r="M4594" s="2" t="s">
        <v>5</v>
      </c>
      <c r="N4594" s="4">
        <v>0</v>
      </c>
    </row>
    <row r="4595" spans="1:14" x14ac:dyDescent="0.25">
      <c r="A4595" s="2" t="s">
        <v>468</v>
      </c>
      <c r="B4595" s="2" t="s">
        <v>469</v>
      </c>
      <c r="C4595" s="3">
        <v>78.400000000000006</v>
      </c>
      <c r="D4595" s="4">
        <v>852.20799999999997</v>
      </c>
      <c r="E4595" s="4">
        <v>540.96</v>
      </c>
      <c r="F4595" s="4">
        <f t="shared" si="283"/>
        <v>311.24799999999993</v>
      </c>
      <c r="G4595" s="5">
        <f t="shared" si="284"/>
        <v>0.36522539098436058</v>
      </c>
      <c r="H4595" s="2" t="s">
        <v>5</v>
      </c>
      <c r="I4595" s="6" t="s">
        <v>2300</v>
      </c>
      <c r="J4595" s="2" t="s">
        <v>5</v>
      </c>
      <c r="K4595" s="2" t="s">
        <v>5</v>
      </c>
      <c r="L4595" s="2" t="s">
        <v>5</v>
      </c>
      <c r="M4595" s="2" t="s">
        <v>5</v>
      </c>
      <c r="N4595" s="4">
        <v>0</v>
      </c>
    </row>
    <row r="4596" spans="1:14" x14ac:dyDescent="0.25">
      <c r="A4596" s="2" t="s">
        <v>438</v>
      </c>
      <c r="B4596" s="2" t="s">
        <v>439</v>
      </c>
      <c r="C4596" s="3">
        <v>28.864999999999998</v>
      </c>
      <c r="D4596" s="4">
        <v>409.3057</v>
      </c>
      <c r="E4596" s="4">
        <v>210.71449999999999</v>
      </c>
      <c r="F4596" s="4">
        <f t="shared" si="283"/>
        <v>198.59120000000001</v>
      </c>
      <c r="G4596" s="5">
        <f t="shared" si="284"/>
        <v>0.48519040902679833</v>
      </c>
      <c r="H4596" s="2" t="s">
        <v>5</v>
      </c>
      <c r="I4596" s="6" t="s">
        <v>2300</v>
      </c>
      <c r="J4596" s="2" t="s">
        <v>5</v>
      </c>
      <c r="K4596" s="2" t="s">
        <v>5</v>
      </c>
      <c r="L4596" s="2" t="s">
        <v>5</v>
      </c>
      <c r="M4596" s="2" t="s">
        <v>5</v>
      </c>
      <c r="N4596" s="4">
        <v>0</v>
      </c>
    </row>
    <row r="4597" spans="1:14" x14ac:dyDescent="0.25">
      <c r="A4597" s="2" t="s">
        <v>438</v>
      </c>
      <c r="B4597" s="2" t="s">
        <v>439</v>
      </c>
      <c r="C4597" s="3">
        <v>10.47</v>
      </c>
      <c r="D4597" s="4">
        <v>148.46459999999999</v>
      </c>
      <c r="E4597" s="4">
        <v>76.430999999999997</v>
      </c>
      <c r="F4597" s="4">
        <f t="shared" si="283"/>
        <v>72.033599999999993</v>
      </c>
      <c r="G4597" s="5">
        <f t="shared" si="284"/>
        <v>0.48519040902679827</v>
      </c>
      <c r="H4597" s="2" t="s">
        <v>5</v>
      </c>
      <c r="I4597" s="6" t="s">
        <v>2300</v>
      </c>
      <c r="J4597" s="2" t="s">
        <v>5</v>
      </c>
      <c r="K4597" s="2" t="s">
        <v>5</v>
      </c>
      <c r="L4597" s="2" t="s">
        <v>5</v>
      </c>
      <c r="M4597" s="2" t="s">
        <v>5</v>
      </c>
      <c r="N4597" s="4">
        <v>0</v>
      </c>
    </row>
    <row r="4598" spans="1:14" x14ac:dyDescent="0.25">
      <c r="A4598" s="2" t="s">
        <v>438</v>
      </c>
      <c r="B4598" s="2" t="s">
        <v>439</v>
      </c>
      <c r="C4598" s="3">
        <v>9.4450000000000003</v>
      </c>
      <c r="D4598" s="4">
        <v>133.93010000000001</v>
      </c>
      <c r="E4598" s="4">
        <v>68.948499999999996</v>
      </c>
      <c r="F4598" s="4">
        <f t="shared" si="283"/>
        <v>64.981600000000014</v>
      </c>
      <c r="G4598" s="5">
        <f t="shared" si="284"/>
        <v>0.48519040902679839</v>
      </c>
      <c r="H4598" s="2" t="s">
        <v>5</v>
      </c>
      <c r="I4598" s="6" t="s">
        <v>2300</v>
      </c>
      <c r="J4598" s="2" t="s">
        <v>5</v>
      </c>
      <c r="K4598" s="2" t="s">
        <v>5</v>
      </c>
      <c r="L4598" s="2" t="s">
        <v>5</v>
      </c>
      <c r="M4598" s="2" t="s">
        <v>5</v>
      </c>
      <c r="N4598" s="4">
        <v>0</v>
      </c>
    </row>
    <row r="4599" spans="1:14" x14ac:dyDescent="0.25">
      <c r="A4599" s="2" t="s">
        <v>470</v>
      </c>
      <c r="B4599" s="2" t="s">
        <v>471</v>
      </c>
      <c r="C4599" s="3">
        <v>59.534999999999997</v>
      </c>
      <c r="D4599" s="4">
        <v>315.53550000000001</v>
      </c>
      <c r="E4599" s="4">
        <v>220.27950000000001</v>
      </c>
      <c r="F4599" s="4">
        <f t="shared" si="283"/>
        <v>95.256</v>
      </c>
      <c r="G4599" s="5">
        <f t="shared" si="284"/>
        <v>0.30188679245283018</v>
      </c>
      <c r="H4599" s="2" t="s">
        <v>5</v>
      </c>
      <c r="I4599" s="6" t="s">
        <v>2300</v>
      </c>
      <c r="J4599" s="2" t="s">
        <v>5</v>
      </c>
      <c r="K4599" s="2" t="s">
        <v>5</v>
      </c>
      <c r="L4599" s="2" t="s">
        <v>5</v>
      </c>
      <c r="M4599" s="2" t="s">
        <v>5</v>
      </c>
      <c r="N4599" s="4">
        <v>0</v>
      </c>
    </row>
    <row r="4600" spans="1:14" x14ac:dyDescent="0.25">
      <c r="A4600" s="2" t="s">
        <v>370</v>
      </c>
      <c r="B4600" s="2" t="s">
        <v>371</v>
      </c>
      <c r="C4600" s="3">
        <v>63.17</v>
      </c>
      <c r="D4600" s="4">
        <v>344.90820000000002</v>
      </c>
      <c r="E4600" s="4">
        <v>227.41200000000001</v>
      </c>
      <c r="F4600" s="4">
        <f t="shared" si="283"/>
        <v>117.49620000000002</v>
      </c>
      <c r="G4600" s="5">
        <f t="shared" si="284"/>
        <v>0.34065934065934067</v>
      </c>
      <c r="H4600" s="2" t="s">
        <v>5</v>
      </c>
      <c r="I4600" s="6" t="s">
        <v>2300</v>
      </c>
      <c r="J4600" s="2" t="s">
        <v>5</v>
      </c>
      <c r="K4600" s="2" t="s">
        <v>5</v>
      </c>
      <c r="L4600" s="2" t="s">
        <v>5</v>
      </c>
      <c r="M4600" s="2" t="s">
        <v>5</v>
      </c>
      <c r="N4600" s="4">
        <v>0</v>
      </c>
    </row>
    <row r="4601" spans="1:14" x14ac:dyDescent="0.25">
      <c r="A4601" s="2" t="s">
        <v>370</v>
      </c>
      <c r="B4601" s="2" t="s">
        <v>371</v>
      </c>
      <c r="C4601" s="3">
        <v>48.15</v>
      </c>
      <c r="D4601" s="4">
        <v>262.899</v>
      </c>
      <c r="E4601" s="4">
        <v>173.34</v>
      </c>
      <c r="F4601" s="4">
        <f t="shared" si="283"/>
        <v>89.558999999999997</v>
      </c>
      <c r="G4601" s="5">
        <f t="shared" si="284"/>
        <v>0.34065934065934067</v>
      </c>
      <c r="H4601" s="2" t="s">
        <v>5</v>
      </c>
      <c r="I4601" s="6" t="s">
        <v>2300</v>
      </c>
      <c r="J4601" s="2" t="s">
        <v>5</v>
      </c>
      <c r="K4601" s="2" t="s">
        <v>5</v>
      </c>
      <c r="L4601" s="2" t="s">
        <v>5</v>
      </c>
      <c r="M4601" s="2" t="s">
        <v>5</v>
      </c>
      <c r="N4601" s="4">
        <v>0</v>
      </c>
    </row>
    <row r="4602" spans="1:14" x14ac:dyDescent="0.25">
      <c r="A4602" s="2" t="s">
        <v>370</v>
      </c>
      <c r="B4602" s="2" t="s">
        <v>371</v>
      </c>
      <c r="C4602" s="3">
        <v>91.325000000000003</v>
      </c>
      <c r="D4602" s="4">
        <v>498.6345</v>
      </c>
      <c r="E4602" s="4">
        <v>328.77</v>
      </c>
      <c r="F4602" s="4">
        <f t="shared" si="283"/>
        <v>169.86450000000002</v>
      </c>
      <c r="G4602" s="5">
        <f t="shared" si="284"/>
        <v>0.34065934065934073</v>
      </c>
      <c r="H4602" s="2" t="s">
        <v>5</v>
      </c>
      <c r="I4602" s="6" t="s">
        <v>2300</v>
      </c>
      <c r="J4602" s="2" t="s">
        <v>5</v>
      </c>
      <c r="K4602" s="2" t="s">
        <v>5</v>
      </c>
      <c r="L4602" s="2" t="s">
        <v>5</v>
      </c>
      <c r="M4602" s="2" t="s">
        <v>5</v>
      </c>
      <c r="N4602" s="4">
        <v>0</v>
      </c>
    </row>
    <row r="4603" spans="1:14" x14ac:dyDescent="0.25">
      <c r="A4603" s="2" t="s">
        <v>370</v>
      </c>
      <c r="B4603" s="2" t="s">
        <v>371</v>
      </c>
      <c r="C4603" s="3">
        <v>31.87</v>
      </c>
      <c r="D4603" s="4">
        <v>174.0102</v>
      </c>
      <c r="E4603" s="4">
        <v>114.732</v>
      </c>
      <c r="F4603" s="4">
        <f t="shared" si="283"/>
        <v>59.278199999999998</v>
      </c>
      <c r="G4603" s="5">
        <f t="shared" si="284"/>
        <v>0.34065934065934067</v>
      </c>
      <c r="H4603" s="2" t="s">
        <v>5</v>
      </c>
      <c r="I4603" s="6" t="s">
        <v>2300</v>
      </c>
      <c r="J4603" s="2" t="s">
        <v>5</v>
      </c>
      <c r="K4603" s="2" t="s">
        <v>5</v>
      </c>
      <c r="L4603" s="2" t="s">
        <v>5</v>
      </c>
      <c r="M4603" s="2" t="s">
        <v>5</v>
      </c>
      <c r="N4603" s="4">
        <v>0</v>
      </c>
    </row>
    <row r="4604" spans="1:14" x14ac:dyDescent="0.25">
      <c r="A4604" s="2" t="s">
        <v>370</v>
      </c>
      <c r="B4604" s="2" t="s">
        <v>371</v>
      </c>
      <c r="C4604" s="3">
        <v>76.885000000000005</v>
      </c>
      <c r="D4604" s="4">
        <v>419.7921</v>
      </c>
      <c r="E4604" s="4">
        <v>276.786</v>
      </c>
      <c r="F4604" s="4">
        <f t="shared" si="283"/>
        <v>143.0061</v>
      </c>
      <c r="G4604" s="5">
        <f t="shared" si="284"/>
        <v>0.34065934065934067</v>
      </c>
      <c r="H4604" s="2" t="s">
        <v>5</v>
      </c>
      <c r="I4604" s="6" t="s">
        <v>2300</v>
      </c>
      <c r="J4604" s="2" t="s">
        <v>5</v>
      </c>
      <c r="K4604" s="2" t="s">
        <v>5</v>
      </c>
      <c r="L4604" s="2" t="s">
        <v>5</v>
      </c>
      <c r="M4604" s="2" t="s">
        <v>5</v>
      </c>
      <c r="N4604" s="4">
        <v>0</v>
      </c>
    </row>
    <row r="4605" spans="1:14" x14ac:dyDescent="0.25">
      <c r="A4605" s="2" t="s">
        <v>370</v>
      </c>
      <c r="B4605" s="2" t="s">
        <v>371</v>
      </c>
      <c r="C4605" s="3">
        <v>86.01</v>
      </c>
      <c r="D4605" s="4">
        <v>469.6146</v>
      </c>
      <c r="E4605" s="4">
        <v>309.63600000000002</v>
      </c>
      <c r="F4605" s="4">
        <f t="shared" si="283"/>
        <v>159.97859999999997</v>
      </c>
      <c r="G4605" s="5">
        <f t="shared" si="284"/>
        <v>0.34065934065934061</v>
      </c>
      <c r="H4605" s="2" t="s">
        <v>5</v>
      </c>
      <c r="I4605" s="6" t="s">
        <v>2300</v>
      </c>
      <c r="J4605" s="2" t="s">
        <v>5</v>
      </c>
      <c r="K4605" s="2" t="s">
        <v>5</v>
      </c>
      <c r="L4605" s="2" t="s">
        <v>5</v>
      </c>
      <c r="M4605" s="2" t="s">
        <v>5</v>
      </c>
      <c r="N4605" s="4">
        <v>0</v>
      </c>
    </row>
    <row r="4606" spans="1:14" x14ac:dyDescent="0.25">
      <c r="A4606" s="2" t="s">
        <v>370</v>
      </c>
      <c r="B4606" s="2" t="s">
        <v>371</v>
      </c>
      <c r="C4606" s="3">
        <v>31.02</v>
      </c>
      <c r="D4606" s="4">
        <v>169.36920000000001</v>
      </c>
      <c r="E4606" s="4">
        <v>111.672</v>
      </c>
      <c r="F4606" s="4">
        <f t="shared" si="283"/>
        <v>57.697200000000009</v>
      </c>
      <c r="G4606" s="5">
        <f t="shared" si="284"/>
        <v>0.34065934065934073</v>
      </c>
      <c r="H4606" s="2" t="s">
        <v>5</v>
      </c>
      <c r="I4606" s="6" t="s">
        <v>2300</v>
      </c>
      <c r="J4606" s="2" t="s">
        <v>5</v>
      </c>
      <c r="K4606" s="2" t="s">
        <v>5</v>
      </c>
      <c r="L4606" s="2" t="s">
        <v>5</v>
      </c>
      <c r="M4606" s="2" t="s">
        <v>5</v>
      </c>
      <c r="N4606" s="4">
        <v>0</v>
      </c>
    </row>
    <row r="4607" spans="1:14" x14ac:dyDescent="0.25">
      <c r="A4607" s="2" t="s">
        <v>370</v>
      </c>
      <c r="B4607" s="2" t="s">
        <v>371</v>
      </c>
      <c r="C4607" s="3">
        <v>45.77</v>
      </c>
      <c r="D4607" s="4">
        <v>249.9042</v>
      </c>
      <c r="E4607" s="4">
        <v>164.77199999999999</v>
      </c>
      <c r="F4607" s="4">
        <f t="shared" si="283"/>
        <v>85.132200000000012</v>
      </c>
      <c r="G4607" s="5">
        <f t="shared" si="284"/>
        <v>0.34065934065934073</v>
      </c>
      <c r="H4607" s="2" t="s">
        <v>5</v>
      </c>
      <c r="I4607" s="6" t="s">
        <v>2300</v>
      </c>
      <c r="J4607" s="2" t="s">
        <v>5</v>
      </c>
      <c r="K4607" s="2" t="s">
        <v>5</v>
      </c>
      <c r="L4607" s="2" t="s">
        <v>5</v>
      </c>
      <c r="M4607" s="2" t="s">
        <v>5</v>
      </c>
      <c r="N4607" s="4">
        <v>0</v>
      </c>
    </row>
    <row r="4608" spans="1:14" x14ac:dyDescent="0.25">
      <c r="A4608" s="2" t="s">
        <v>370</v>
      </c>
      <c r="B4608" s="2" t="s">
        <v>371</v>
      </c>
      <c r="C4608" s="3">
        <v>31.21</v>
      </c>
      <c r="D4608" s="4">
        <v>170.4066</v>
      </c>
      <c r="E4608" s="4">
        <v>112.35599999999999</v>
      </c>
      <c r="F4608" s="4">
        <f t="shared" si="283"/>
        <v>58.050600000000003</v>
      </c>
      <c r="G4608" s="5">
        <f t="shared" si="284"/>
        <v>0.34065934065934067</v>
      </c>
      <c r="H4608" s="2" t="s">
        <v>5</v>
      </c>
      <c r="I4608" s="6" t="s">
        <v>2300</v>
      </c>
      <c r="J4608" s="2" t="s">
        <v>5</v>
      </c>
      <c r="K4608" s="2" t="s">
        <v>5</v>
      </c>
      <c r="L4608" s="2" t="s">
        <v>5</v>
      </c>
      <c r="M4608" s="2" t="s">
        <v>5</v>
      </c>
      <c r="N4608" s="4">
        <v>0</v>
      </c>
    </row>
    <row r="4609" spans="1:14" x14ac:dyDescent="0.25">
      <c r="A4609" s="2" t="s">
        <v>370</v>
      </c>
      <c r="B4609" s="2" t="s">
        <v>371</v>
      </c>
      <c r="C4609" s="3">
        <v>29.178000000000001</v>
      </c>
      <c r="D4609" s="4">
        <v>159.31188</v>
      </c>
      <c r="E4609" s="4">
        <v>105.0408</v>
      </c>
      <c r="F4609" s="4">
        <f t="shared" si="283"/>
        <v>54.271079999999998</v>
      </c>
      <c r="G4609" s="5">
        <f t="shared" si="284"/>
        <v>0.34065934065934061</v>
      </c>
      <c r="H4609" s="2" t="s">
        <v>5</v>
      </c>
      <c r="I4609" s="6" t="s">
        <v>2300</v>
      </c>
      <c r="J4609" s="2" t="s">
        <v>5</v>
      </c>
      <c r="K4609" s="2" t="s">
        <v>5</v>
      </c>
      <c r="L4609" s="2" t="s">
        <v>5</v>
      </c>
      <c r="M4609" s="2" t="s">
        <v>5</v>
      </c>
      <c r="N4609" s="4">
        <v>0</v>
      </c>
    </row>
    <row r="4610" spans="1:14" x14ac:dyDescent="0.25">
      <c r="A4610" s="2" t="s">
        <v>370</v>
      </c>
      <c r="B4610" s="2" t="s">
        <v>371</v>
      </c>
      <c r="C4610" s="3">
        <v>31.04</v>
      </c>
      <c r="D4610" s="4">
        <v>169.47839999999999</v>
      </c>
      <c r="E4610" s="4">
        <v>111.744</v>
      </c>
      <c r="F4610" s="4">
        <f t="shared" si="283"/>
        <v>57.734399999999994</v>
      </c>
      <c r="G4610" s="5">
        <f t="shared" si="284"/>
        <v>0.34065934065934061</v>
      </c>
      <c r="H4610" s="2" t="s">
        <v>5</v>
      </c>
      <c r="I4610" s="6" t="s">
        <v>2300</v>
      </c>
      <c r="J4610" s="2" t="s">
        <v>5</v>
      </c>
      <c r="K4610" s="2" t="s">
        <v>5</v>
      </c>
      <c r="L4610" s="2" t="s">
        <v>5</v>
      </c>
      <c r="M4610" s="2" t="s">
        <v>5</v>
      </c>
      <c r="N4610" s="4">
        <v>0</v>
      </c>
    </row>
    <row r="4611" spans="1:14" x14ac:dyDescent="0.25">
      <c r="A4611" s="2" t="s">
        <v>370</v>
      </c>
      <c r="B4611" s="2" t="s">
        <v>371</v>
      </c>
      <c r="C4611" s="3">
        <v>60.115000000000002</v>
      </c>
      <c r="D4611" s="4">
        <v>328.22789999999998</v>
      </c>
      <c r="E4611" s="4">
        <v>216.41399999999999</v>
      </c>
      <c r="F4611" s="4">
        <f t="shared" si="283"/>
        <v>111.81389999999999</v>
      </c>
      <c r="G4611" s="5">
        <f t="shared" si="284"/>
        <v>0.34065934065934067</v>
      </c>
      <c r="H4611" s="2" t="s">
        <v>5</v>
      </c>
      <c r="I4611" s="6" t="s">
        <v>2300</v>
      </c>
      <c r="J4611" s="2" t="s">
        <v>5</v>
      </c>
      <c r="K4611" s="2" t="s">
        <v>5</v>
      </c>
      <c r="L4611" s="2" t="s">
        <v>5</v>
      </c>
      <c r="M4611" s="2" t="s">
        <v>5</v>
      </c>
      <c r="N4611" s="4">
        <v>0</v>
      </c>
    </row>
    <row r="4612" spans="1:14" x14ac:dyDescent="0.25">
      <c r="A4612" s="2" t="s">
        <v>370</v>
      </c>
      <c r="B4612" s="2" t="s">
        <v>371</v>
      </c>
      <c r="C4612" s="3">
        <v>62.57</v>
      </c>
      <c r="D4612" s="4">
        <v>341.63220000000001</v>
      </c>
      <c r="E4612" s="4">
        <v>225.25200000000001</v>
      </c>
      <c r="F4612" s="4">
        <f t="shared" si="283"/>
        <v>116.3802</v>
      </c>
      <c r="G4612" s="5">
        <f t="shared" si="284"/>
        <v>0.34065934065934067</v>
      </c>
      <c r="H4612" s="2" t="s">
        <v>5</v>
      </c>
      <c r="I4612" s="6" t="s">
        <v>2300</v>
      </c>
      <c r="J4612" s="2" t="s">
        <v>5</v>
      </c>
      <c r="K4612" s="2" t="s">
        <v>5</v>
      </c>
      <c r="L4612" s="2" t="s">
        <v>5</v>
      </c>
      <c r="M4612" s="2" t="s">
        <v>5</v>
      </c>
      <c r="N4612" s="4">
        <v>0</v>
      </c>
    </row>
    <row r="4613" spans="1:14" x14ac:dyDescent="0.25">
      <c r="A4613" s="2" t="s">
        <v>370</v>
      </c>
      <c r="B4613" s="2" t="s">
        <v>371</v>
      </c>
      <c r="C4613" s="3">
        <v>47.52</v>
      </c>
      <c r="D4613" s="4">
        <v>259.45920000000001</v>
      </c>
      <c r="E4613" s="4">
        <v>171.072</v>
      </c>
      <c r="F4613" s="4">
        <f t="shared" si="283"/>
        <v>88.387200000000007</v>
      </c>
      <c r="G4613" s="5">
        <f t="shared" si="284"/>
        <v>0.34065934065934067</v>
      </c>
      <c r="H4613" s="2" t="s">
        <v>5</v>
      </c>
      <c r="I4613" s="6" t="s">
        <v>2300</v>
      </c>
      <c r="J4613" s="2" t="s">
        <v>5</v>
      </c>
      <c r="K4613" s="2" t="s">
        <v>5</v>
      </c>
      <c r="L4613" s="2" t="s">
        <v>5</v>
      </c>
      <c r="M4613" s="2" t="s">
        <v>5</v>
      </c>
      <c r="N4613" s="4">
        <v>0</v>
      </c>
    </row>
    <row r="4614" spans="1:14" x14ac:dyDescent="0.25">
      <c r="A4614" s="2" t="s">
        <v>370</v>
      </c>
      <c r="B4614" s="2" t="s">
        <v>371</v>
      </c>
      <c r="C4614" s="3">
        <v>61.83</v>
      </c>
      <c r="D4614" s="4">
        <v>337.59179999999998</v>
      </c>
      <c r="E4614" s="4">
        <v>222.58799999999999</v>
      </c>
      <c r="F4614" s="4">
        <f t="shared" si="283"/>
        <v>115.00379999999998</v>
      </c>
      <c r="G4614" s="5">
        <f t="shared" si="284"/>
        <v>0.34065934065934061</v>
      </c>
      <c r="H4614" s="2" t="s">
        <v>5</v>
      </c>
      <c r="I4614" s="6" t="s">
        <v>2300</v>
      </c>
      <c r="J4614" s="2" t="s">
        <v>5</v>
      </c>
      <c r="K4614" s="2" t="s">
        <v>5</v>
      </c>
      <c r="L4614" s="2" t="s">
        <v>5</v>
      </c>
      <c r="M4614" s="2" t="s">
        <v>5</v>
      </c>
      <c r="N4614" s="4">
        <v>0</v>
      </c>
    </row>
    <row r="4615" spans="1:14" x14ac:dyDescent="0.25">
      <c r="A4615" s="2" t="s">
        <v>370</v>
      </c>
      <c r="B4615" s="2" t="s">
        <v>371</v>
      </c>
      <c r="C4615" s="3">
        <v>154.76</v>
      </c>
      <c r="D4615" s="4">
        <v>844.9896</v>
      </c>
      <c r="E4615" s="4">
        <v>557.13599999999997</v>
      </c>
      <c r="F4615" s="4">
        <f t="shared" si="283"/>
        <v>287.85360000000003</v>
      </c>
      <c r="G4615" s="5">
        <f t="shared" si="284"/>
        <v>0.34065934065934067</v>
      </c>
      <c r="H4615" s="2" t="s">
        <v>5</v>
      </c>
      <c r="I4615" s="6" t="s">
        <v>2300</v>
      </c>
      <c r="J4615" s="2" t="s">
        <v>5</v>
      </c>
      <c r="K4615" s="2" t="s">
        <v>5</v>
      </c>
      <c r="L4615" s="2" t="s">
        <v>5</v>
      </c>
      <c r="M4615" s="2" t="s">
        <v>5</v>
      </c>
      <c r="N4615" s="4">
        <v>0</v>
      </c>
    </row>
    <row r="4616" spans="1:14" x14ac:dyDescent="0.25">
      <c r="A4616" s="2" t="s">
        <v>372</v>
      </c>
      <c r="B4616" s="2" t="s">
        <v>373</v>
      </c>
      <c r="C4616" s="3">
        <v>29.98</v>
      </c>
      <c r="D4616" s="4">
        <v>396.93520000000001</v>
      </c>
      <c r="E4616" s="4">
        <v>269.82</v>
      </c>
      <c r="F4616" s="4">
        <f t="shared" si="283"/>
        <v>127.11520000000002</v>
      </c>
      <c r="G4616" s="5">
        <f t="shared" si="284"/>
        <v>0.32024169184290036</v>
      </c>
      <c r="H4616" s="2" t="s">
        <v>5</v>
      </c>
      <c r="I4616" s="6" t="s">
        <v>2300</v>
      </c>
      <c r="J4616" s="2" t="s">
        <v>5</v>
      </c>
      <c r="K4616" s="2" t="s">
        <v>5</v>
      </c>
      <c r="L4616" s="2" t="s">
        <v>5</v>
      </c>
      <c r="M4616" s="2" t="s">
        <v>5</v>
      </c>
      <c r="N4616" s="4">
        <v>0</v>
      </c>
    </row>
    <row r="4617" spans="1:14" x14ac:dyDescent="0.25">
      <c r="A4617" s="2" t="s">
        <v>372</v>
      </c>
      <c r="B4617" s="2" t="s">
        <v>373</v>
      </c>
      <c r="C4617" s="3">
        <v>15.78</v>
      </c>
      <c r="D4617" s="4">
        <v>208.9272</v>
      </c>
      <c r="E4617" s="4">
        <v>142.02000000000001</v>
      </c>
      <c r="F4617" s="4">
        <f t="shared" si="283"/>
        <v>66.907199999999989</v>
      </c>
      <c r="G4617" s="5">
        <f t="shared" si="284"/>
        <v>0.32024169184290024</v>
      </c>
      <c r="H4617" s="2" t="s">
        <v>5</v>
      </c>
      <c r="I4617" s="6" t="s">
        <v>2300</v>
      </c>
      <c r="J4617" s="2" t="s">
        <v>5</v>
      </c>
      <c r="K4617" s="2" t="s">
        <v>5</v>
      </c>
      <c r="L4617" s="2" t="s">
        <v>5</v>
      </c>
      <c r="M4617" s="2" t="s">
        <v>5</v>
      </c>
      <c r="N4617" s="4">
        <v>0</v>
      </c>
    </row>
    <row r="4618" spans="1:14" x14ac:dyDescent="0.25">
      <c r="A4618" s="2" t="s">
        <v>372</v>
      </c>
      <c r="B4618" s="2" t="s">
        <v>373</v>
      </c>
      <c r="C4618" s="3">
        <v>73.784999999999997</v>
      </c>
      <c r="D4618" s="4">
        <v>976.91340000000002</v>
      </c>
      <c r="E4618" s="4">
        <v>664.06500000000005</v>
      </c>
      <c r="F4618" s="4">
        <f t="shared" si="283"/>
        <v>312.84839999999997</v>
      </c>
      <c r="G4618" s="5">
        <f t="shared" si="284"/>
        <v>0.32024169184290024</v>
      </c>
      <c r="H4618" s="2" t="s">
        <v>5</v>
      </c>
      <c r="I4618" s="6" t="s">
        <v>2300</v>
      </c>
      <c r="J4618" s="2" t="s">
        <v>5</v>
      </c>
      <c r="K4618" s="2" t="s">
        <v>5</v>
      </c>
      <c r="L4618" s="2" t="s">
        <v>5</v>
      </c>
      <c r="M4618" s="2" t="s">
        <v>5</v>
      </c>
      <c r="N4618" s="4">
        <v>0</v>
      </c>
    </row>
    <row r="4619" spans="1:14" x14ac:dyDescent="0.25">
      <c r="A4619" s="2" t="s">
        <v>372</v>
      </c>
      <c r="B4619" s="2" t="s">
        <v>373</v>
      </c>
      <c r="C4619" s="3">
        <v>17.170000000000002</v>
      </c>
      <c r="D4619" s="4">
        <v>227.33080000000001</v>
      </c>
      <c r="E4619" s="4">
        <v>154.53</v>
      </c>
      <c r="F4619" s="4">
        <f t="shared" si="283"/>
        <v>72.80080000000001</v>
      </c>
      <c r="G4619" s="5">
        <f t="shared" si="284"/>
        <v>0.32024169184290036</v>
      </c>
      <c r="H4619" s="2" t="s">
        <v>5</v>
      </c>
      <c r="I4619" s="6" t="s">
        <v>2300</v>
      </c>
      <c r="J4619" s="2" t="s">
        <v>5</v>
      </c>
      <c r="K4619" s="2" t="s">
        <v>5</v>
      </c>
      <c r="L4619" s="2" t="s">
        <v>5</v>
      </c>
      <c r="M4619" s="2" t="s">
        <v>5</v>
      </c>
      <c r="N4619" s="4">
        <v>0</v>
      </c>
    </row>
    <row r="4620" spans="1:14" x14ac:dyDescent="0.25">
      <c r="A4620" s="2" t="s">
        <v>372</v>
      </c>
      <c r="B4620" s="2" t="s">
        <v>373</v>
      </c>
      <c r="C4620" s="3">
        <v>15.53</v>
      </c>
      <c r="D4620" s="4">
        <v>205.6172</v>
      </c>
      <c r="E4620" s="4">
        <v>139.77000000000001</v>
      </c>
      <c r="F4620" s="4">
        <f t="shared" si="283"/>
        <v>65.847199999999987</v>
      </c>
      <c r="G4620" s="5">
        <f t="shared" si="284"/>
        <v>0.32024169184290024</v>
      </c>
      <c r="H4620" s="2" t="s">
        <v>5</v>
      </c>
      <c r="I4620" s="6" t="s">
        <v>2300</v>
      </c>
      <c r="J4620" s="2" t="s">
        <v>5</v>
      </c>
      <c r="K4620" s="2" t="s">
        <v>5</v>
      </c>
      <c r="L4620" s="2" t="s">
        <v>5</v>
      </c>
      <c r="M4620" s="2" t="s">
        <v>5</v>
      </c>
      <c r="N4620" s="4">
        <v>0</v>
      </c>
    </row>
    <row r="4621" spans="1:14" x14ac:dyDescent="0.25">
      <c r="A4621" s="2" t="s">
        <v>372</v>
      </c>
      <c r="B4621" s="2" t="s">
        <v>373</v>
      </c>
      <c r="C4621" s="3">
        <v>15.77</v>
      </c>
      <c r="D4621" s="4">
        <v>208.79480000000001</v>
      </c>
      <c r="E4621" s="4">
        <v>141.93</v>
      </c>
      <c r="F4621" s="4">
        <f t="shared" si="283"/>
        <v>66.864800000000002</v>
      </c>
      <c r="G4621" s="5">
        <f t="shared" si="284"/>
        <v>0.3202416918429003</v>
      </c>
      <c r="H4621" s="2" t="s">
        <v>5</v>
      </c>
      <c r="I4621" s="6" t="s">
        <v>2300</v>
      </c>
      <c r="J4621" s="2" t="s">
        <v>5</v>
      </c>
      <c r="K4621" s="2" t="s">
        <v>5</v>
      </c>
      <c r="L4621" s="2" t="s">
        <v>5</v>
      </c>
      <c r="M4621" s="2" t="s">
        <v>5</v>
      </c>
      <c r="N4621" s="4">
        <v>0</v>
      </c>
    </row>
    <row r="4622" spans="1:14" x14ac:dyDescent="0.25">
      <c r="A4622" s="2" t="s">
        <v>372</v>
      </c>
      <c r="B4622" s="2" t="s">
        <v>373</v>
      </c>
      <c r="C4622" s="3">
        <v>61.454999999999998</v>
      </c>
      <c r="D4622" s="4">
        <v>813.66420000000005</v>
      </c>
      <c r="E4622" s="4">
        <v>553.09500000000003</v>
      </c>
      <c r="F4622" s="4">
        <f t="shared" si="283"/>
        <v>260.56920000000002</v>
      </c>
      <c r="G4622" s="5">
        <f t="shared" si="284"/>
        <v>0.3202416918429003</v>
      </c>
      <c r="H4622" s="2" t="s">
        <v>5</v>
      </c>
      <c r="I4622" s="6" t="s">
        <v>2300</v>
      </c>
      <c r="J4622" s="2" t="s">
        <v>5</v>
      </c>
      <c r="K4622" s="2" t="s">
        <v>5</v>
      </c>
      <c r="L4622" s="2" t="s">
        <v>5</v>
      </c>
      <c r="M4622" s="2" t="s">
        <v>5</v>
      </c>
      <c r="N4622" s="4">
        <v>0</v>
      </c>
    </row>
    <row r="4623" spans="1:14" x14ac:dyDescent="0.25">
      <c r="A4623" s="2" t="s">
        <v>372</v>
      </c>
      <c r="B4623" s="2" t="s">
        <v>373</v>
      </c>
      <c r="C4623" s="3">
        <v>61.74</v>
      </c>
      <c r="D4623" s="4">
        <v>817.43759999999997</v>
      </c>
      <c r="E4623" s="4">
        <v>555.66</v>
      </c>
      <c r="F4623" s="4">
        <f t="shared" si="283"/>
        <v>261.77760000000001</v>
      </c>
      <c r="G4623" s="5">
        <f t="shared" si="284"/>
        <v>0.3202416918429003</v>
      </c>
      <c r="H4623" s="2" t="s">
        <v>5</v>
      </c>
      <c r="I4623" s="6" t="s">
        <v>2300</v>
      </c>
      <c r="J4623" s="2" t="s">
        <v>5</v>
      </c>
      <c r="K4623" s="2" t="s">
        <v>5</v>
      </c>
      <c r="L4623" s="2" t="s">
        <v>5</v>
      </c>
      <c r="M4623" s="2" t="s">
        <v>5</v>
      </c>
      <c r="N4623" s="4">
        <v>0</v>
      </c>
    </row>
    <row r="4624" spans="1:14" x14ac:dyDescent="0.25">
      <c r="A4624" s="2" t="s">
        <v>372</v>
      </c>
      <c r="B4624" s="2" t="s">
        <v>373</v>
      </c>
      <c r="C4624" s="3">
        <v>15.66</v>
      </c>
      <c r="D4624" s="4">
        <v>207.33840000000001</v>
      </c>
      <c r="E4624" s="4">
        <v>140.94</v>
      </c>
      <c r="F4624" s="4">
        <f t="shared" si="283"/>
        <v>66.398400000000009</v>
      </c>
      <c r="G4624" s="5">
        <f t="shared" si="284"/>
        <v>0.32024169184290036</v>
      </c>
      <c r="H4624" s="2" t="s">
        <v>5</v>
      </c>
      <c r="I4624" s="6" t="s">
        <v>2300</v>
      </c>
      <c r="J4624" s="2" t="s">
        <v>5</v>
      </c>
      <c r="K4624" s="2" t="s">
        <v>5</v>
      </c>
      <c r="L4624" s="2" t="s">
        <v>5</v>
      </c>
      <c r="M4624" s="2" t="s">
        <v>5</v>
      </c>
      <c r="N4624" s="4">
        <v>0</v>
      </c>
    </row>
    <row r="4625" spans="1:14" x14ac:dyDescent="0.25">
      <c r="A4625" s="2" t="s">
        <v>372</v>
      </c>
      <c r="B4625" s="2" t="s">
        <v>373</v>
      </c>
      <c r="C4625" s="3">
        <v>47.24</v>
      </c>
      <c r="D4625" s="4">
        <v>625.45759999999996</v>
      </c>
      <c r="E4625" s="4">
        <v>425.16</v>
      </c>
      <c r="F4625" s="4">
        <f t="shared" si="283"/>
        <v>200.29759999999993</v>
      </c>
      <c r="G4625" s="5">
        <f t="shared" si="284"/>
        <v>0.32024169184290019</v>
      </c>
      <c r="H4625" s="2" t="s">
        <v>5</v>
      </c>
      <c r="I4625" s="6" t="s">
        <v>2300</v>
      </c>
      <c r="J4625" s="2" t="s">
        <v>5</v>
      </c>
      <c r="K4625" s="2" t="s">
        <v>5</v>
      </c>
      <c r="L4625" s="2" t="s">
        <v>5</v>
      </c>
      <c r="M4625" s="2" t="s">
        <v>5</v>
      </c>
      <c r="N4625" s="4">
        <v>0</v>
      </c>
    </row>
    <row r="4626" spans="1:14" x14ac:dyDescent="0.25">
      <c r="A4626" s="2" t="s">
        <v>372</v>
      </c>
      <c r="B4626" s="2" t="s">
        <v>373</v>
      </c>
      <c r="C4626" s="3">
        <v>15.46</v>
      </c>
      <c r="D4626" s="4">
        <v>204.69040000000001</v>
      </c>
      <c r="E4626" s="4">
        <v>139.13999999999999</v>
      </c>
      <c r="F4626" s="4">
        <f t="shared" si="283"/>
        <v>65.550400000000025</v>
      </c>
      <c r="G4626" s="5">
        <f t="shared" si="284"/>
        <v>0.32024169184290041</v>
      </c>
      <c r="H4626" s="2" t="s">
        <v>5</v>
      </c>
      <c r="I4626" s="6" t="s">
        <v>2300</v>
      </c>
      <c r="J4626" s="2" t="s">
        <v>5</v>
      </c>
      <c r="K4626" s="2" t="s">
        <v>5</v>
      </c>
      <c r="L4626" s="2" t="s">
        <v>5</v>
      </c>
      <c r="M4626" s="2" t="s">
        <v>5</v>
      </c>
      <c r="N4626" s="4">
        <v>0</v>
      </c>
    </row>
    <row r="4627" spans="1:14" x14ac:dyDescent="0.25">
      <c r="A4627" s="2" t="s">
        <v>372</v>
      </c>
      <c r="B4627" s="2" t="s">
        <v>373</v>
      </c>
      <c r="C4627" s="3">
        <v>15.45</v>
      </c>
      <c r="D4627" s="4">
        <v>204.55799999999999</v>
      </c>
      <c r="E4627" s="4">
        <v>139.05000000000001</v>
      </c>
      <c r="F4627" s="4">
        <f t="shared" si="283"/>
        <v>65.507999999999981</v>
      </c>
      <c r="G4627" s="5">
        <f t="shared" si="284"/>
        <v>0.32024169184290024</v>
      </c>
      <c r="H4627" s="2" t="s">
        <v>5</v>
      </c>
      <c r="I4627" s="6" t="s">
        <v>2300</v>
      </c>
      <c r="J4627" s="2" t="s">
        <v>5</v>
      </c>
      <c r="K4627" s="2" t="s">
        <v>5</v>
      </c>
      <c r="L4627" s="2" t="s">
        <v>5</v>
      </c>
      <c r="M4627" s="2" t="s">
        <v>5</v>
      </c>
      <c r="N4627" s="4">
        <v>0</v>
      </c>
    </row>
    <row r="4628" spans="1:14" x14ac:dyDescent="0.25">
      <c r="A4628" s="2" t="s">
        <v>372</v>
      </c>
      <c r="B4628" s="2" t="s">
        <v>373</v>
      </c>
      <c r="C4628" s="3">
        <v>30.945</v>
      </c>
      <c r="D4628" s="4">
        <v>409.71179999999998</v>
      </c>
      <c r="E4628" s="4">
        <v>278.505</v>
      </c>
      <c r="F4628" s="4">
        <f t="shared" si="283"/>
        <v>131.20679999999999</v>
      </c>
      <c r="G4628" s="5">
        <f t="shared" si="284"/>
        <v>0.3202416918429003</v>
      </c>
      <c r="H4628" s="2" t="s">
        <v>5</v>
      </c>
      <c r="I4628" s="6" t="s">
        <v>2300</v>
      </c>
      <c r="J4628" s="2" t="s">
        <v>5</v>
      </c>
      <c r="K4628" s="2" t="s">
        <v>5</v>
      </c>
      <c r="L4628" s="2" t="s">
        <v>5</v>
      </c>
      <c r="M4628" s="2" t="s">
        <v>5</v>
      </c>
      <c r="N4628" s="4">
        <v>0</v>
      </c>
    </row>
    <row r="4629" spans="1:14" x14ac:dyDescent="0.25">
      <c r="A4629" s="2" t="s">
        <v>372</v>
      </c>
      <c r="B4629" s="2" t="s">
        <v>373</v>
      </c>
      <c r="C4629" s="3">
        <v>15.01</v>
      </c>
      <c r="D4629" s="4">
        <v>198.73240000000001</v>
      </c>
      <c r="E4629" s="4">
        <v>135.09</v>
      </c>
      <c r="F4629" s="4">
        <f t="shared" si="283"/>
        <v>63.642400000000009</v>
      </c>
      <c r="G4629" s="5">
        <f t="shared" si="284"/>
        <v>0.32024169184290036</v>
      </c>
      <c r="H4629" s="2" t="s">
        <v>5</v>
      </c>
      <c r="I4629" s="6" t="s">
        <v>2300</v>
      </c>
      <c r="J4629" s="2" t="s">
        <v>5</v>
      </c>
      <c r="K4629" s="2" t="s">
        <v>5</v>
      </c>
      <c r="L4629" s="2" t="s">
        <v>5</v>
      </c>
      <c r="M4629" s="2" t="s">
        <v>5</v>
      </c>
      <c r="N4629" s="4">
        <v>0</v>
      </c>
    </row>
    <row r="4630" spans="1:14" x14ac:dyDescent="0.25">
      <c r="A4630" s="2" t="s">
        <v>372</v>
      </c>
      <c r="B4630" s="2" t="s">
        <v>373</v>
      </c>
      <c r="C4630" s="3">
        <v>31.43</v>
      </c>
      <c r="D4630" s="4">
        <v>416.13319999999999</v>
      </c>
      <c r="E4630" s="4">
        <v>282.87</v>
      </c>
      <c r="F4630" s="4">
        <f t="shared" si="283"/>
        <v>133.26319999999998</v>
      </c>
      <c r="G4630" s="5">
        <f t="shared" si="284"/>
        <v>0.32024169184290024</v>
      </c>
      <c r="H4630" s="2" t="s">
        <v>5</v>
      </c>
      <c r="I4630" s="6" t="s">
        <v>2300</v>
      </c>
      <c r="J4630" s="2" t="s">
        <v>5</v>
      </c>
      <c r="K4630" s="2" t="s">
        <v>5</v>
      </c>
      <c r="L4630" s="2" t="s">
        <v>5</v>
      </c>
      <c r="M4630" s="2" t="s">
        <v>5</v>
      </c>
      <c r="N4630" s="4">
        <v>0</v>
      </c>
    </row>
    <row r="4631" spans="1:14" x14ac:dyDescent="0.25">
      <c r="A4631" s="2" t="s">
        <v>372</v>
      </c>
      <c r="B4631" s="2" t="s">
        <v>373</v>
      </c>
      <c r="C4631" s="3">
        <v>15.49</v>
      </c>
      <c r="D4631" s="4">
        <v>205.08760000000001</v>
      </c>
      <c r="E4631" s="4">
        <v>139.41</v>
      </c>
      <c r="F4631" s="4">
        <f t="shared" si="283"/>
        <v>65.677600000000012</v>
      </c>
      <c r="G4631" s="5">
        <f t="shared" si="284"/>
        <v>0.32024169184290036</v>
      </c>
      <c r="H4631" s="2" t="s">
        <v>5</v>
      </c>
      <c r="I4631" s="6" t="s">
        <v>2300</v>
      </c>
      <c r="J4631" s="2" t="s">
        <v>5</v>
      </c>
      <c r="K4631" s="2" t="s">
        <v>5</v>
      </c>
      <c r="L4631" s="2" t="s">
        <v>5</v>
      </c>
      <c r="M4631" s="2" t="s">
        <v>5</v>
      </c>
      <c r="N4631" s="4">
        <v>0</v>
      </c>
    </row>
    <row r="4632" spans="1:14" x14ac:dyDescent="0.25">
      <c r="A4632" s="2" t="s">
        <v>372</v>
      </c>
      <c r="B4632" s="2" t="s">
        <v>373</v>
      </c>
      <c r="C4632" s="3">
        <v>44.5</v>
      </c>
      <c r="D4632" s="4">
        <v>589.17999999999995</v>
      </c>
      <c r="E4632" s="4">
        <v>400.5</v>
      </c>
      <c r="F4632" s="4">
        <f t="shared" si="283"/>
        <v>188.67999999999995</v>
      </c>
      <c r="G4632" s="5">
        <f t="shared" si="284"/>
        <v>0.32024169184290024</v>
      </c>
      <c r="H4632" s="2" t="s">
        <v>5</v>
      </c>
      <c r="I4632" s="6" t="s">
        <v>2300</v>
      </c>
      <c r="J4632" s="2" t="s">
        <v>5</v>
      </c>
      <c r="K4632" s="2" t="s">
        <v>5</v>
      </c>
      <c r="L4632" s="2" t="s">
        <v>5</v>
      </c>
      <c r="M4632" s="2" t="s">
        <v>5</v>
      </c>
      <c r="N4632" s="4">
        <v>0</v>
      </c>
    </row>
    <row r="4633" spans="1:14" x14ac:dyDescent="0.25">
      <c r="A4633" s="2" t="s">
        <v>472</v>
      </c>
      <c r="B4633" s="2" t="s">
        <v>473</v>
      </c>
      <c r="C4633" s="3">
        <v>244.42500000000001</v>
      </c>
      <c r="D4633" s="4">
        <v>1977.39825</v>
      </c>
      <c r="E4633" s="4">
        <v>1246.5675000000001</v>
      </c>
      <c r="F4633" s="4">
        <f t="shared" si="283"/>
        <v>730.83074999999985</v>
      </c>
      <c r="G4633" s="5">
        <f t="shared" si="284"/>
        <v>0.36959208899876383</v>
      </c>
      <c r="H4633" s="2" t="s">
        <v>5</v>
      </c>
      <c r="I4633" s="6" t="s">
        <v>2300</v>
      </c>
      <c r="J4633" s="2" t="s">
        <v>5</v>
      </c>
      <c r="K4633" s="2" t="s">
        <v>5</v>
      </c>
      <c r="L4633" s="2" t="s">
        <v>5</v>
      </c>
      <c r="M4633" s="2" t="s">
        <v>5</v>
      </c>
      <c r="N4633" s="4">
        <v>0</v>
      </c>
    </row>
    <row r="4634" spans="1:14" x14ac:dyDescent="0.25">
      <c r="A4634" s="2" t="s">
        <v>472</v>
      </c>
      <c r="B4634" s="2" t="s">
        <v>473</v>
      </c>
      <c r="C4634" s="3">
        <v>31.105</v>
      </c>
      <c r="D4634" s="4">
        <v>251.63945000000001</v>
      </c>
      <c r="E4634" s="4">
        <v>158.63550000000001</v>
      </c>
      <c r="F4634" s="4">
        <f t="shared" si="283"/>
        <v>93.003950000000003</v>
      </c>
      <c r="G4634" s="5">
        <f t="shared" si="284"/>
        <v>0.36959208899876389</v>
      </c>
      <c r="H4634" s="2" t="s">
        <v>5</v>
      </c>
      <c r="I4634" s="6" t="s">
        <v>2300</v>
      </c>
      <c r="J4634" s="2" t="s">
        <v>5</v>
      </c>
      <c r="K4634" s="2" t="s">
        <v>5</v>
      </c>
      <c r="L4634" s="2" t="s">
        <v>5</v>
      </c>
      <c r="M4634" s="2" t="s">
        <v>5</v>
      </c>
      <c r="N4634" s="4">
        <v>0</v>
      </c>
    </row>
    <row r="4635" spans="1:14" x14ac:dyDescent="0.25">
      <c r="A4635" s="2" t="s">
        <v>472</v>
      </c>
      <c r="B4635" s="2" t="s">
        <v>473</v>
      </c>
      <c r="C4635" s="3">
        <v>43.994999999999997</v>
      </c>
      <c r="D4635" s="4">
        <v>355.91955000000002</v>
      </c>
      <c r="E4635" s="4">
        <v>224.37450000000001</v>
      </c>
      <c r="F4635" s="4">
        <f t="shared" si="283"/>
        <v>131.54505</v>
      </c>
      <c r="G4635" s="5">
        <f t="shared" si="284"/>
        <v>0.36959208899876389</v>
      </c>
      <c r="H4635" s="2" t="s">
        <v>5</v>
      </c>
      <c r="I4635" s="6" t="s">
        <v>2300</v>
      </c>
      <c r="J4635" s="2" t="s">
        <v>5</v>
      </c>
      <c r="K4635" s="2" t="s">
        <v>5</v>
      </c>
      <c r="L4635" s="2" t="s">
        <v>5</v>
      </c>
      <c r="M4635" s="2" t="s">
        <v>5</v>
      </c>
      <c r="N4635" s="4">
        <v>0</v>
      </c>
    </row>
    <row r="4636" spans="1:14" x14ac:dyDescent="0.25">
      <c r="A4636" s="2" t="s">
        <v>472</v>
      </c>
      <c r="B4636" s="2" t="s">
        <v>473</v>
      </c>
      <c r="C4636" s="3">
        <v>421.84</v>
      </c>
      <c r="D4636" s="4">
        <v>3412.6855999999998</v>
      </c>
      <c r="E4636" s="4">
        <v>2151.384</v>
      </c>
      <c r="F4636" s="4">
        <f t="shared" si="283"/>
        <v>1261.3015999999998</v>
      </c>
      <c r="G4636" s="5">
        <f t="shared" si="284"/>
        <v>0.36959208899876389</v>
      </c>
      <c r="H4636" s="2" t="s">
        <v>5</v>
      </c>
      <c r="I4636" s="6" t="s">
        <v>2300</v>
      </c>
      <c r="J4636" s="2" t="s">
        <v>5</v>
      </c>
      <c r="K4636" s="2" t="s">
        <v>5</v>
      </c>
      <c r="L4636" s="2" t="s">
        <v>5</v>
      </c>
      <c r="M4636" s="2" t="s">
        <v>5</v>
      </c>
      <c r="N4636" s="4">
        <v>0</v>
      </c>
    </row>
    <row r="4637" spans="1:14" x14ac:dyDescent="0.25">
      <c r="A4637" s="2" t="s">
        <v>472</v>
      </c>
      <c r="B4637" s="2" t="s">
        <v>473</v>
      </c>
      <c r="C4637" s="3">
        <v>79.295000000000002</v>
      </c>
      <c r="D4637" s="4">
        <v>641.49654999999996</v>
      </c>
      <c r="E4637" s="4">
        <v>404.40449999999998</v>
      </c>
      <c r="F4637" s="4">
        <f t="shared" si="283"/>
        <v>237.09204999999997</v>
      </c>
      <c r="G4637" s="5">
        <f t="shared" si="284"/>
        <v>0.36959208899876389</v>
      </c>
      <c r="H4637" s="2" t="s">
        <v>5</v>
      </c>
      <c r="I4637" s="6" t="s">
        <v>2300</v>
      </c>
      <c r="J4637" s="2" t="s">
        <v>5</v>
      </c>
      <c r="K4637" s="2" t="s">
        <v>5</v>
      </c>
      <c r="L4637" s="2" t="s">
        <v>5</v>
      </c>
      <c r="M4637" s="2" t="s">
        <v>5</v>
      </c>
      <c r="N4637" s="4">
        <v>0</v>
      </c>
    </row>
    <row r="4638" spans="1:14" x14ac:dyDescent="0.25">
      <c r="A4638" s="2" t="s">
        <v>472</v>
      </c>
      <c r="B4638" s="2" t="s">
        <v>473</v>
      </c>
      <c r="C4638" s="3">
        <v>111.88</v>
      </c>
      <c r="D4638" s="4">
        <v>905.10919999999999</v>
      </c>
      <c r="E4638" s="4">
        <v>570.58799999999997</v>
      </c>
      <c r="F4638" s="4">
        <f t="shared" si="283"/>
        <v>334.52120000000002</v>
      </c>
      <c r="G4638" s="5">
        <f t="shared" si="284"/>
        <v>0.36959208899876395</v>
      </c>
      <c r="H4638" s="2" t="s">
        <v>5</v>
      </c>
      <c r="I4638" s="6" t="s">
        <v>2300</v>
      </c>
      <c r="J4638" s="2" t="s">
        <v>5</v>
      </c>
      <c r="K4638" s="2" t="s">
        <v>5</v>
      </c>
      <c r="L4638" s="2" t="s">
        <v>5</v>
      </c>
      <c r="M4638" s="2" t="s">
        <v>5</v>
      </c>
      <c r="N4638" s="4">
        <v>0</v>
      </c>
    </row>
    <row r="4639" spans="1:14" x14ac:dyDescent="0.25">
      <c r="A4639" s="2" t="s">
        <v>472</v>
      </c>
      <c r="B4639" s="2" t="s">
        <v>473</v>
      </c>
      <c r="C4639" s="3">
        <v>691.52</v>
      </c>
      <c r="D4639" s="4">
        <v>5594.3968000000004</v>
      </c>
      <c r="E4639" s="4">
        <v>3526.752</v>
      </c>
      <c r="F4639" s="4">
        <f t="shared" si="283"/>
        <v>2067.6448000000005</v>
      </c>
      <c r="G4639" s="5">
        <f t="shared" si="284"/>
        <v>0.36959208899876395</v>
      </c>
      <c r="H4639" s="2" t="s">
        <v>5</v>
      </c>
      <c r="I4639" s="6" t="s">
        <v>2300</v>
      </c>
      <c r="J4639" s="2" t="s">
        <v>5</v>
      </c>
      <c r="K4639" s="2" t="s">
        <v>5</v>
      </c>
      <c r="L4639" s="2" t="s">
        <v>5</v>
      </c>
      <c r="M4639" s="2" t="s">
        <v>5</v>
      </c>
      <c r="N4639" s="4">
        <v>0</v>
      </c>
    </row>
    <row r="4640" spans="1:14" x14ac:dyDescent="0.25">
      <c r="A4640" s="2" t="s">
        <v>440</v>
      </c>
      <c r="B4640" s="2" t="s">
        <v>441</v>
      </c>
      <c r="C4640" s="3">
        <v>20.25</v>
      </c>
      <c r="D4640" s="4">
        <v>189.33750000000001</v>
      </c>
      <c r="E4640" s="4">
        <v>202.5</v>
      </c>
      <c r="F4640" s="4">
        <f t="shared" si="283"/>
        <v>-13.162499999999994</v>
      </c>
      <c r="G4640" s="5">
        <f t="shared" si="284"/>
        <v>-6.9518716577540079E-2</v>
      </c>
      <c r="H4640" s="2" t="s">
        <v>5</v>
      </c>
      <c r="I4640" s="6" t="s">
        <v>2300</v>
      </c>
      <c r="J4640" s="2" t="s">
        <v>5</v>
      </c>
      <c r="K4640" s="2" t="s">
        <v>5</v>
      </c>
      <c r="L4640" s="2" t="s">
        <v>5</v>
      </c>
      <c r="M4640" s="2" t="s">
        <v>5</v>
      </c>
      <c r="N4640" s="4">
        <v>0</v>
      </c>
    </row>
    <row r="4641" spans="1:14" x14ac:dyDescent="0.25">
      <c r="A4641" s="2" t="s">
        <v>440</v>
      </c>
      <c r="B4641" s="2" t="s">
        <v>441</v>
      </c>
      <c r="C4641" s="3">
        <v>14.49</v>
      </c>
      <c r="D4641" s="4">
        <v>135.48150000000001</v>
      </c>
      <c r="E4641" s="4">
        <v>144.9</v>
      </c>
      <c r="F4641" s="4">
        <f t="shared" ref="F4641:F4704" si="285">D4641-E4641</f>
        <v>-9.4184999999999945</v>
      </c>
      <c r="G4641" s="5">
        <f t="shared" ref="G4641:G4704" si="286">IF(((D4641)=0),0,(D4641-E4641)/ D4641)</f>
        <v>-6.9518716577540066E-2</v>
      </c>
      <c r="H4641" s="2" t="s">
        <v>5</v>
      </c>
      <c r="I4641" s="6" t="s">
        <v>2300</v>
      </c>
      <c r="J4641" s="2" t="s">
        <v>5</v>
      </c>
      <c r="K4641" s="2" t="s">
        <v>5</v>
      </c>
      <c r="L4641" s="2" t="s">
        <v>5</v>
      </c>
      <c r="M4641" s="2" t="s">
        <v>5</v>
      </c>
      <c r="N4641" s="4">
        <v>0</v>
      </c>
    </row>
    <row r="4642" spans="1:14" x14ac:dyDescent="0.25">
      <c r="A4642" s="2" t="s">
        <v>440</v>
      </c>
      <c r="B4642" s="2" t="s">
        <v>441</v>
      </c>
      <c r="C4642" s="3">
        <v>15.11</v>
      </c>
      <c r="D4642" s="4">
        <v>141.27850000000001</v>
      </c>
      <c r="E4642" s="4">
        <v>184.34200000000001</v>
      </c>
      <c r="F4642" s="4">
        <f t="shared" si="285"/>
        <v>-43.063500000000005</v>
      </c>
      <c r="G4642" s="5">
        <f t="shared" si="286"/>
        <v>-0.30481283422459893</v>
      </c>
      <c r="H4642" s="2" t="s">
        <v>5</v>
      </c>
      <c r="I4642" s="6" t="s">
        <v>2300</v>
      </c>
      <c r="J4642" s="2" t="s">
        <v>5</v>
      </c>
      <c r="K4642" s="2" t="s">
        <v>5</v>
      </c>
      <c r="L4642" s="2" t="s">
        <v>5</v>
      </c>
      <c r="M4642" s="2" t="s">
        <v>5</v>
      </c>
      <c r="N4642" s="4">
        <v>0</v>
      </c>
    </row>
    <row r="4643" spans="1:14" x14ac:dyDescent="0.25">
      <c r="A4643" s="2" t="s">
        <v>440</v>
      </c>
      <c r="B4643" s="2" t="s">
        <v>441</v>
      </c>
      <c r="C4643" s="3">
        <v>15.15</v>
      </c>
      <c r="D4643" s="4">
        <v>141.6525</v>
      </c>
      <c r="E4643" s="4">
        <v>184.83</v>
      </c>
      <c r="F4643" s="4">
        <f t="shared" si="285"/>
        <v>-43.177500000000009</v>
      </c>
      <c r="G4643" s="5">
        <f t="shared" si="286"/>
        <v>-0.30481283422459898</v>
      </c>
      <c r="H4643" s="2" t="s">
        <v>5</v>
      </c>
      <c r="I4643" s="6" t="s">
        <v>2300</v>
      </c>
      <c r="J4643" s="2" t="s">
        <v>5</v>
      </c>
      <c r="K4643" s="2" t="s">
        <v>5</v>
      </c>
      <c r="L4643" s="2" t="s">
        <v>5</v>
      </c>
      <c r="M4643" s="2" t="s">
        <v>5</v>
      </c>
      <c r="N4643" s="4">
        <v>0</v>
      </c>
    </row>
    <row r="4644" spans="1:14" x14ac:dyDescent="0.25">
      <c r="A4644" s="2" t="s">
        <v>440</v>
      </c>
      <c r="B4644" s="2" t="s">
        <v>441</v>
      </c>
      <c r="C4644" s="3">
        <v>10.595000000000001</v>
      </c>
      <c r="D4644" s="4">
        <v>99.063249999999996</v>
      </c>
      <c r="E4644" s="4">
        <v>105.95</v>
      </c>
      <c r="F4644" s="4">
        <f t="shared" si="285"/>
        <v>-6.8867500000000064</v>
      </c>
      <c r="G4644" s="5">
        <f t="shared" si="286"/>
        <v>-6.9518716577540177E-2</v>
      </c>
      <c r="H4644" s="2" t="s">
        <v>5</v>
      </c>
      <c r="I4644" s="6" t="s">
        <v>2300</v>
      </c>
      <c r="J4644" s="2" t="s">
        <v>5</v>
      </c>
      <c r="K4644" s="2" t="s">
        <v>5</v>
      </c>
      <c r="L4644" s="2" t="s">
        <v>5</v>
      </c>
      <c r="M4644" s="2" t="s">
        <v>5</v>
      </c>
      <c r="N4644" s="4">
        <v>0</v>
      </c>
    </row>
    <row r="4645" spans="1:14" x14ac:dyDescent="0.25">
      <c r="A4645" s="2" t="s">
        <v>440</v>
      </c>
      <c r="B4645" s="2" t="s">
        <v>441</v>
      </c>
      <c r="C4645" s="3">
        <v>29.42</v>
      </c>
      <c r="D4645" s="4">
        <v>275.077</v>
      </c>
      <c r="E4645" s="4">
        <v>294.2</v>
      </c>
      <c r="F4645" s="4">
        <f t="shared" si="285"/>
        <v>-19.12299999999999</v>
      </c>
      <c r="G4645" s="5">
        <f t="shared" si="286"/>
        <v>-6.9518716577540079E-2</v>
      </c>
      <c r="H4645" s="2" t="s">
        <v>5</v>
      </c>
      <c r="I4645" s="6" t="s">
        <v>2300</v>
      </c>
      <c r="J4645" s="2" t="s">
        <v>5</v>
      </c>
      <c r="K4645" s="2" t="s">
        <v>5</v>
      </c>
      <c r="L4645" s="2" t="s">
        <v>5</v>
      </c>
      <c r="M4645" s="2" t="s">
        <v>5</v>
      </c>
      <c r="N4645" s="4">
        <v>0</v>
      </c>
    </row>
    <row r="4646" spans="1:14" x14ac:dyDescent="0.25">
      <c r="A4646" s="2" t="s">
        <v>440</v>
      </c>
      <c r="B4646" s="2" t="s">
        <v>441</v>
      </c>
      <c r="C4646" s="3">
        <v>15.34</v>
      </c>
      <c r="D4646" s="4">
        <v>143.429</v>
      </c>
      <c r="E4646" s="4">
        <v>187.148</v>
      </c>
      <c r="F4646" s="4">
        <f t="shared" si="285"/>
        <v>-43.718999999999994</v>
      </c>
      <c r="G4646" s="5">
        <f t="shared" si="286"/>
        <v>-0.30481283422459887</v>
      </c>
      <c r="H4646" s="2" t="s">
        <v>5</v>
      </c>
      <c r="I4646" s="6" t="s">
        <v>2300</v>
      </c>
      <c r="J4646" s="2" t="s">
        <v>5</v>
      </c>
      <c r="K4646" s="2" t="s">
        <v>5</v>
      </c>
      <c r="L4646" s="2" t="s">
        <v>5</v>
      </c>
      <c r="M4646" s="2" t="s">
        <v>5</v>
      </c>
      <c r="N4646" s="4">
        <v>0</v>
      </c>
    </row>
    <row r="4647" spans="1:14" x14ac:dyDescent="0.25">
      <c r="A4647" s="2" t="s">
        <v>440</v>
      </c>
      <c r="B4647" s="2" t="s">
        <v>441</v>
      </c>
      <c r="C4647" s="3">
        <v>15.22</v>
      </c>
      <c r="D4647" s="4">
        <v>142.30699999999999</v>
      </c>
      <c r="E4647" s="4">
        <v>185.684</v>
      </c>
      <c r="F4647" s="4">
        <f t="shared" si="285"/>
        <v>-43.37700000000001</v>
      </c>
      <c r="G4647" s="5">
        <f t="shared" si="286"/>
        <v>-0.30481283422459904</v>
      </c>
      <c r="H4647" s="2" t="s">
        <v>5</v>
      </c>
      <c r="I4647" s="6" t="s">
        <v>2300</v>
      </c>
      <c r="J4647" s="2" t="s">
        <v>5</v>
      </c>
      <c r="K4647" s="2" t="s">
        <v>5</v>
      </c>
      <c r="L4647" s="2" t="s">
        <v>5</v>
      </c>
      <c r="M4647" s="2" t="s">
        <v>5</v>
      </c>
      <c r="N4647" s="4">
        <v>0</v>
      </c>
    </row>
    <row r="4648" spans="1:14" x14ac:dyDescent="0.25">
      <c r="A4648" s="2" t="s">
        <v>440</v>
      </c>
      <c r="B4648" s="2" t="s">
        <v>441</v>
      </c>
      <c r="C4648" s="3">
        <v>15.44</v>
      </c>
      <c r="D4648" s="4">
        <v>144.364</v>
      </c>
      <c r="E4648" s="4">
        <v>188.36799999999999</v>
      </c>
      <c r="F4648" s="4">
        <f t="shared" si="285"/>
        <v>-44.003999999999991</v>
      </c>
      <c r="G4648" s="5">
        <f t="shared" si="286"/>
        <v>-0.30481283422459887</v>
      </c>
      <c r="H4648" s="2" t="s">
        <v>5</v>
      </c>
      <c r="I4648" s="6" t="s">
        <v>2300</v>
      </c>
      <c r="J4648" s="2" t="s">
        <v>5</v>
      </c>
      <c r="K4648" s="2" t="s">
        <v>5</v>
      </c>
      <c r="L4648" s="2" t="s">
        <v>5</v>
      </c>
      <c r="M4648" s="2" t="s">
        <v>5</v>
      </c>
      <c r="N4648" s="4">
        <v>0</v>
      </c>
    </row>
    <row r="4649" spans="1:14" x14ac:dyDescent="0.25">
      <c r="A4649" s="2" t="s">
        <v>440</v>
      </c>
      <c r="B4649" s="2" t="s">
        <v>441</v>
      </c>
      <c r="C4649" s="3">
        <v>15.32</v>
      </c>
      <c r="D4649" s="4">
        <v>143.24199999999999</v>
      </c>
      <c r="E4649" s="4">
        <v>186.904</v>
      </c>
      <c r="F4649" s="4">
        <f t="shared" si="285"/>
        <v>-43.662000000000006</v>
      </c>
      <c r="G4649" s="5">
        <f t="shared" si="286"/>
        <v>-0.30481283422459898</v>
      </c>
      <c r="H4649" s="2" t="s">
        <v>5</v>
      </c>
      <c r="I4649" s="6" t="s">
        <v>2300</v>
      </c>
      <c r="J4649" s="2" t="s">
        <v>5</v>
      </c>
      <c r="K4649" s="2" t="s">
        <v>5</v>
      </c>
      <c r="L4649" s="2" t="s">
        <v>5</v>
      </c>
      <c r="M4649" s="2" t="s">
        <v>5</v>
      </c>
      <c r="N4649" s="4">
        <v>0</v>
      </c>
    </row>
    <row r="4650" spans="1:14" x14ac:dyDescent="0.25">
      <c r="A4650" s="2" t="s">
        <v>374</v>
      </c>
      <c r="B4650" s="2" t="s">
        <v>375</v>
      </c>
      <c r="C4650" s="3">
        <v>5.27</v>
      </c>
      <c r="D4650" s="4">
        <v>96.072100000000006</v>
      </c>
      <c r="E4650" s="4">
        <v>73.569199999999995</v>
      </c>
      <c r="F4650" s="4">
        <f t="shared" si="285"/>
        <v>22.502900000000011</v>
      </c>
      <c r="G4650" s="5">
        <f t="shared" si="286"/>
        <v>0.23422929237520582</v>
      </c>
      <c r="H4650" s="2" t="s">
        <v>5</v>
      </c>
      <c r="I4650" s="6" t="s">
        <v>2300</v>
      </c>
      <c r="J4650" s="2" t="s">
        <v>5</v>
      </c>
      <c r="K4650" s="2" t="s">
        <v>5</v>
      </c>
      <c r="L4650" s="2" t="s">
        <v>5</v>
      </c>
      <c r="M4650" s="2" t="s">
        <v>5</v>
      </c>
      <c r="N4650" s="4">
        <v>0</v>
      </c>
    </row>
    <row r="4651" spans="1:14" x14ac:dyDescent="0.25">
      <c r="A4651" s="2" t="s">
        <v>374</v>
      </c>
      <c r="B4651" s="2" t="s">
        <v>375</v>
      </c>
      <c r="C4651" s="3">
        <v>4.99</v>
      </c>
      <c r="D4651" s="4">
        <v>90.967699999999994</v>
      </c>
      <c r="E4651" s="4">
        <v>69.660399999999996</v>
      </c>
      <c r="F4651" s="4">
        <f t="shared" si="285"/>
        <v>21.307299999999998</v>
      </c>
      <c r="G4651" s="5">
        <f t="shared" si="286"/>
        <v>0.23422929237520571</v>
      </c>
      <c r="H4651" s="2" t="s">
        <v>5</v>
      </c>
      <c r="I4651" s="6" t="s">
        <v>2300</v>
      </c>
      <c r="J4651" s="2" t="s">
        <v>5</v>
      </c>
      <c r="K4651" s="2" t="s">
        <v>5</v>
      </c>
      <c r="L4651" s="2" t="s">
        <v>5</v>
      </c>
      <c r="M4651" s="2" t="s">
        <v>5</v>
      </c>
      <c r="N4651" s="4">
        <v>0</v>
      </c>
    </row>
    <row r="4652" spans="1:14" x14ac:dyDescent="0.25">
      <c r="A4652" s="2" t="s">
        <v>374</v>
      </c>
      <c r="B4652" s="2" t="s">
        <v>375</v>
      </c>
      <c r="C4652" s="3">
        <v>5</v>
      </c>
      <c r="D4652" s="4">
        <v>91.15</v>
      </c>
      <c r="E4652" s="4">
        <v>69.8</v>
      </c>
      <c r="F4652" s="4">
        <f t="shared" si="285"/>
        <v>21.350000000000009</v>
      </c>
      <c r="G4652" s="5">
        <f t="shared" si="286"/>
        <v>0.23422929237520579</v>
      </c>
      <c r="H4652" s="2" t="s">
        <v>5</v>
      </c>
      <c r="I4652" s="6" t="s">
        <v>2300</v>
      </c>
      <c r="J4652" s="2" t="s">
        <v>5</v>
      </c>
      <c r="K4652" s="2" t="s">
        <v>5</v>
      </c>
      <c r="L4652" s="2" t="s">
        <v>5</v>
      </c>
      <c r="M4652" s="2" t="s">
        <v>5</v>
      </c>
      <c r="N4652" s="4">
        <v>0</v>
      </c>
    </row>
    <row r="4653" spans="1:14" x14ac:dyDescent="0.25">
      <c r="A4653" s="2" t="s">
        <v>374</v>
      </c>
      <c r="B4653" s="2" t="s">
        <v>375</v>
      </c>
      <c r="C4653" s="3">
        <v>5</v>
      </c>
      <c r="D4653" s="4">
        <v>91.15</v>
      </c>
      <c r="E4653" s="4">
        <v>69.8</v>
      </c>
      <c r="F4653" s="4">
        <f t="shared" si="285"/>
        <v>21.350000000000009</v>
      </c>
      <c r="G4653" s="5">
        <f t="shared" si="286"/>
        <v>0.23422929237520579</v>
      </c>
      <c r="H4653" s="2" t="s">
        <v>5</v>
      </c>
      <c r="I4653" s="6" t="s">
        <v>2300</v>
      </c>
      <c r="J4653" s="2" t="s">
        <v>5</v>
      </c>
      <c r="K4653" s="2" t="s">
        <v>5</v>
      </c>
      <c r="L4653" s="2" t="s">
        <v>5</v>
      </c>
      <c r="M4653" s="2" t="s">
        <v>5</v>
      </c>
      <c r="N4653" s="4">
        <v>0</v>
      </c>
    </row>
    <row r="4654" spans="1:14" x14ac:dyDescent="0.25">
      <c r="A4654" s="2" t="s">
        <v>374</v>
      </c>
      <c r="B4654" s="2" t="s">
        <v>375</v>
      </c>
      <c r="C4654" s="3">
        <v>2.5</v>
      </c>
      <c r="D4654" s="4">
        <v>45.575000000000003</v>
      </c>
      <c r="E4654" s="4">
        <v>34.9</v>
      </c>
      <c r="F4654" s="4">
        <f t="shared" si="285"/>
        <v>10.675000000000004</v>
      </c>
      <c r="G4654" s="5">
        <f t="shared" si="286"/>
        <v>0.23422929237520579</v>
      </c>
      <c r="H4654" s="2" t="s">
        <v>5</v>
      </c>
      <c r="I4654" s="6" t="s">
        <v>2300</v>
      </c>
      <c r="J4654" s="2" t="s">
        <v>5</v>
      </c>
      <c r="K4654" s="2" t="s">
        <v>5</v>
      </c>
      <c r="L4654" s="2" t="s">
        <v>5</v>
      </c>
      <c r="M4654" s="2" t="s">
        <v>5</v>
      </c>
      <c r="N4654" s="4">
        <v>0</v>
      </c>
    </row>
    <row r="4655" spans="1:14" x14ac:dyDescent="0.25">
      <c r="A4655" s="2" t="s">
        <v>374</v>
      </c>
      <c r="B4655" s="2" t="s">
        <v>375</v>
      </c>
      <c r="C4655" s="3">
        <v>4.6500000000000004</v>
      </c>
      <c r="D4655" s="4">
        <v>84.769499999999994</v>
      </c>
      <c r="E4655" s="4">
        <v>64.914000000000001</v>
      </c>
      <c r="F4655" s="4">
        <f t="shared" si="285"/>
        <v>19.855499999999992</v>
      </c>
      <c r="G4655" s="5">
        <f t="shared" si="286"/>
        <v>0.23422929237520562</v>
      </c>
      <c r="H4655" s="2" t="s">
        <v>5</v>
      </c>
      <c r="I4655" s="6" t="s">
        <v>2300</v>
      </c>
      <c r="J4655" s="2" t="s">
        <v>5</v>
      </c>
      <c r="K4655" s="2" t="s">
        <v>5</v>
      </c>
      <c r="L4655" s="2" t="s">
        <v>5</v>
      </c>
      <c r="M4655" s="2" t="s">
        <v>5</v>
      </c>
      <c r="N4655" s="4">
        <v>0</v>
      </c>
    </row>
    <row r="4656" spans="1:14" x14ac:dyDescent="0.25">
      <c r="A4656" s="2" t="s">
        <v>474</v>
      </c>
      <c r="B4656" s="2" t="s">
        <v>475</v>
      </c>
      <c r="C4656" s="3">
        <v>60.23</v>
      </c>
      <c r="D4656" s="4">
        <v>328.85579999999999</v>
      </c>
      <c r="E4656" s="4">
        <v>216.828</v>
      </c>
      <c r="F4656" s="4">
        <f t="shared" si="285"/>
        <v>112.02779999999998</v>
      </c>
      <c r="G4656" s="5">
        <f t="shared" si="286"/>
        <v>0.34065934065934061</v>
      </c>
      <c r="H4656" s="2" t="s">
        <v>5</v>
      </c>
      <c r="I4656" s="6" t="s">
        <v>2300</v>
      </c>
      <c r="J4656" s="2" t="s">
        <v>5</v>
      </c>
      <c r="K4656" s="2" t="s">
        <v>5</v>
      </c>
      <c r="L4656" s="2" t="s">
        <v>5</v>
      </c>
      <c r="M4656" s="2" t="s">
        <v>5</v>
      </c>
      <c r="N4656" s="4">
        <v>0</v>
      </c>
    </row>
    <row r="4657" spans="1:14" x14ac:dyDescent="0.25">
      <c r="A4657" s="2" t="s">
        <v>474</v>
      </c>
      <c r="B4657" s="2" t="s">
        <v>475</v>
      </c>
      <c r="C4657" s="3">
        <v>10.664999999999999</v>
      </c>
      <c r="D4657" s="4">
        <v>58.230899999999998</v>
      </c>
      <c r="E4657" s="4">
        <v>38.393999999999998</v>
      </c>
      <c r="F4657" s="4">
        <f t="shared" si="285"/>
        <v>19.8369</v>
      </c>
      <c r="G4657" s="5">
        <f t="shared" si="286"/>
        <v>0.34065934065934067</v>
      </c>
      <c r="H4657" s="2" t="s">
        <v>5</v>
      </c>
      <c r="I4657" s="6" t="s">
        <v>2300</v>
      </c>
      <c r="J4657" s="2" t="s">
        <v>5</v>
      </c>
      <c r="K4657" s="2" t="s">
        <v>5</v>
      </c>
      <c r="L4657" s="2" t="s">
        <v>5</v>
      </c>
      <c r="M4657" s="2" t="s">
        <v>5</v>
      </c>
      <c r="N4657" s="4">
        <v>0</v>
      </c>
    </row>
    <row r="4658" spans="1:14" x14ac:dyDescent="0.25">
      <c r="A4658" s="2" t="s">
        <v>376</v>
      </c>
      <c r="B4658" s="2" t="s">
        <v>377</v>
      </c>
      <c r="C4658" s="3">
        <v>38.524999999999999</v>
      </c>
      <c r="D4658" s="4">
        <v>465.38200000000001</v>
      </c>
      <c r="E4658" s="4">
        <v>281.23250000000002</v>
      </c>
      <c r="F4658" s="4">
        <f t="shared" si="285"/>
        <v>184.14949999999999</v>
      </c>
      <c r="G4658" s="5">
        <f t="shared" si="286"/>
        <v>0.39569536423841056</v>
      </c>
      <c r="H4658" s="2" t="s">
        <v>5</v>
      </c>
      <c r="I4658" s="6" t="s">
        <v>2300</v>
      </c>
      <c r="J4658" s="2" t="s">
        <v>5</v>
      </c>
      <c r="K4658" s="2" t="s">
        <v>5</v>
      </c>
      <c r="L4658" s="2" t="s">
        <v>5</v>
      </c>
      <c r="M4658" s="2" t="s">
        <v>5</v>
      </c>
      <c r="N4658" s="4">
        <v>0</v>
      </c>
    </row>
    <row r="4659" spans="1:14" x14ac:dyDescent="0.25">
      <c r="A4659" s="2" t="s">
        <v>376</v>
      </c>
      <c r="B4659" s="2" t="s">
        <v>377</v>
      </c>
      <c r="C4659" s="3">
        <v>11.85</v>
      </c>
      <c r="D4659" s="4">
        <v>143.148</v>
      </c>
      <c r="E4659" s="4">
        <v>86.504999999999995</v>
      </c>
      <c r="F4659" s="4">
        <f t="shared" si="285"/>
        <v>56.643000000000001</v>
      </c>
      <c r="G4659" s="5">
        <f t="shared" si="286"/>
        <v>0.39569536423841062</v>
      </c>
      <c r="H4659" s="2" t="s">
        <v>5</v>
      </c>
      <c r="I4659" s="6" t="s">
        <v>2300</v>
      </c>
      <c r="J4659" s="2" t="s">
        <v>5</v>
      </c>
      <c r="K4659" s="2" t="s">
        <v>5</v>
      </c>
      <c r="L4659" s="2" t="s">
        <v>5</v>
      </c>
      <c r="M4659" s="2" t="s">
        <v>5</v>
      </c>
      <c r="N4659" s="4">
        <v>0</v>
      </c>
    </row>
    <row r="4660" spans="1:14" x14ac:dyDescent="0.25">
      <c r="A4660" s="2" t="s">
        <v>376</v>
      </c>
      <c r="B4660" s="2" t="s">
        <v>377</v>
      </c>
      <c r="C4660" s="3">
        <v>18.914999999999999</v>
      </c>
      <c r="D4660" s="4">
        <v>228.4932</v>
      </c>
      <c r="E4660" s="4">
        <v>138.0795</v>
      </c>
      <c r="F4660" s="4">
        <f t="shared" si="285"/>
        <v>90.413700000000006</v>
      </c>
      <c r="G4660" s="5">
        <f t="shared" si="286"/>
        <v>0.39569536423841062</v>
      </c>
      <c r="H4660" s="2" t="s">
        <v>5</v>
      </c>
      <c r="I4660" s="6" t="s">
        <v>2300</v>
      </c>
      <c r="J4660" s="2" t="s">
        <v>5</v>
      </c>
      <c r="K4660" s="2" t="s">
        <v>5</v>
      </c>
      <c r="L4660" s="2" t="s">
        <v>5</v>
      </c>
      <c r="M4660" s="2" t="s">
        <v>5</v>
      </c>
      <c r="N4660" s="4">
        <v>0</v>
      </c>
    </row>
    <row r="4661" spans="1:14" x14ac:dyDescent="0.25">
      <c r="A4661" s="2" t="s">
        <v>376</v>
      </c>
      <c r="B4661" s="2" t="s">
        <v>377</v>
      </c>
      <c r="C4661" s="3">
        <v>14.95</v>
      </c>
      <c r="D4661" s="4">
        <v>180.596</v>
      </c>
      <c r="E4661" s="4">
        <v>109.13500000000001</v>
      </c>
      <c r="F4661" s="4">
        <f t="shared" si="285"/>
        <v>71.460999999999999</v>
      </c>
      <c r="G4661" s="5">
        <f t="shared" si="286"/>
        <v>0.39569536423841056</v>
      </c>
      <c r="H4661" s="2" t="s">
        <v>5</v>
      </c>
      <c r="I4661" s="6" t="s">
        <v>2300</v>
      </c>
      <c r="J4661" s="2" t="s">
        <v>5</v>
      </c>
      <c r="K4661" s="2" t="s">
        <v>5</v>
      </c>
      <c r="L4661" s="2" t="s">
        <v>5</v>
      </c>
      <c r="M4661" s="2" t="s">
        <v>5</v>
      </c>
      <c r="N4661" s="4">
        <v>0</v>
      </c>
    </row>
    <row r="4662" spans="1:14" x14ac:dyDescent="0.25">
      <c r="A4662" s="2" t="s">
        <v>376</v>
      </c>
      <c r="B4662" s="2" t="s">
        <v>377</v>
      </c>
      <c r="C4662" s="3">
        <v>28.79</v>
      </c>
      <c r="D4662" s="4">
        <v>347.78320000000002</v>
      </c>
      <c r="E4662" s="4">
        <v>210.167</v>
      </c>
      <c r="F4662" s="4">
        <f t="shared" si="285"/>
        <v>137.61620000000002</v>
      </c>
      <c r="G4662" s="5">
        <f t="shared" si="286"/>
        <v>0.39569536423841062</v>
      </c>
      <c r="H4662" s="2" t="s">
        <v>5</v>
      </c>
      <c r="I4662" s="6" t="s">
        <v>2300</v>
      </c>
      <c r="J4662" s="2" t="s">
        <v>5</v>
      </c>
      <c r="K4662" s="2" t="s">
        <v>5</v>
      </c>
      <c r="L4662" s="2" t="s">
        <v>5</v>
      </c>
      <c r="M4662" s="2" t="s">
        <v>5</v>
      </c>
      <c r="N4662" s="4">
        <v>0</v>
      </c>
    </row>
    <row r="4663" spans="1:14" x14ac:dyDescent="0.25">
      <c r="A4663" s="2" t="s">
        <v>376</v>
      </c>
      <c r="B4663" s="2" t="s">
        <v>377</v>
      </c>
      <c r="C4663" s="3">
        <v>49.365000000000002</v>
      </c>
      <c r="D4663" s="4">
        <v>596.32920000000001</v>
      </c>
      <c r="E4663" s="4">
        <v>360.36450000000002</v>
      </c>
      <c r="F4663" s="4">
        <f t="shared" si="285"/>
        <v>235.96469999999999</v>
      </c>
      <c r="G4663" s="5">
        <f t="shared" si="286"/>
        <v>0.39569536423841056</v>
      </c>
      <c r="H4663" s="2" t="s">
        <v>5</v>
      </c>
      <c r="I4663" s="6" t="s">
        <v>2300</v>
      </c>
      <c r="J4663" s="2" t="s">
        <v>5</v>
      </c>
      <c r="K4663" s="2" t="s">
        <v>5</v>
      </c>
      <c r="L4663" s="2" t="s">
        <v>5</v>
      </c>
      <c r="M4663" s="2" t="s">
        <v>5</v>
      </c>
      <c r="N4663" s="4">
        <v>0</v>
      </c>
    </row>
    <row r="4664" spans="1:14" x14ac:dyDescent="0.25">
      <c r="A4664" s="2" t="s">
        <v>376</v>
      </c>
      <c r="B4664" s="2" t="s">
        <v>377</v>
      </c>
      <c r="C4664" s="3">
        <v>16.670000000000002</v>
      </c>
      <c r="D4664" s="4">
        <v>201.37360000000001</v>
      </c>
      <c r="E4664" s="4">
        <v>121.691</v>
      </c>
      <c r="F4664" s="4">
        <f t="shared" si="285"/>
        <v>79.682600000000008</v>
      </c>
      <c r="G4664" s="5">
        <f t="shared" si="286"/>
        <v>0.39569536423841062</v>
      </c>
      <c r="H4664" s="2" t="s">
        <v>5</v>
      </c>
      <c r="I4664" s="6" t="s">
        <v>2300</v>
      </c>
      <c r="J4664" s="2" t="s">
        <v>5</v>
      </c>
      <c r="K4664" s="2" t="s">
        <v>5</v>
      </c>
      <c r="L4664" s="2" t="s">
        <v>5</v>
      </c>
      <c r="M4664" s="2" t="s">
        <v>5</v>
      </c>
      <c r="N4664" s="4">
        <v>0</v>
      </c>
    </row>
    <row r="4665" spans="1:14" x14ac:dyDescent="0.25">
      <c r="A4665" s="2" t="s">
        <v>376</v>
      </c>
      <c r="B4665" s="2" t="s">
        <v>377</v>
      </c>
      <c r="C4665" s="3">
        <v>58.819000000000003</v>
      </c>
      <c r="D4665" s="4">
        <v>710.53351999999995</v>
      </c>
      <c r="E4665" s="4">
        <v>429.37869999999998</v>
      </c>
      <c r="F4665" s="4">
        <f t="shared" si="285"/>
        <v>281.15481999999997</v>
      </c>
      <c r="G4665" s="5">
        <f t="shared" si="286"/>
        <v>0.39569536423841056</v>
      </c>
      <c r="H4665" s="2" t="s">
        <v>5</v>
      </c>
      <c r="I4665" s="6" t="s">
        <v>2300</v>
      </c>
      <c r="J4665" s="2" t="s">
        <v>5</v>
      </c>
      <c r="K4665" s="2" t="s">
        <v>5</v>
      </c>
      <c r="L4665" s="2" t="s">
        <v>5</v>
      </c>
      <c r="M4665" s="2" t="s">
        <v>5</v>
      </c>
      <c r="N4665" s="4">
        <v>0</v>
      </c>
    </row>
    <row r="4666" spans="1:14" x14ac:dyDescent="0.25">
      <c r="A4666" s="2" t="s">
        <v>378</v>
      </c>
      <c r="B4666" s="2" t="s">
        <v>379</v>
      </c>
      <c r="C4666" s="3">
        <v>128.86000000000001</v>
      </c>
      <c r="D4666" s="4">
        <v>1556.6288</v>
      </c>
      <c r="E4666" s="4">
        <v>940.678</v>
      </c>
      <c r="F4666" s="4">
        <f t="shared" si="285"/>
        <v>615.95079999999996</v>
      </c>
      <c r="G4666" s="5">
        <f t="shared" si="286"/>
        <v>0.39569536423841056</v>
      </c>
      <c r="H4666" s="2" t="s">
        <v>5</v>
      </c>
      <c r="I4666" s="6" t="s">
        <v>2300</v>
      </c>
      <c r="J4666" s="2" t="s">
        <v>5</v>
      </c>
      <c r="K4666" s="2" t="s">
        <v>5</v>
      </c>
      <c r="L4666" s="2" t="s">
        <v>5</v>
      </c>
      <c r="M4666" s="2" t="s">
        <v>5</v>
      </c>
      <c r="N4666" s="4">
        <v>0</v>
      </c>
    </row>
    <row r="4667" spans="1:14" x14ac:dyDescent="0.25">
      <c r="A4667" s="2" t="s">
        <v>378</v>
      </c>
      <c r="B4667" s="2" t="s">
        <v>379</v>
      </c>
      <c r="C4667" s="3">
        <v>31.99</v>
      </c>
      <c r="D4667" s="4">
        <v>386.43920000000003</v>
      </c>
      <c r="E4667" s="4">
        <v>233.52699999999999</v>
      </c>
      <c r="F4667" s="4">
        <f t="shared" si="285"/>
        <v>152.91220000000004</v>
      </c>
      <c r="G4667" s="5">
        <f t="shared" si="286"/>
        <v>0.39569536423841067</v>
      </c>
      <c r="H4667" s="2" t="s">
        <v>5</v>
      </c>
      <c r="I4667" s="6" t="s">
        <v>2300</v>
      </c>
      <c r="J4667" s="2" t="s">
        <v>5</v>
      </c>
      <c r="K4667" s="2" t="s">
        <v>5</v>
      </c>
      <c r="L4667" s="2" t="s">
        <v>5</v>
      </c>
      <c r="M4667" s="2" t="s">
        <v>5</v>
      </c>
      <c r="N4667" s="4">
        <v>0</v>
      </c>
    </row>
    <row r="4668" spans="1:14" x14ac:dyDescent="0.25">
      <c r="A4668" s="2" t="s">
        <v>378</v>
      </c>
      <c r="B4668" s="2" t="s">
        <v>379</v>
      </c>
      <c r="C4668" s="3">
        <v>95.55</v>
      </c>
      <c r="D4668" s="4">
        <v>1154.2439999999999</v>
      </c>
      <c r="E4668" s="4">
        <v>697.51499999999999</v>
      </c>
      <c r="F4668" s="4">
        <f t="shared" si="285"/>
        <v>456.72899999999993</v>
      </c>
      <c r="G4668" s="5">
        <f t="shared" si="286"/>
        <v>0.39569536423841056</v>
      </c>
      <c r="H4668" s="2" t="s">
        <v>5</v>
      </c>
      <c r="I4668" s="6" t="s">
        <v>2300</v>
      </c>
      <c r="J4668" s="2" t="s">
        <v>5</v>
      </c>
      <c r="K4668" s="2" t="s">
        <v>5</v>
      </c>
      <c r="L4668" s="2" t="s">
        <v>5</v>
      </c>
      <c r="M4668" s="2" t="s">
        <v>5</v>
      </c>
      <c r="N4668" s="4">
        <v>0</v>
      </c>
    </row>
    <row r="4669" spans="1:14" x14ac:dyDescent="0.25">
      <c r="A4669" s="2" t="s">
        <v>378</v>
      </c>
      <c r="B4669" s="2" t="s">
        <v>379</v>
      </c>
      <c r="C4669" s="3">
        <v>75.489999999999995</v>
      </c>
      <c r="D4669" s="4">
        <v>911.91920000000005</v>
      </c>
      <c r="E4669" s="4">
        <v>551.077</v>
      </c>
      <c r="F4669" s="4">
        <f t="shared" si="285"/>
        <v>360.84220000000005</v>
      </c>
      <c r="G4669" s="5">
        <f t="shared" si="286"/>
        <v>0.39569536423841062</v>
      </c>
      <c r="H4669" s="2" t="s">
        <v>5</v>
      </c>
      <c r="I4669" s="6" t="s">
        <v>2300</v>
      </c>
      <c r="J4669" s="2" t="s">
        <v>5</v>
      </c>
      <c r="K4669" s="2" t="s">
        <v>5</v>
      </c>
      <c r="L4669" s="2" t="s">
        <v>5</v>
      </c>
      <c r="M4669" s="2" t="s">
        <v>5</v>
      </c>
      <c r="N4669" s="4">
        <v>0</v>
      </c>
    </row>
    <row r="4670" spans="1:14" x14ac:dyDescent="0.25">
      <c r="A4670" s="2" t="s">
        <v>378</v>
      </c>
      <c r="B4670" s="2" t="s">
        <v>379</v>
      </c>
      <c r="C4670" s="3">
        <v>45.8</v>
      </c>
      <c r="D4670" s="4">
        <v>553.26400000000001</v>
      </c>
      <c r="E4670" s="4">
        <v>334.34</v>
      </c>
      <c r="F4670" s="4">
        <f t="shared" si="285"/>
        <v>218.92400000000004</v>
      </c>
      <c r="G4670" s="5">
        <f t="shared" si="286"/>
        <v>0.39569536423841067</v>
      </c>
      <c r="H4670" s="2" t="s">
        <v>5</v>
      </c>
      <c r="I4670" s="6" t="s">
        <v>2300</v>
      </c>
      <c r="J4670" s="2" t="s">
        <v>5</v>
      </c>
      <c r="K4670" s="2" t="s">
        <v>5</v>
      </c>
      <c r="L4670" s="2" t="s">
        <v>5</v>
      </c>
      <c r="M4670" s="2" t="s">
        <v>5</v>
      </c>
      <c r="N4670" s="4">
        <v>0</v>
      </c>
    </row>
    <row r="4671" spans="1:14" x14ac:dyDescent="0.25">
      <c r="A4671" s="2" t="s">
        <v>378</v>
      </c>
      <c r="B4671" s="2" t="s">
        <v>379</v>
      </c>
      <c r="C4671" s="3">
        <v>47.03</v>
      </c>
      <c r="D4671" s="4">
        <v>568.12239999999997</v>
      </c>
      <c r="E4671" s="4">
        <v>343.31900000000002</v>
      </c>
      <c r="F4671" s="4">
        <f t="shared" si="285"/>
        <v>224.80339999999995</v>
      </c>
      <c r="G4671" s="5">
        <f t="shared" si="286"/>
        <v>0.39569536423841051</v>
      </c>
      <c r="H4671" s="2" t="s">
        <v>5</v>
      </c>
      <c r="I4671" s="6" t="s">
        <v>2300</v>
      </c>
      <c r="J4671" s="2" t="s">
        <v>5</v>
      </c>
      <c r="K4671" s="2" t="s">
        <v>5</v>
      </c>
      <c r="L4671" s="2" t="s">
        <v>5</v>
      </c>
      <c r="M4671" s="2" t="s">
        <v>5</v>
      </c>
      <c r="N4671" s="4">
        <v>0</v>
      </c>
    </row>
    <row r="4672" spans="1:14" x14ac:dyDescent="0.25">
      <c r="A4672" s="2" t="s">
        <v>378</v>
      </c>
      <c r="B4672" s="2" t="s">
        <v>379</v>
      </c>
      <c r="C4672" s="3">
        <v>31.844999999999999</v>
      </c>
      <c r="D4672" s="4">
        <v>384.68759999999997</v>
      </c>
      <c r="E4672" s="4">
        <v>232.46850000000001</v>
      </c>
      <c r="F4672" s="4">
        <f t="shared" si="285"/>
        <v>152.21909999999997</v>
      </c>
      <c r="G4672" s="5">
        <f t="shared" si="286"/>
        <v>0.39569536423841056</v>
      </c>
      <c r="H4672" s="2" t="s">
        <v>5</v>
      </c>
      <c r="I4672" s="6" t="s">
        <v>2300</v>
      </c>
      <c r="J4672" s="2" t="s">
        <v>5</v>
      </c>
      <c r="K4672" s="2" t="s">
        <v>5</v>
      </c>
      <c r="L4672" s="2" t="s">
        <v>5</v>
      </c>
      <c r="M4672" s="2" t="s">
        <v>5</v>
      </c>
      <c r="N4672" s="4">
        <v>0</v>
      </c>
    </row>
    <row r="4673" spans="1:14" x14ac:dyDescent="0.25">
      <c r="A4673" s="2" t="s">
        <v>378</v>
      </c>
      <c r="B4673" s="2" t="s">
        <v>379</v>
      </c>
      <c r="C4673" s="3">
        <v>271.26499999999999</v>
      </c>
      <c r="D4673" s="4">
        <v>3276.8811999999998</v>
      </c>
      <c r="E4673" s="4">
        <v>1980.2345</v>
      </c>
      <c r="F4673" s="4">
        <f t="shared" si="285"/>
        <v>1296.6466999999998</v>
      </c>
      <c r="G4673" s="5">
        <f t="shared" si="286"/>
        <v>0.39569536423841056</v>
      </c>
      <c r="H4673" s="2" t="s">
        <v>5</v>
      </c>
      <c r="I4673" s="6" t="s">
        <v>2300</v>
      </c>
      <c r="J4673" s="2" t="s">
        <v>5</v>
      </c>
      <c r="K4673" s="2" t="s">
        <v>5</v>
      </c>
      <c r="L4673" s="2" t="s">
        <v>5</v>
      </c>
      <c r="M4673" s="2" t="s">
        <v>5</v>
      </c>
      <c r="N4673" s="4">
        <v>0</v>
      </c>
    </row>
    <row r="4674" spans="1:14" x14ac:dyDescent="0.25">
      <c r="A4674" s="2" t="s">
        <v>378</v>
      </c>
      <c r="B4674" s="2" t="s">
        <v>379</v>
      </c>
      <c r="C4674" s="3">
        <v>61.72</v>
      </c>
      <c r="D4674" s="4">
        <v>745.57759999999996</v>
      </c>
      <c r="E4674" s="4">
        <v>450.55599999999998</v>
      </c>
      <c r="F4674" s="4">
        <f t="shared" si="285"/>
        <v>295.02159999999998</v>
      </c>
      <c r="G4674" s="5">
        <f t="shared" si="286"/>
        <v>0.39569536423841056</v>
      </c>
      <c r="H4674" s="2" t="s">
        <v>5</v>
      </c>
      <c r="I4674" s="6" t="s">
        <v>2300</v>
      </c>
      <c r="J4674" s="2" t="s">
        <v>5</v>
      </c>
      <c r="K4674" s="2" t="s">
        <v>5</v>
      </c>
      <c r="L4674" s="2" t="s">
        <v>5</v>
      </c>
      <c r="M4674" s="2" t="s">
        <v>5</v>
      </c>
      <c r="N4674" s="4">
        <v>0</v>
      </c>
    </row>
    <row r="4675" spans="1:14" x14ac:dyDescent="0.25">
      <c r="A4675" s="2" t="s">
        <v>378</v>
      </c>
      <c r="B4675" s="2" t="s">
        <v>379</v>
      </c>
      <c r="C4675" s="3">
        <v>87.515000000000001</v>
      </c>
      <c r="D4675" s="4">
        <v>1057.1812</v>
      </c>
      <c r="E4675" s="4">
        <v>638.85950000000003</v>
      </c>
      <c r="F4675" s="4">
        <f t="shared" si="285"/>
        <v>418.32169999999996</v>
      </c>
      <c r="G4675" s="5">
        <f t="shared" si="286"/>
        <v>0.39569536423841056</v>
      </c>
      <c r="H4675" s="2" t="s">
        <v>5</v>
      </c>
      <c r="I4675" s="6" t="s">
        <v>2300</v>
      </c>
      <c r="J4675" s="2" t="s">
        <v>5</v>
      </c>
      <c r="K4675" s="2" t="s">
        <v>5</v>
      </c>
      <c r="L4675" s="2" t="s">
        <v>5</v>
      </c>
      <c r="M4675" s="2" t="s">
        <v>5</v>
      </c>
      <c r="N4675" s="4">
        <v>0</v>
      </c>
    </row>
    <row r="4676" spans="1:14" x14ac:dyDescent="0.25">
      <c r="A4676" s="2" t="s">
        <v>378</v>
      </c>
      <c r="B4676" s="2" t="s">
        <v>379</v>
      </c>
      <c r="C4676" s="3">
        <v>47.49</v>
      </c>
      <c r="D4676" s="4">
        <v>573.67920000000004</v>
      </c>
      <c r="E4676" s="4">
        <v>346.67700000000002</v>
      </c>
      <c r="F4676" s="4">
        <f t="shared" si="285"/>
        <v>227.00220000000002</v>
      </c>
      <c r="G4676" s="5">
        <f t="shared" si="286"/>
        <v>0.39569536423841062</v>
      </c>
      <c r="H4676" s="2" t="s">
        <v>5</v>
      </c>
      <c r="I4676" s="6" t="s">
        <v>2300</v>
      </c>
      <c r="J4676" s="2" t="s">
        <v>5</v>
      </c>
      <c r="K4676" s="2" t="s">
        <v>5</v>
      </c>
      <c r="L4676" s="2" t="s">
        <v>5</v>
      </c>
      <c r="M4676" s="2" t="s">
        <v>5</v>
      </c>
      <c r="N4676" s="4">
        <v>0</v>
      </c>
    </row>
    <row r="4677" spans="1:14" x14ac:dyDescent="0.25">
      <c r="A4677" s="2" t="s">
        <v>378</v>
      </c>
      <c r="B4677" s="2" t="s">
        <v>379</v>
      </c>
      <c r="C4677" s="3">
        <v>62.3</v>
      </c>
      <c r="D4677" s="4">
        <v>752.58399999999995</v>
      </c>
      <c r="E4677" s="4">
        <v>454.79</v>
      </c>
      <c r="F4677" s="4">
        <f t="shared" si="285"/>
        <v>297.79399999999993</v>
      </c>
      <c r="G4677" s="5">
        <f t="shared" si="286"/>
        <v>0.39569536423841051</v>
      </c>
      <c r="H4677" s="2" t="s">
        <v>5</v>
      </c>
      <c r="I4677" s="6" t="s">
        <v>2300</v>
      </c>
      <c r="J4677" s="2" t="s">
        <v>5</v>
      </c>
      <c r="K4677" s="2" t="s">
        <v>5</v>
      </c>
      <c r="L4677" s="2" t="s">
        <v>5</v>
      </c>
      <c r="M4677" s="2" t="s">
        <v>5</v>
      </c>
      <c r="N4677" s="4">
        <v>0</v>
      </c>
    </row>
    <row r="4678" spans="1:14" x14ac:dyDescent="0.25">
      <c r="A4678" s="2" t="s">
        <v>378</v>
      </c>
      <c r="B4678" s="2" t="s">
        <v>379</v>
      </c>
      <c r="C4678" s="3">
        <v>100.81</v>
      </c>
      <c r="D4678" s="4">
        <v>1217.7847999999999</v>
      </c>
      <c r="E4678" s="4">
        <v>735.91300000000001</v>
      </c>
      <c r="F4678" s="4">
        <f t="shared" si="285"/>
        <v>481.87179999999989</v>
      </c>
      <c r="G4678" s="5">
        <f t="shared" si="286"/>
        <v>0.39569536423841056</v>
      </c>
      <c r="H4678" s="2" t="s">
        <v>5</v>
      </c>
      <c r="I4678" s="6" t="s">
        <v>2300</v>
      </c>
      <c r="J4678" s="2" t="s">
        <v>5</v>
      </c>
      <c r="K4678" s="2" t="s">
        <v>5</v>
      </c>
      <c r="L4678" s="2" t="s">
        <v>5</v>
      </c>
      <c r="M4678" s="2" t="s">
        <v>5</v>
      </c>
      <c r="N4678" s="4">
        <v>0</v>
      </c>
    </row>
    <row r="4679" spans="1:14" x14ac:dyDescent="0.25">
      <c r="A4679" s="2" t="s">
        <v>378</v>
      </c>
      <c r="B4679" s="2" t="s">
        <v>379</v>
      </c>
      <c r="C4679" s="3">
        <v>363.77499999999998</v>
      </c>
      <c r="D4679" s="4">
        <v>4394.402</v>
      </c>
      <c r="E4679" s="4">
        <v>2655.5574999999999</v>
      </c>
      <c r="F4679" s="4">
        <f t="shared" si="285"/>
        <v>1738.8445000000002</v>
      </c>
      <c r="G4679" s="5">
        <f t="shared" si="286"/>
        <v>0.39569536423841062</v>
      </c>
      <c r="H4679" s="2" t="s">
        <v>5</v>
      </c>
      <c r="I4679" s="6" t="s">
        <v>2300</v>
      </c>
      <c r="J4679" s="2" t="s">
        <v>5</v>
      </c>
      <c r="K4679" s="2" t="s">
        <v>5</v>
      </c>
      <c r="L4679" s="2" t="s">
        <v>5</v>
      </c>
      <c r="M4679" s="2" t="s">
        <v>5</v>
      </c>
      <c r="N4679" s="4">
        <v>0</v>
      </c>
    </row>
    <row r="4680" spans="1:14" x14ac:dyDescent="0.25">
      <c r="A4680" s="2" t="s">
        <v>378</v>
      </c>
      <c r="B4680" s="2" t="s">
        <v>379</v>
      </c>
      <c r="C4680" s="3">
        <v>78.819999999999993</v>
      </c>
      <c r="D4680" s="4">
        <v>952.14559999999994</v>
      </c>
      <c r="E4680" s="4">
        <v>575.38599999999997</v>
      </c>
      <c r="F4680" s="4">
        <f t="shared" si="285"/>
        <v>376.75959999999998</v>
      </c>
      <c r="G4680" s="5">
        <f t="shared" si="286"/>
        <v>0.39569536423841062</v>
      </c>
      <c r="H4680" s="2" t="s">
        <v>5</v>
      </c>
      <c r="I4680" s="6" t="s">
        <v>2300</v>
      </c>
      <c r="J4680" s="2" t="s">
        <v>5</v>
      </c>
      <c r="K4680" s="2" t="s">
        <v>5</v>
      </c>
      <c r="L4680" s="2" t="s">
        <v>5</v>
      </c>
      <c r="M4680" s="2" t="s">
        <v>5</v>
      </c>
      <c r="N4680" s="4">
        <v>0</v>
      </c>
    </row>
    <row r="4681" spans="1:14" x14ac:dyDescent="0.25">
      <c r="A4681" s="2" t="s">
        <v>378</v>
      </c>
      <c r="B4681" s="2" t="s">
        <v>379</v>
      </c>
      <c r="C4681" s="3">
        <v>48.46</v>
      </c>
      <c r="D4681" s="4">
        <v>585.39679999999998</v>
      </c>
      <c r="E4681" s="4">
        <v>353.75799999999998</v>
      </c>
      <c r="F4681" s="4">
        <f t="shared" si="285"/>
        <v>231.6388</v>
      </c>
      <c r="G4681" s="5">
        <f t="shared" si="286"/>
        <v>0.39569536423841062</v>
      </c>
      <c r="H4681" s="2" t="s">
        <v>5</v>
      </c>
      <c r="I4681" s="6" t="s">
        <v>2300</v>
      </c>
      <c r="J4681" s="2" t="s">
        <v>5</v>
      </c>
      <c r="K4681" s="2" t="s">
        <v>5</v>
      </c>
      <c r="L4681" s="2" t="s">
        <v>5</v>
      </c>
      <c r="M4681" s="2" t="s">
        <v>5</v>
      </c>
      <c r="N4681" s="4">
        <v>0</v>
      </c>
    </row>
    <row r="4682" spans="1:14" x14ac:dyDescent="0.25">
      <c r="A4682" s="2" t="s">
        <v>378</v>
      </c>
      <c r="B4682" s="2" t="s">
        <v>379</v>
      </c>
      <c r="C4682" s="3">
        <v>228.97</v>
      </c>
      <c r="D4682" s="4">
        <v>2765.9576000000002</v>
      </c>
      <c r="E4682" s="4">
        <v>1671.481</v>
      </c>
      <c r="F4682" s="4">
        <f t="shared" si="285"/>
        <v>1094.4766000000002</v>
      </c>
      <c r="G4682" s="5">
        <f t="shared" si="286"/>
        <v>0.39569536423841062</v>
      </c>
      <c r="H4682" s="2" t="s">
        <v>5</v>
      </c>
      <c r="I4682" s="6" t="s">
        <v>2300</v>
      </c>
      <c r="J4682" s="2" t="s">
        <v>5</v>
      </c>
      <c r="K4682" s="2" t="s">
        <v>5</v>
      </c>
      <c r="L4682" s="2" t="s">
        <v>5</v>
      </c>
      <c r="M4682" s="2" t="s">
        <v>5</v>
      </c>
      <c r="N4682" s="4">
        <v>0</v>
      </c>
    </row>
    <row r="4683" spans="1:14" x14ac:dyDescent="0.25">
      <c r="A4683" s="2" t="s">
        <v>378</v>
      </c>
      <c r="B4683" s="2" t="s">
        <v>379</v>
      </c>
      <c r="C4683" s="3">
        <v>29.114999999999998</v>
      </c>
      <c r="D4683" s="4">
        <v>351.70920000000001</v>
      </c>
      <c r="E4683" s="4">
        <v>212.5395</v>
      </c>
      <c r="F4683" s="4">
        <f t="shared" si="285"/>
        <v>139.16970000000001</v>
      </c>
      <c r="G4683" s="5">
        <f t="shared" si="286"/>
        <v>0.39569536423841062</v>
      </c>
      <c r="H4683" s="2" t="s">
        <v>5</v>
      </c>
      <c r="I4683" s="6" t="s">
        <v>2300</v>
      </c>
      <c r="J4683" s="2" t="s">
        <v>5</v>
      </c>
      <c r="K4683" s="2" t="s">
        <v>5</v>
      </c>
      <c r="L4683" s="2" t="s">
        <v>5</v>
      </c>
      <c r="M4683" s="2" t="s">
        <v>5</v>
      </c>
      <c r="N4683" s="4">
        <v>0</v>
      </c>
    </row>
    <row r="4684" spans="1:14" x14ac:dyDescent="0.25">
      <c r="A4684" s="2" t="s">
        <v>378</v>
      </c>
      <c r="B4684" s="2" t="s">
        <v>379</v>
      </c>
      <c r="C4684" s="3">
        <v>81.010000000000005</v>
      </c>
      <c r="D4684" s="4">
        <v>978.60080000000005</v>
      </c>
      <c r="E4684" s="4">
        <v>591.37300000000005</v>
      </c>
      <c r="F4684" s="4">
        <f t="shared" si="285"/>
        <v>387.2278</v>
      </c>
      <c r="G4684" s="5">
        <f t="shared" si="286"/>
        <v>0.39569536423841056</v>
      </c>
      <c r="H4684" s="2" t="s">
        <v>5</v>
      </c>
      <c r="I4684" s="6" t="s">
        <v>2300</v>
      </c>
      <c r="J4684" s="2" t="s">
        <v>5</v>
      </c>
      <c r="K4684" s="2" t="s">
        <v>5</v>
      </c>
      <c r="L4684" s="2" t="s">
        <v>5</v>
      </c>
      <c r="M4684" s="2" t="s">
        <v>5</v>
      </c>
      <c r="N4684" s="4">
        <v>0</v>
      </c>
    </row>
    <row r="4685" spans="1:14" x14ac:dyDescent="0.25">
      <c r="A4685" s="2" t="s">
        <v>378</v>
      </c>
      <c r="B4685" s="2" t="s">
        <v>379</v>
      </c>
      <c r="C4685" s="3">
        <v>32.93</v>
      </c>
      <c r="D4685" s="4">
        <v>397.7944</v>
      </c>
      <c r="E4685" s="4">
        <v>240.38900000000001</v>
      </c>
      <c r="F4685" s="4">
        <f t="shared" si="285"/>
        <v>157.40539999999999</v>
      </c>
      <c r="G4685" s="5">
        <f t="shared" si="286"/>
        <v>0.39569536423841056</v>
      </c>
      <c r="H4685" s="2" t="s">
        <v>5</v>
      </c>
      <c r="I4685" s="6" t="s">
        <v>2300</v>
      </c>
      <c r="J4685" s="2" t="s">
        <v>5</v>
      </c>
      <c r="K4685" s="2" t="s">
        <v>5</v>
      </c>
      <c r="L4685" s="2" t="s">
        <v>5</v>
      </c>
      <c r="M4685" s="2" t="s">
        <v>5</v>
      </c>
      <c r="N4685" s="4">
        <v>0</v>
      </c>
    </row>
    <row r="4686" spans="1:14" x14ac:dyDescent="0.25">
      <c r="A4686" s="2" t="s">
        <v>476</v>
      </c>
      <c r="B4686" s="2" t="s">
        <v>477</v>
      </c>
      <c r="C4686" s="3">
        <v>10</v>
      </c>
      <c r="D4686" s="4">
        <v>119.8</v>
      </c>
      <c r="E4686" s="4">
        <v>75</v>
      </c>
      <c r="F4686" s="4">
        <f t="shared" si="285"/>
        <v>44.8</v>
      </c>
      <c r="G4686" s="5">
        <f t="shared" si="286"/>
        <v>0.37395659432387313</v>
      </c>
      <c r="H4686" s="2" t="s">
        <v>5</v>
      </c>
      <c r="I4686" s="6" t="s">
        <v>2300</v>
      </c>
      <c r="J4686" s="2" t="s">
        <v>5</v>
      </c>
      <c r="K4686" s="2" t="s">
        <v>5</v>
      </c>
      <c r="L4686" s="2" t="s">
        <v>5</v>
      </c>
      <c r="M4686" s="2" t="s">
        <v>5</v>
      </c>
      <c r="N4686" s="4">
        <v>0</v>
      </c>
    </row>
    <row r="4687" spans="1:14" x14ac:dyDescent="0.25">
      <c r="A4687" s="2" t="s">
        <v>476</v>
      </c>
      <c r="B4687" s="2" t="s">
        <v>477</v>
      </c>
      <c r="C4687" s="3">
        <v>40</v>
      </c>
      <c r="D4687" s="4">
        <v>479.2</v>
      </c>
      <c r="E4687" s="4">
        <v>300</v>
      </c>
      <c r="F4687" s="4">
        <f t="shared" si="285"/>
        <v>179.2</v>
      </c>
      <c r="G4687" s="5">
        <f t="shared" si="286"/>
        <v>0.37395659432387313</v>
      </c>
      <c r="H4687" s="2" t="s">
        <v>5</v>
      </c>
      <c r="I4687" s="6" t="s">
        <v>2300</v>
      </c>
      <c r="J4687" s="2" t="s">
        <v>5</v>
      </c>
      <c r="K4687" s="2" t="s">
        <v>5</v>
      </c>
      <c r="L4687" s="2" t="s">
        <v>5</v>
      </c>
      <c r="M4687" s="2" t="s">
        <v>5</v>
      </c>
      <c r="N4687" s="4">
        <v>0</v>
      </c>
    </row>
    <row r="4688" spans="1:14" x14ac:dyDescent="0.25">
      <c r="A4688" s="2" t="s">
        <v>476</v>
      </c>
      <c r="B4688" s="2" t="s">
        <v>477</v>
      </c>
      <c r="C4688" s="3">
        <v>20</v>
      </c>
      <c r="D4688" s="4">
        <v>239.6</v>
      </c>
      <c r="E4688" s="4">
        <v>150</v>
      </c>
      <c r="F4688" s="4">
        <f t="shared" si="285"/>
        <v>89.6</v>
      </c>
      <c r="G4688" s="5">
        <f t="shared" si="286"/>
        <v>0.37395659432387313</v>
      </c>
      <c r="H4688" s="2" t="s">
        <v>5</v>
      </c>
      <c r="I4688" s="6" t="s">
        <v>2300</v>
      </c>
      <c r="J4688" s="2" t="s">
        <v>5</v>
      </c>
      <c r="K4688" s="2" t="s">
        <v>5</v>
      </c>
      <c r="L4688" s="2" t="s">
        <v>5</v>
      </c>
      <c r="M4688" s="2" t="s">
        <v>5</v>
      </c>
      <c r="N4688" s="4">
        <v>0</v>
      </c>
    </row>
    <row r="4689" spans="1:14" x14ac:dyDescent="0.25">
      <c r="A4689" s="2" t="s">
        <v>380</v>
      </c>
      <c r="B4689" s="2" t="s">
        <v>381</v>
      </c>
      <c r="C4689" s="3">
        <v>15.5</v>
      </c>
      <c r="D4689" s="4">
        <v>220.565</v>
      </c>
      <c r="E4689" s="4">
        <v>77.5</v>
      </c>
      <c r="F4689" s="4">
        <f t="shared" si="285"/>
        <v>143.065</v>
      </c>
      <c r="G4689" s="5">
        <f t="shared" si="286"/>
        <v>0.64862965565706254</v>
      </c>
      <c r="H4689" s="2" t="s">
        <v>5</v>
      </c>
      <c r="I4689" s="6" t="s">
        <v>2300</v>
      </c>
      <c r="J4689" s="2" t="s">
        <v>5</v>
      </c>
      <c r="K4689" s="2" t="s">
        <v>5</v>
      </c>
      <c r="L4689" s="2" t="s">
        <v>5</v>
      </c>
      <c r="M4689" s="2" t="s">
        <v>5</v>
      </c>
      <c r="N4689" s="4">
        <v>0</v>
      </c>
    </row>
    <row r="4690" spans="1:14" x14ac:dyDescent="0.25">
      <c r="A4690" s="2" t="s">
        <v>380</v>
      </c>
      <c r="B4690" s="2" t="s">
        <v>381</v>
      </c>
      <c r="C4690" s="3">
        <v>14.654999999999999</v>
      </c>
      <c r="D4690" s="4">
        <v>208.54065</v>
      </c>
      <c r="E4690" s="4">
        <v>73.275000000000006</v>
      </c>
      <c r="F4690" s="4">
        <f t="shared" si="285"/>
        <v>135.26564999999999</v>
      </c>
      <c r="G4690" s="5">
        <f t="shared" si="286"/>
        <v>0.64862965565706254</v>
      </c>
      <c r="H4690" s="2" t="s">
        <v>5</v>
      </c>
      <c r="I4690" s="6" t="s">
        <v>2300</v>
      </c>
      <c r="J4690" s="2" t="s">
        <v>5</v>
      </c>
      <c r="K4690" s="2" t="s">
        <v>5</v>
      </c>
      <c r="L4690" s="2" t="s">
        <v>5</v>
      </c>
      <c r="M4690" s="2" t="s">
        <v>5</v>
      </c>
      <c r="N4690" s="4">
        <v>0</v>
      </c>
    </row>
    <row r="4691" spans="1:14" x14ac:dyDescent="0.25">
      <c r="A4691" s="2" t="s">
        <v>380</v>
      </c>
      <c r="B4691" s="2" t="s">
        <v>381</v>
      </c>
      <c r="C4691" s="3">
        <v>14.574999999999999</v>
      </c>
      <c r="D4691" s="4">
        <v>207.40225000000001</v>
      </c>
      <c r="E4691" s="4">
        <v>72.875</v>
      </c>
      <c r="F4691" s="4">
        <f t="shared" si="285"/>
        <v>134.52725000000001</v>
      </c>
      <c r="G4691" s="5">
        <f t="shared" si="286"/>
        <v>0.64862965565706254</v>
      </c>
      <c r="H4691" s="2" t="s">
        <v>5</v>
      </c>
      <c r="I4691" s="6" t="s">
        <v>2300</v>
      </c>
      <c r="J4691" s="2" t="s">
        <v>5</v>
      </c>
      <c r="K4691" s="2" t="s">
        <v>5</v>
      </c>
      <c r="L4691" s="2" t="s">
        <v>5</v>
      </c>
      <c r="M4691" s="2" t="s">
        <v>5</v>
      </c>
      <c r="N4691" s="4">
        <v>0</v>
      </c>
    </row>
    <row r="4692" spans="1:14" x14ac:dyDescent="0.25">
      <c r="A4692" s="2" t="s">
        <v>380</v>
      </c>
      <c r="B4692" s="2" t="s">
        <v>381</v>
      </c>
      <c r="C4692" s="3">
        <v>16.399999999999999</v>
      </c>
      <c r="D4692" s="4">
        <v>233.37200000000001</v>
      </c>
      <c r="E4692" s="4">
        <v>82</v>
      </c>
      <c r="F4692" s="4">
        <f t="shared" si="285"/>
        <v>151.37200000000001</v>
      </c>
      <c r="G4692" s="5">
        <f t="shared" si="286"/>
        <v>0.64862965565706254</v>
      </c>
      <c r="H4692" s="2" t="s">
        <v>5</v>
      </c>
      <c r="I4692" s="6" t="s">
        <v>2300</v>
      </c>
      <c r="J4692" s="2" t="s">
        <v>5</v>
      </c>
      <c r="K4692" s="2" t="s">
        <v>5</v>
      </c>
      <c r="L4692" s="2" t="s">
        <v>5</v>
      </c>
      <c r="M4692" s="2" t="s">
        <v>5</v>
      </c>
      <c r="N4692" s="4">
        <v>0</v>
      </c>
    </row>
    <row r="4693" spans="1:14" x14ac:dyDescent="0.25">
      <c r="A4693" s="2" t="s">
        <v>382</v>
      </c>
      <c r="B4693" s="2" t="s">
        <v>383</v>
      </c>
      <c r="C4693" s="3">
        <v>94.234999999999999</v>
      </c>
      <c r="D4693" s="4">
        <v>509.81135</v>
      </c>
      <c r="E4693" s="4">
        <v>339.24599999999998</v>
      </c>
      <c r="F4693" s="4">
        <f t="shared" si="285"/>
        <v>170.56535000000002</v>
      </c>
      <c r="G4693" s="5">
        <f t="shared" si="286"/>
        <v>0.3345656192236599</v>
      </c>
      <c r="H4693" s="2" t="s">
        <v>5</v>
      </c>
      <c r="I4693" s="6" t="s">
        <v>2300</v>
      </c>
      <c r="J4693" s="2" t="s">
        <v>5</v>
      </c>
      <c r="K4693" s="2" t="s">
        <v>5</v>
      </c>
      <c r="L4693" s="2" t="s">
        <v>5</v>
      </c>
      <c r="M4693" s="2" t="s">
        <v>5</v>
      </c>
      <c r="N4693" s="4">
        <v>0</v>
      </c>
    </row>
    <row r="4694" spans="1:14" x14ac:dyDescent="0.25">
      <c r="A4694" s="2" t="s">
        <v>382</v>
      </c>
      <c r="B4694" s="2" t="s">
        <v>383</v>
      </c>
      <c r="C4694" s="3">
        <v>227.28</v>
      </c>
      <c r="D4694" s="4">
        <v>1229.5848000000001</v>
      </c>
      <c r="E4694" s="4">
        <v>818.20799999999997</v>
      </c>
      <c r="F4694" s="4">
        <f t="shared" si="285"/>
        <v>411.37680000000012</v>
      </c>
      <c r="G4694" s="5">
        <f t="shared" si="286"/>
        <v>0.33456561922365996</v>
      </c>
      <c r="H4694" s="2" t="s">
        <v>5</v>
      </c>
      <c r="I4694" s="6" t="s">
        <v>2300</v>
      </c>
      <c r="J4694" s="2" t="s">
        <v>5</v>
      </c>
      <c r="K4694" s="2" t="s">
        <v>5</v>
      </c>
      <c r="L4694" s="2" t="s">
        <v>5</v>
      </c>
      <c r="M4694" s="2" t="s">
        <v>5</v>
      </c>
      <c r="N4694" s="4">
        <v>0</v>
      </c>
    </row>
    <row r="4695" spans="1:14" x14ac:dyDescent="0.25">
      <c r="A4695" s="2" t="s">
        <v>382</v>
      </c>
      <c r="B4695" s="2" t="s">
        <v>383</v>
      </c>
      <c r="C4695" s="3">
        <v>299.89</v>
      </c>
      <c r="D4695" s="4">
        <v>1622.4049</v>
      </c>
      <c r="E4695" s="4">
        <v>1079.604</v>
      </c>
      <c r="F4695" s="4">
        <f t="shared" si="285"/>
        <v>542.80089999999996</v>
      </c>
      <c r="G4695" s="5">
        <f t="shared" si="286"/>
        <v>0.33456561922365985</v>
      </c>
      <c r="H4695" s="2" t="s">
        <v>5</v>
      </c>
      <c r="I4695" s="6" t="s">
        <v>2300</v>
      </c>
      <c r="J4695" s="2" t="s">
        <v>5</v>
      </c>
      <c r="K4695" s="2" t="s">
        <v>5</v>
      </c>
      <c r="L4695" s="2" t="s">
        <v>5</v>
      </c>
      <c r="M4695" s="2" t="s">
        <v>5</v>
      </c>
      <c r="N4695" s="4">
        <v>0</v>
      </c>
    </row>
    <row r="4696" spans="1:14" x14ac:dyDescent="0.25">
      <c r="A4696" s="2" t="s">
        <v>382</v>
      </c>
      <c r="B4696" s="2" t="s">
        <v>383</v>
      </c>
      <c r="C4696" s="3">
        <v>145.81</v>
      </c>
      <c r="D4696" s="4">
        <v>788.83209999999997</v>
      </c>
      <c r="E4696" s="4">
        <v>524.91600000000005</v>
      </c>
      <c r="F4696" s="4">
        <f t="shared" si="285"/>
        <v>263.91609999999991</v>
      </c>
      <c r="G4696" s="5">
        <f t="shared" si="286"/>
        <v>0.33456561922365979</v>
      </c>
      <c r="H4696" s="2" t="s">
        <v>5</v>
      </c>
      <c r="I4696" s="6" t="s">
        <v>2300</v>
      </c>
      <c r="J4696" s="2" t="s">
        <v>5</v>
      </c>
      <c r="K4696" s="2" t="s">
        <v>5</v>
      </c>
      <c r="L4696" s="2" t="s">
        <v>5</v>
      </c>
      <c r="M4696" s="2" t="s">
        <v>5</v>
      </c>
      <c r="N4696" s="4">
        <v>0</v>
      </c>
    </row>
    <row r="4697" spans="1:14" x14ac:dyDescent="0.25">
      <c r="A4697" s="2" t="s">
        <v>382</v>
      </c>
      <c r="B4697" s="2" t="s">
        <v>383</v>
      </c>
      <c r="C4697" s="3">
        <v>63.77</v>
      </c>
      <c r="D4697" s="4">
        <v>344.9957</v>
      </c>
      <c r="E4697" s="4">
        <v>229.572</v>
      </c>
      <c r="F4697" s="4">
        <f t="shared" si="285"/>
        <v>115.4237</v>
      </c>
      <c r="G4697" s="5">
        <f t="shared" si="286"/>
        <v>0.3345656192236599</v>
      </c>
      <c r="H4697" s="2" t="s">
        <v>5</v>
      </c>
      <c r="I4697" s="6" t="s">
        <v>2300</v>
      </c>
      <c r="J4697" s="2" t="s">
        <v>5</v>
      </c>
      <c r="K4697" s="2" t="s">
        <v>5</v>
      </c>
      <c r="L4697" s="2" t="s">
        <v>5</v>
      </c>
      <c r="M4697" s="2" t="s">
        <v>5</v>
      </c>
      <c r="N4697" s="4">
        <v>0</v>
      </c>
    </row>
    <row r="4698" spans="1:14" x14ac:dyDescent="0.25">
      <c r="A4698" s="2" t="s">
        <v>382</v>
      </c>
      <c r="B4698" s="2" t="s">
        <v>383</v>
      </c>
      <c r="C4698" s="3">
        <v>199.6</v>
      </c>
      <c r="D4698" s="4">
        <v>1079.836</v>
      </c>
      <c r="E4698" s="4">
        <v>718.56</v>
      </c>
      <c r="F4698" s="4">
        <f t="shared" si="285"/>
        <v>361.27600000000007</v>
      </c>
      <c r="G4698" s="5">
        <f t="shared" si="286"/>
        <v>0.33456561922365996</v>
      </c>
      <c r="H4698" s="2" t="s">
        <v>5</v>
      </c>
      <c r="I4698" s="6" t="s">
        <v>2300</v>
      </c>
      <c r="J4698" s="2" t="s">
        <v>5</v>
      </c>
      <c r="K4698" s="2" t="s">
        <v>5</v>
      </c>
      <c r="L4698" s="2" t="s">
        <v>5</v>
      </c>
      <c r="M4698" s="2" t="s">
        <v>5</v>
      </c>
      <c r="N4698" s="4">
        <v>0</v>
      </c>
    </row>
    <row r="4699" spans="1:14" x14ac:dyDescent="0.25">
      <c r="A4699" s="2" t="s">
        <v>382</v>
      </c>
      <c r="B4699" s="2" t="s">
        <v>383</v>
      </c>
      <c r="C4699" s="3">
        <v>30.72</v>
      </c>
      <c r="D4699" s="4">
        <v>166.1952</v>
      </c>
      <c r="E4699" s="4">
        <v>110.592</v>
      </c>
      <c r="F4699" s="4">
        <f t="shared" si="285"/>
        <v>55.603200000000001</v>
      </c>
      <c r="G4699" s="5">
        <f t="shared" si="286"/>
        <v>0.3345656192236599</v>
      </c>
      <c r="H4699" s="2" t="s">
        <v>5</v>
      </c>
      <c r="I4699" s="6" t="s">
        <v>2300</v>
      </c>
      <c r="J4699" s="2" t="s">
        <v>5</v>
      </c>
      <c r="K4699" s="2" t="s">
        <v>5</v>
      </c>
      <c r="L4699" s="2" t="s">
        <v>5</v>
      </c>
      <c r="M4699" s="2" t="s">
        <v>5</v>
      </c>
      <c r="N4699" s="4">
        <v>0</v>
      </c>
    </row>
    <row r="4700" spans="1:14" x14ac:dyDescent="0.25">
      <c r="A4700" s="2" t="s">
        <v>382</v>
      </c>
      <c r="B4700" s="2" t="s">
        <v>383</v>
      </c>
      <c r="C4700" s="3">
        <v>267.49</v>
      </c>
      <c r="D4700" s="4">
        <v>1447.1208999999999</v>
      </c>
      <c r="E4700" s="4">
        <v>962.96400000000006</v>
      </c>
      <c r="F4700" s="4">
        <f t="shared" si="285"/>
        <v>484.15689999999984</v>
      </c>
      <c r="G4700" s="5">
        <f t="shared" si="286"/>
        <v>0.33456561922365979</v>
      </c>
      <c r="H4700" s="2" t="s">
        <v>5</v>
      </c>
      <c r="I4700" s="6" t="s">
        <v>2300</v>
      </c>
      <c r="J4700" s="2" t="s">
        <v>5</v>
      </c>
      <c r="K4700" s="2" t="s">
        <v>5</v>
      </c>
      <c r="L4700" s="2" t="s">
        <v>5</v>
      </c>
      <c r="M4700" s="2" t="s">
        <v>5</v>
      </c>
      <c r="N4700" s="4">
        <v>0</v>
      </c>
    </row>
    <row r="4701" spans="1:14" x14ac:dyDescent="0.25">
      <c r="A4701" s="2" t="s">
        <v>382</v>
      </c>
      <c r="B4701" s="2" t="s">
        <v>383</v>
      </c>
      <c r="C4701" s="3">
        <v>64.19</v>
      </c>
      <c r="D4701" s="4">
        <v>347.2679</v>
      </c>
      <c r="E4701" s="4">
        <v>231.084</v>
      </c>
      <c r="F4701" s="4">
        <f t="shared" si="285"/>
        <v>116.18389999999999</v>
      </c>
      <c r="G4701" s="5">
        <f t="shared" si="286"/>
        <v>0.33456561922365985</v>
      </c>
      <c r="H4701" s="2" t="s">
        <v>5</v>
      </c>
      <c r="I4701" s="6" t="s">
        <v>2300</v>
      </c>
      <c r="J4701" s="2" t="s">
        <v>5</v>
      </c>
      <c r="K4701" s="2" t="s">
        <v>5</v>
      </c>
      <c r="L4701" s="2" t="s">
        <v>5</v>
      </c>
      <c r="M4701" s="2" t="s">
        <v>5</v>
      </c>
      <c r="N4701" s="4">
        <v>0</v>
      </c>
    </row>
    <row r="4702" spans="1:14" x14ac:dyDescent="0.25">
      <c r="A4702" s="2" t="s">
        <v>382</v>
      </c>
      <c r="B4702" s="2" t="s">
        <v>383</v>
      </c>
      <c r="C4702" s="3">
        <v>87.55</v>
      </c>
      <c r="D4702" s="4">
        <v>473.64550000000003</v>
      </c>
      <c r="E4702" s="4">
        <v>315.18</v>
      </c>
      <c r="F4702" s="4">
        <f t="shared" si="285"/>
        <v>158.46550000000002</v>
      </c>
      <c r="G4702" s="5">
        <f t="shared" si="286"/>
        <v>0.3345656192236599</v>
      </c>
      <c r="H4702" s="2" t="s">
        <v>5</v>
      </c>
      <c r="I4702" s="6" t="s">
        <v>2300</v>
      </c>
      <c r="J4702" s="2" t="s">
        <v>5</v>
      </c>
      <c r="K4702" s="2" t="s">
        <v>5</v>
      </c>
      <c r="L4702" s="2" t="s">
        <v>5</v>
      </c>
      <c r="M4702" s="2" t="s">
        <v>5</v>
      </c>
      <c r="N4702" s="4">
        <v>0</v>
      </c>
    </row>
    <row r="4703" spans="1:14" x14ac:dyDescent="0.25">
      <c r="A4703" s="2" t="s">
        <v>382</v>
      </c>
      <c r="B4703" s="2" t="s">
        <v>383</v>
      </c>
      <c r="C4703" s="3">
        <v>29.215</v>
      </c>
      <c r="D4703" s="4">
        <v>158.05314999999999</v>
      </c>
      <c r="E4703" s="4">
        <v>105.17400000000001</v>
      </c>
      <c r="F4703" s="4">
        <f t="shared" si="285"/>
        <v>52.879149999999981</v>
      </c>
      <c r="G4703" s="5">
        <f t="shared" si="286"/>
        <v>0.33456561922365979</v>
      </c>
      <c r="H4703" s="2" t="s">
        <v>5</v>
      </c>
      <c r="I4703" s="6" t="s">
        <v>2300</v>
      </c>
      <c r="J4703" s="2" t="s">
        <v>5</v>
      </c>
      <c r="K4703" s="2" t="s">
        <v>5</v>
      </c>
      <c r="L4703" s="2" t="s">
        <v>5</v>
      </c>
      <c r="M4703" s="2" t="s">
        <v>5</v>
      </c>
      <c r="N4703" s="4">
        <v>0</v>
      </c>
    </row>
    <row r="4704" spans="1:14" x14ac:dyDescent="0.25">
      <c r="A4704" s="2" t="s">
        <v>382</v>
      </c>
      <c r="B4704" s="2" t="s">
        <v>383</v>
      </c>
      <c r="C4704" s="3">
        <v>44.9</v>
      </c>
      <c r="D4704" s="4">
        <v>242.90899999999999</v>
      </c>
      <c r="E4704" s="4">
        <v>161.63999999999999</v>
      </c>
      <c r="F4704" s="4">
        <f t="shared" si="285"/>
        <v>81.269000000000005</v>
      </c>
      <c r="G4704" s="5">
        <f t="shared" si="286"/>
        <v>0.3345656192236599</v>
      </c>
      <c r="H4704" s="2" t="s">
        <v>5</v>
      </c>
      <c r="I4704" s="6" t="s">
        <v>2300</v>
      </c>
      <c r="J4704" s="2" t="s">
        <v>5</v>
      </c>
      <c r="K4704" s="2" t="s">
        <v>5</v>
      </c>
      <c r="L4704" s="2" t="s">
        <v>5</v>
      </c>
      <c r="M4704" s="2" t="s">
        <v>5</v>
      </c>
      <c r="N4704" s="4">
        <v>0</v>
      </c>
    </row>
    <row r="4705" spans="1:14" x14ac:dyDescent="0.25">
      <c r="A4705" s="2" t="s">
        <v>382</v>
      </c>
      <c r="B4705" s="2" t="s">
        <v>383</v>
      </c>
      <c r="C4705" s="3">
        <v>46.91</v>
      </c>
      <c r="D4705" s="4">
        <v>253.78309999999999</v>
      </c>
      <c r="E4705" s="4">
        <v>168.876</v>
      </c>
      <c r="F4705" s="4">
        <f t="shared" ref="F4705:F4768" si="287">D4705-E4705</f>
        <v>84.907099999999986</v>
      </c>
      <c r="G4705" s="5">
        <f t="shared" ref="G4705:G4768" si="288">IF(((D4705)=0),0,(D4705-E4705)/ D4705)</f>
        <v>0.33456561922365985</v>
      </c>
      <c r="H4705" s="2" t="s">
        <v>5</v>
      </c>
      <c r="I4705" s="6" t="s">
        <v>2300</v>
      </c>
      <c r="J4705" s="2" t="s">
        <v>5</v>
      </c>
      <c r="K4705" s="2" t="s">
        <v>5</v>
      </c>
      <c r="L4705" s="2" t="s">
        <v>5</v>
      </c>
      <c r="M4705" s="2" t="s">
        <v>5</v>
      </c>
      <c r="N4705" s="4">
        <v>0</v>
      </c>
    </row>
    <row r="4706" spans="1:14" x14ac:dyDescent="0.25">
      <c r="A4706" s="2" t="s">
        <v>384</v>
      </c>
      <c r="B4706" s="2" t="s">
        <v>385</v>
      </c>
      <c r="C4706" s="3">
        <v>57.35</v>
      </c>
      <c r="D4706" s="4">
        <v>250.04599999999999</v>
      </c>
      <c r="E4706" s="4">
        <v>143.375</v>
      </c>
      <c r="F4706" s="4">
        <f t="shared" si="287"/>
        <v>106.67099999999999</v>
      </c>
      <c r="G4706" s="5">
        <f t="shared" si="288"/>
        <v>0.42660550458715596</v>
      </c>
      <c r="H4706" s="2" t="s">
        <v>5</v>
      </c>
      <c r="I4706" s="6" t="s">
        <v>2300</v>
      </c>
      <c r="J4706" s="2" t="s">
        <v>5</v>
      </c>
      <c r="K4706" s="2" t="s">
        <v>5</v>
      </c>
      <c r="L4706" s="2" t="s">
        <v>5</v>
      </c>
      <c r="M4706" s="2" t="s">
        <v>5</v>
      </c>
      <c r="N4706" s="4">
        <v>0</v>
      </c>
    </row>
    <row r="4707" spans="1:14" x14ac:dyDescent="0.25">
      <c r="A4707" s="2" t="s">
        <v>384</v>
      </c>
      <c r="B4707" s="2" t="s">
        <v>385</v>
      </c>
      <c r="C4707" s="3">
        <v>60.625</v>
      </c>
      <c r="D4707" s="4">
        <v>264.32499999999999</v>
      </c>
      <c r="E4707" s="4">
        <v>151.5625</v>
      </c>
      <c r="F4707" s="4">
        <f t="shared" si="287"/>
        <v>112.76249999999999</v>
      </c>
      <c r="G4707" s="5">
        <f t="shared" si="288"/>
        <v>0.42660550458715596</v>
      </c>
      <c r="H4707" s="2" t="s">
        <v>5</v>
      </c>
      <c r="I4707" s="6" t="s">
        <v>2300</v>
      </c>
      <c r="J4707" s="2" t="s">
        <v>5</v>
      </c>
      <c r="K4707" s="2" t="s">
        <v>5</v>
      </c>
      <c r="L4707" s="2" t="s">
        <v>5</v>
      </c>
      <c r="M4707" s="2" t="s">
        <v>5</v>
      </c>
      <c r="N4707" s="4">
        <v>0</v>
      </c>
    </row>
    <row r="4708" spans="1:14" x14ac:dyDescent="0.25">
      <c r="A4708" s="2" t="s">
        <v>384</v>
      </c>
      <c r="B4708" s="2" t="s">
        <v>385</v>
      </c>
      <c r="C4708" s="3">
        <v>16.670000000000002</v>
      </c>
      <c r="D4708" s="4">
        <v>72.681200000000004</v>
      </c>
      <c r="E4708" s="4">
        <v>41.674999999999997</v>
      </c>
      <c r="F4708" s="4">
        <f t="shared" si="287"/>
        <v>31.006200000000007</v>
      </c>
      <c r="G4708" s="5">
        <f t="shared" si="288"/>
        <v>0.42660550458715601</v>
      </c>
      <c r="H4708" s="2" t="s">
        <v>5</v>
      </c>
      <c r="I4708" s="6" t="s">
        <v>2300</v>
      </c>
      <c r="J4708" s="2" t="s">
        <v>5</v>
      </c>
      <c r="K4708" s="2" t="s">
        <v>5</v>
      </c>
      <c r="L4708" s="2" t="s">
        <v>5</v>
      </c>
      <c r="M4708" s="2" t="s">
        <v>5</v>
      </c>
      <c r="N4708" s="4">
        <v>0</v>
      </c>
    </row>
    <row r="4709" spans="1:14" x14ac:dyDescent="0.25">
      <c r="A4709" s="2" t="s">
        <v>384</v>
      </c>
      <c r="B4709" s="2" t="s">
        <v>385</v>
      </c>
      <c r="C4709" s="3">
        <v>31.4</v>
      </c>
      <c r="D4709" s="4">
        <v>136.904</v>
      </c>
      <c r="E4709" s="4">
        <v>78.5</v>
      </c>
      <c r="F4709" s="4">
        <f t="shared" si="287"/>
        <v>58.403999999999996</v>
      </c>
      <c r="G4709" s="5">
        <f t="shared" si="288"/>
        <v>0.42660550458715596</v>
      </c>
      <c r="H4709" s="2" t="s">
        <v>5</v>
      </c>
      <c r="I4709" s="6" t="s">
        <v>2300</v>
      </c>
      <c r="J4709" s="2" t="s">
        <v>5</v>
      </c>
      <c r="K4709" s="2" t="s">
        <v>5</v>
      </c>
      <c r="L4709" s="2" t="s">
        <v>5</v>
      </c>
      <c r="M4709" s="2" t="s">
        <v>5</v>
      </c>
      <c r="N4709" s="4">
        <v>0</v>
      </c>
    </row>
    <row r="4710" spans="1:14" x14ac:dyDescent="0.25">
      <c r="A4710" s="2" t="s">
        <v>384</v>
      </c>
      <c r="B4710" s="2" t="s">
        <v>385</v>
      </c>
      <c r="C4710" s="3">
        <v>30.79</v>
      </c>
      <c r="D4710" s="4">
        <v>134.24440000000001</v>
      </c>
      <c r="E4710" s="4">
        <v>76.974999999999994</v>
      </c>
      <c r="F4710" s="4">
        <f t="shared" si="287"/>
        <v>57.269400000000019</v>
      </c>
      <c r="G4710" s="5">
        <f t="shared" si="288"/>
        <v>0.42660550458715607</v>
      </c>
      <c r="H4710" s="2" t="s">
        <v>5</v>
      </c>
      <c r="I4710" s="6" t="s">
        <v>2300</v>
      </c>
      <c r="J4710" s="2" t="s">
        <v>5</v>
      </c>
      <c r="K4710" s="2" t="s">
        <v>5</v>
      </c>
      <c r="L4710" s="2" t="s">
        <v>5</v>
      </c>
      <c r="M4710" s="2" t="s">
        <v>5</v>
      </c>
      <c r="N4710" s="4">
        <v>0</v>
      </c>
    </row>
    <row r="4711" spans="1:14" x14ac:dyDescent="0.25">
      <c r="A4711" s="2" t="s">
        <v>384</v>
      </c>
      <c r="B4711" s="2" t="s">
        <v>385</v>
      </c>
      <c r="C4711" s="3">
        <v>31.71</v>
      </c>
      <c r="D4711" s="4">
        <v>138.25559999999999</v>
      </c>
      <c r="E4711" s="4">
        <v>79.275000000000006</v>
      </c>
      <c r="F4711" s="4">
        <f t="shared" si="287"/>
        <v>58.980599999999981</v>
      </c>
      <c r="G4711" s="5">
        <f t="shared" si="288"/>
        <v>0.42660550458715585</v>
      </c>
      <c r="H4711" s="2" t="s">
        <v>5</v>
      </c>
      <c r="I4711" s="6" t="s">
        <v>2300</v>
      </c>
      <c r="J4711" s="2" t="s">
        <v>5</v>
      </c>
      <c r="K4711" s="2" t="s">
        <v>5</v>
      </c>
      <c r="L4711" s="2" t="s">
        <v>5</v>
      </c>
      <c r="M4711" s="2" t="s">
        <v>5</v>
      </c>
      <c r="N4711" s="4">
        <v>0</v>
      </c>
    </row>
    <row r="4712" spans="1:14" x14ac:dyDescent="0.25">
      <c r="A4712" s="2" t="s">
        <v>384</v>
      </c>
      <c r="B4712" s="2" t="s">
        <v>385</v>
      </c>
      <c r="C4712" s="3">
        <v>44.475000000000001</v>
      </c>
      <c r="D4712" s="4">
        <v>193.911</v>
      </c>
      <c r="E4712" s="4">
        <v>111.1875</v>
      </c>
      <c r="F4712" s="4">
        <f t="shared" si="287"/>
        <v>82.723500000000001</v>
      </c>
      <c r="G4712" s="5">
        <f t="shared" si="288"/>
        <v>0.42660550458715596</v>
      </c>
      <c r="H4712" s="2" t="s">
        <v>5</v>
      </c>
      <c r="I4712" s="6" t="s">
        <v>2300</v>
      </c>
      <c r="J4712" s="2" t="s">
        <v>5</v>
      </c>
      <c r="K4712" s="2" t="s">
        <v>5</v>
      </c>
      <c r="L4712" s="2" t="s">
        <v>5</v>
      </c>
      <c r="M4712" s="2" t="s">
        <v>5</v>
      </c>
      <c r="N4712" s="4">
        <v>0</v>
      </c>
    </row>
    <row r="4713" spans="1:14" x14ac:dyDescent="0.25">
      <c r="A4713" s="2" t="s">
        <v>384</v>
      </c>
      <c r="B4713" s="2" t="s">
        <v>385</v>
      </c>
      <c r="C4713" s="3">
        <v>43.64</v>
      </c>
      <c r="D4713" s="4">
        <v>190.2704</v>
      </c>
      <c r="E4713" s="4">
        <v>109.1</v>
      </c>
      <c r="F4713" s="4">
        <f t="shared" si="287"/>
        <v>81.170400000000001</v>
      </c>
      <c r="G4713" s="5">
        <f t="shared" si="288"/>
        <v>0.42660550458715596</v>
      </c>
      <c r="H4713" s="2" t="s">
        <v>5</v>
      </c>
      <c r="I4713" s="6" t="s">
        <v>2300</v>
      </c>
      <c r="J4713" s="2" t="s">
        <v>5</v>
      </c>
      <c r="K4713" s="2" t="s">
        <v>5</v>
      </c>
      <c r="L4713" s="2" t="s">
        <v>5</v>
      </c>
      <c r="M4713" s="2" t="s">
        <v>5</v>
      </c>
      <c r="N4713" s="4">
        <v>0</v>
      </c>
    </row>
    <row r="4714" spans="1:14" x14ac:dyDescent="0.25">
      <c r="A4714" s="2" t="s">
        <v>384</v>
      </c>
      <c r="B4714" s="2" t="s">
        <v>385</v>
      </c>
      <c r="C4714" s="3">
        <v>15.04</v>
      </c>
      <c r="D4714" s="4">
        <v>65.574399999999997</v>
      </c>
      <c r="E4714" s="4">
        <v>37.6</v>
      </c>
      <c r="F4714" s="4">
        <f t="shared" si="287"/>
        <v>27.974399999999996</v>
      </c>
      <c r="G4714" s="5">
        <f t="shared" si="288"/>
        <v>0.4266055045871559</v>
      </c>
      <c r="H4714" s="2" t="s">
        <v>5</v>
      </c>
      <c r="I4714" s="6" t="s">
        <v>2300</v>
      </c>
      <c r="J4714" s="2" t="s">
        <v>5</v>
      </c>
      <c r="K4714" s="2" t="s">
        <v>5</v>
      </c>
      <c r="L4714" s="2" t="s">
        <v>5</v>
      </c>
      <c r="M4714" s="2" t="s">
        <v>5</v>
      </c>
      <c r="N4714" s="4">
        <v>0</v>
      </c>
    </row>
    <row r="4715" spans="1:14" x14ac:dyDescent="0.25">
      <c r="A4715" s="2" t="s">
        <v>386</v>
      </c>
      <c r="B4715" s="2" t="s">
        <v>387</v>
      </c>
      <c r="C4715" s="3">
        <v>6</v>
      </c>
      <c r="D4715" s="4">
        <v>55.8</v>
      </c>
      <c r="E4715" s="4">
        <v>26.16</v>
      </c>
      <c r="F4715" s="4">
        <f t="shared" si="287"/>
        <v>29.639999999999997</v>
      </c>
      <c r="G4715" s="5">
        <f t="shared" si="288"/>
        <v>0.53118279569892468</v>
      </c>
      <c r="H4715" s="2" t="s">
        <v>5</v>
      </c>
      <c r="I4715" s="6" t="s">
        <v>2300</v>
      </c>
      <c r="J4715" s="2" t="s">
        <v>5</v>
      </c>
      <c r="K4715" s="2" t="s">
        <v>5</v>
      </c>
      <c r="L4715" s="2" t="s">
        <v>5</v>
      </c>
      <c r="M4715" s="2" t="s">
        <v>5</v>
      </c>
      <c r="N4715" s="4">
        <v>0</v>
      </c>
    </row>
    <row r="4716" spans="1:14" x14ac:dyDescent="0.25">
      <c r="A4716" s="2" t="s">
        <v>386</v>
      </c>
      <c r="B4716" s="2" t="s">
        <v>387</v>
      </c>
      <c r="C4716" s="3">
        <v>6</v>
      </c>
      <c r="D4716" s="4">
        <v>55.8</v>
      </c>
      <c r="E4716" s="4">
        <v>26.16</v>
      </c>
      <c r="F4716" s="4">
        <f t="shared" si="287"/>
        <v>29.639999999999997</v>
      </c>
      <c r="G4716" s="5">
        <f t="shared" si="288"/>
        <v>0.53118279569892468</v>
      </c>
      <c r="H4716" s="2" t="s">
        <v>5</v>
      </c>
      <c r="I4716" s="6" t="s">
        <v>2300</v>
      </c>
      <c r="J4716" s="2" t="s">
        <v>5</v>
      </c>
      <c r="K4716" s="2" t="s">
        <v>5</v>
      </c>
      <c r="L4716" s="2" t="s">
        <v>5</v>
      </c>
      <c r="M4716" s="2" t="s">
        <v>5</v>
      </c>
      <c r="N4716" s="4">
        <v>0</v>
      </c>
    </row>
    <row r="4717" spans="1:14" x14ac:dyDescent="0.25">
      <c r="A4717" s="2" t="s">
        <v>386</v>
      </c>
      <c r="B4717" s="2" t="s">
        <v>387</v>
      </c>
      <c r="C4717" s="3">
        <v>6</v>
      </c>
      <c r="D4717" s="4">
        <v>55.8</v>
      </c>
      <c r="E4717" s="4">
        <v>26.16</v>
      </c>
      <c r="F4717" s="4">
        <f t="shared" si="287"/>
        <v>29.639999999999997</v>
      </c>
      <c r="G4717" s="5">
        <f t="shared" si="288"/>
        <v>0.53118279569892468</v>
      </c>
      <c r="H4717" s="2" t="s">
        <v>5</v>
      </c>
      <c r="I4717" s="6" t="s">
        <v>2300</v>
      </c>
      <c r="J4717" s="2" t="s">
        <v>5</v>
      </c>
      <c r="K4717" s="2" t="s">
        <v>5</v>
      </c>
      <c r="L4717" s="2" t="s">
        <v>5</v>
      </c>
      <c r="M4717" s="2" t="s">
        <v>5</v>
      </c>
      <c r="N4717" s="4">
        <v>0</v>
      </c>
    </row>
    <row r="4718" spans="1:14" x14ac:dyDescent="0.25">
      <c r="A4718" s="2" t="s">
        <v>386</v>
      </c>
      <c r="B4718" s="2" t="s">
        <v>387</v>
      </c>
      <c r="C4718" s="3">
        <v>6</v>
      </c>
      <c r="D4718" s="4">
        <v>55.8</v>
      </c>
      <c r="E4718" s="4">
        <v>26.16</v>
      </c>
      <c r="F4718" s="4">
        <f t="shared" si="287"/>
        <v>29.639999999999997</v>
      </c>
      <c r="G4718" s="5">
        <f t="shared" si="288"/>
        <v>0.53118279569892468</v>
      </c>
      <c r="H4718" s="2" t="s">
        <v>5</v>
      </c>
      <c r="I4718" s="6" t="s">
        <v>2300</v>
      </c>
      <c r="J4718" s="2" t="s">
        <v>5</v>
      </c>
      <c r="K4718" s="2" t="s">
        <v>5</v>
      </c>
      <c r="L4718" s="2" t="s">
        <v>5</v>
      </c>
      <c r="M4718" s="2" t="s">
        <v>5</v>
      </c>
      <c r="N4718" s="4">
        <v>0</v>
      </c>
    </row>
    <row r="4719" spans="1:14" x14ac:dyDescent="0.25">
      <c r="A4719" s="2" t="s">
        <v>386</v>
      </c>
      <c r="B4719" s="2" t="s">
        <v>387</v>
      </c>
      <c r="C4719" s="3">
        <v>6</v>
      </c>
      <c r="D4719" s="4">
        <v>55.8</v>
      </c>
      <c r="E4719" s="4">
        <v>26.16</v>
      </c>
      <c r="F4719" s="4">
        <f t="shared" si="287"/>
        <v>29.639999999999997</v>
      </c>
      <c r="G4719" s="5">
        <f t="shared" si="288"/>
        <v>0.53118279569892468</v>
      </c>
      <c r="H4719" s="2" t="s">
        <v>5</v>
      </c>
      <c r="I4719" s="6" t="s">
        <v>2300</v>
      </c>
      <c r="J4719" s="2" t="s">
        <v>5</v>
      </c>
      <c r="K4719" s="2" t="s">
        <v>5</v>
      </c>
      <c r="L4719" s="2" t="s">
        <v>5</v>
      </c>
      <c r="M4719" s="2" t="s">
        <v>5</v>
      </c>
      <c r="N4719" s="4">
        <v>0</v>
      </c>
    </row>
    <row r="4720" spans="1:14" x14ac:dyDescent="0.25">
      <c r="A4720" s="2" t="s">
        <v>386</v>
      </c>
      <c r="B4720" s="2" t="s">
        <v>387</v>
      </c>
      <c r="C4720" s="3">
        <v>12</v>
      </c>
      <c r="D4720" s="4">
        <v>111.6</v>
      </c>
      <c r="E4720" s="4">
        <v>52.32</v>
      </c>
      <c r="F4720" s="4">
        <f t="shared" si="287"/>
        <v>59.279999999999994</v>
      </c>
      <c r="G4720" s="5">
        <f t="shared" si="288"/>
        <v>0.53118279569892468</v>
      </c>
      <c r="H4720" s="2" t="s">
        <v>5</v>
      </c>
      <c r="I4720" s="6" t="s">
        <v>2300</v>
      </c>
      <c r="J4720" s="2" t="s">
        <v>5</v>
      </c>
      <c r="K4720" s="2" t="s">
        <v>5</v>
      </c>
      <c r="L4720" s="2" t="s">
        <v>5</v>
      </c>
      <c r="M4720" s="2" t="s">
        <v>5</v>
      </c>
      <c r="N4720" s="4">
        <v>0</v>
      </c>
    </row>
    <row r="4721" spans="1:14" x14ac:dyDescent="0.25">
      <c r="A4721" s="2" t="s">
        <v>386</v>
      </c>
      <c r="B4721" s="2" t="s">
        <v>387</v>
      </c>
      <c r="C4721" s="3">
        <v>12</v>
      </c>
      <c r="D4721" s="4">
        <v>111.6</v>
      </c>
      <c r="E4721" s="4">
        <v>52.32</v>
      </c>
      <c r="F4721" s="4">
        <f t="shared" si="287"/>
        <v>59.279999999999994</v>
      </c>
      <c r="G4721" s="5">
        <f t="shared" si="288"/>
        <v>0.53118279569892468</v>
      </c>
      <c r="H4721" s="2" t="s">
        <v>5</v>
      </c>
      <c r="I4721" s="6" t="s">
        <v>2300</v>
      </c>
      <c r="J4721" s="2" t="s">
        <v>5</v>
      </c>
      <c r="K4721" s="2" t="s">
        <v>5</v>
      </c>
      <c r="L4721" s="2" t="s">
        <v>5</v>
      </c>
      <c r="M4721" s="2" t="s">
        <v>5</v>
      </c>
      <c r="N4721" s="4">
        <v>0</v>
      </c>
    </row>
    <row r="4722" spans="1:14" x14ac:dyDescent="0.25">
      <c r="A4722" s="2" t="s">
        <v>386</v>
      </c>
      <c r="B4722" s="2" t="s">
        <v>387</v>
      </c>
      <c r="C4722" s="3">
        <v>6</v>
      </c>
      <c r="D4722" s="4">
        <v>55.8</v>
      </c>
      <c r="E4722" s="4">
        <v>26.16</v>
      </c>
      <c r="F4722" s="4">
        <f t="shared" si="287"/>
        <v>29.639999999999997</v>
      </c>
      <c r="G4722" s="5">
        <f t="shared" si="288"/>
        <v>0.53118279569892468</v>
      </c>
      <c r="H4722" s="2" t="s">
        <v>5</v>
      </c>
      <c r="I4722" s="6" t="s">
        <v>2300</v>
      </c>
      <c r="J4722" s="2" t="s">
        <v>5</v>
      </c>
      <c r="K4722" s="2" t="s">
        <v>5</v>
      </c>
      <c r="L4722" s="2" t="s">
        <v>5</v>
      </c>
      <c r="M4722" s="2" t="s">
        <v>5</v>
      </c>
      <c r="N4722" s="4">
        <v>0</v>
      </c>
    </row>
    <row r="4723" spans="1:14" x14ac:dyDescent="0.25">
      <c r="A4723" s="2" t="s">
        <v>386</v>
      </c>
      <c r="B4723" s="2" t="s">
        <v>387</v>
      </c>
      <c r="C4723" s="3">
        <v>6</v>
      </c>
      <c r="D4723" s="4">
        <v>55.8</v>
      </c>
      <c r="E4723" s="4">
        <v>26.16</v>
      </c>
      <c r="F4723" s="4">
        <f t="shared" si="287"/>
        <v>29.639999999999997</v>
      </c>
      <c r="G4723" s="5">
        <f t="shared" si="288"/>
        <v>0.53118279569892468</v>
      </c>
      <c r="H4723" s="2" t="s">
        <v>5</v>
      </c>
      <c r="I4723" s="6" t="s">
        <v>2300</v>
      </c>
      <c r="J4723" s="2" t="s">
        <v>5</v>
      </c>
      <c r="K4723" s="2" t="s">
        <v>5</v>
      </c>
      <c r="L4723" s="2" t="s">
        <v>5</v>
      </c>
      <c r="M4723" s="2" t="s">
        <v>5</v>
      </c>
      <c r="N4723" s="4">
        <v>0</v>
      </c>
    </row>
    <row r="4724" spans="1:14" x14ac:dyDescent="0.25">
      <c r="A4724" s="2" t="s">
        <v>388</v>
      </c>
      <c r="B4724" s="2" t="s">
        <v>389</v>
      </c>
      <c r="C4724" s="3">
        <v>14.37</v>
      </c>
      <c r="D4724" s="4">
        <v>137.37719999999999</v>
      </c>
      <c r="E4724" s="4">
        <v>77.885400000000004</v>
      </c>
      <c r="F4724" s="4">
        <f t="shared" si="287"/>
        <v>59.491799999999984</v>
      </c>
      <c r="G4724" s="5">
        <f t="shared" si="288"/>
        <v>0.43305439330543927</v>
      </c>
      <c r="H4724" s="2" t="s">
        <v>5</v>
      </c>
      <c r="I4724" s="6" t="s">
        <v>2300</v>
      </c>
      <c r="J4724" s="2" t="s">
        <v>5</v>
      </c>
      <c r="K4724" s="2" t="s">
        <v>5</v>
      </c>
      <c r="L4724" s="2" t="s">
        <v>5</v>
      </c>
      <c r="M4724" s="2" t="s">
        <v>5</v>
      </c>
      <c r="N4724" s="4">
        <v>0</v>
      </c>
    </row>
    <row r="4725" spans="1:14" x14ac:dyDescent="0.25">
      <c r="A4725" s="2" t="s">
        <v>388</v>
      </c>
      <c r="B4725" s="2" t="s">
        <v>389</v>
      </c>
      <c r="C4725" s="3">
        <v>40.96</v>
      </c>
      <c r="D4725" s="4">
        <v>391.57760000000002</v>
      </c>
      <c r="E4725" s="4">
        <v>222.00319999999999</v>
      </c>
      <c r="F4725" s="4">
        <f t="shared" si="287"/>
        <v>169.57440000000003</v>
      </c>
      <c r="G4725" s="5">
        <f t="shared" si="288"/>
        <v>0.43305439330543938</v>
      </c>
      <c r="H4725" s="2" t="s">
        <v>5</v>
      </c>
      <c r="I4725" s="6" t="s">
        <v>2300</v>
      </c>
      <c r="J4725" s="2" t="s">
        <v>5</v>
      </c>
      <c r="K4725" s="2" t="s">
        <v>5</v>
      </c>
      <c r="L4725" s="2" t="s">
        <v>5</v>
      </c>
      <c r="M4725" s="2" t="s">
        <v>5</v>
      </c>
      <c r="N4725" s="4">
        <v>0</v>
      </c>
    </row>
    <row r="4726" spans="1:14" x14ac:dyDescent="0.25">
      <c r="A4726" s="2" t="s">
        <v>388</v>
      </c>
      <c r="B4726" s="2" t="s">
        <v>389</v>
      </c>
      <c r="C4726" s="3">
        <v>14.08</v>
      </c>
      <c r="D4726" s="4">
        <v>134.60480000000001</v>
      </c>
      <c r="E4726" s="4">
        <v>76.313599999999994</v>
      </c>
      <c r="F4726" s="4">
        <f t="shared" si="287"/>
        <v>58.291200000000018</v>
      </c>
      <c r="G4726" s="5">
        <f t="shared" si="288"/>
        <v>0.43305439330543943</v>
      </c>
      <c r="H4726" s="2" t="s">
        <v>5</v>
      </c>
      <c r="I4726" s="6" t="s">
        <v>2300</v>
      </c>
      <c r="J4726" s="2" t="s">
        <v>5</v>
      </c>
      <c r="K4726" s="2" t="s">
        <v>5</v>
      </c>
      <c r="L4726" s="2" t="s">
        <v>5</v>
      </c>
      <c r="M4726" s="2" t="s">
        <v>5</v>
      </c>
      <c r="N4726" s="4">
        <v>0</v>
      </c>
    </row>
    <row r="4727" spans="1:14" x14ac:dyDescent="0.25">
      <c r="A4727" s="2" t="s">
        <v>388</v>
      </c>
      <c r="B4727" s="2" t="s">
        <v>389</v>
      </c>
      <c r="C4727" s="3">
        <v>13.47</v>
      </c>
      <c r="D4727" s="4">
        <v>128.7732</v>
      </c>
      <c r="E4727" s="4">
        <v>73.007400000000004</v>
      </c>
      <c r="F4727" s="4">
        <f t="shared" si="287"/>
        <v>55.765799999999999</v>
      </c>
      <c r="G4727" s="5">
        <f t="shared" si="288"/>
        <v>0.43305439330543932</v>
      </c>
      <c r="H4727" s="2" t="s">
        <v>5</v>
      </c>
      <c r="I4727" s="6" t="s">
        <v>2300</v>
      </c>
      <c r="J4727" s="2" t="s">
        <v>5</v>
      </c>
      <c r="K4727" s="2" t="s">
        <v>5</v>
      </c>
      <c r="L4727" s="2" t="s">
        <v>5</v>
      </c>
      <c r="M4727" s="2" t="s">
        <v>5</v>
      </c>
      <c r="N4727" s="4">
        <v>0</v>
      </c>
    </row>
    <row r="4728" spans="1:14" x14ac:dyDescent="0.25">
      <c r="A4728" s="2" t="s">
        <v>388</v>
      </c>
      <c r="B4728" s="2" t="s">
        <v>389</v>
      </c>
      <c r="C4728" s="3">
        <v>19.03</v>
      </c>
      <c r="D4728" s="4">
        <v>181.92679999999999</v>
      </c>
      <c r="E4728" s="4">
        <v>103.1426</v>
      </c>
      <c r="F4728" s="4">
        <f t="shared" si="287"/>
        <v>78.784199999999984</v>
      </c>
      <c r="G4728" s="5">
        <f t="shared" si="288"/>
        <v>0.43305439330543927</v>
      </c>
      <c r="H4728" s="2" t="s">
        <v>5</v>
      </c>
      <c r="I4728" s="6" t="s">
        <v>2300</v>
      </c>
      <c r="J4728" s="2" t="s">
        <v>5</v>
      </c>
      <c r="K4728" s="2" t="s">
        <v>5</v>
      </c>
      <c r="L4728" s="2" t="s">
        <v>5</v>
      </c>
      <c r="M4728" s="2" t="s">
        <v>5</v>
      </c>
      <c r="N4728" s="4">
        <v>0</v>
      </c>
    </row>
    <row r="4729" spans="1:14" x14ac:dyDescent="0.25">
      <c r="A4729" s="2" t="s">
        <v>388</v>
      </c>
      <c r="B4729" s="2" t="s">
        <v>389</v>
      </c>
      <c r="C4729" s="3">
        <v>13.23</v>
      </c>
      <c r="D4729" s="4">
        <v>126.47880000000001</v>
      </c>
      <c r="E4729" s="4">
        <v>71.706599999999995</v>
      </c>
      <c r="F4729" s="4">
        <f t="shared" si="287"/>
        <v>54.772200000000012</v>
      </c>
      <c r="G4729" s="5">
        <f t="shared" si="288"/>
        <v>0.43305439330543938</v>
      </c>
      <c r="H4729" s="2" t="s">
        <v>5</v>
      </c>
      <c r="I4729" s="6" t="s">
        <v>2300</v>
      </c>
      <c r="J4729" s="2" t="s">
        <v>5</v>
      </c>
      <c r="K4729" s="2" t="s">
        <v>5</v>
      </c>
      <c r="L4729" s="2" t="s">
        <v>5</v>
      </c>
      <c r="M4729" s="2" t="s">
        <v>5</v>
      </c>
      <c r="N4729" s="4">
        <v>0</v>
      </c>
    </row>
    <row r="4730" spans="1:14" x14ac:dyDescent="0.25">
      <c r="A4730" s="2" t="s">
        <v>388</v>
      </c>
      <c r="B4730" s="2" t="s">
        <v>389</v>
      </c>
      <c r="C4730" s="3">
        <v>13.8</v>
      </c>
      <c r="D4730" s="4">
        <v>131.928</v>
      </c>
      <c r="E4730" s="4">
        <v>74.796000000000006</v>
      </c>
      <c r="F4730" s="4">
        <f t="shared" si="287"/>
        <v>57.131999999999991</v>
      </c>
      <c r="G4730" s="5">
        <f t="shared" si="288"/>
        <v>0.43305439330543927</v>
      </c>
      <c r="H4730" s="2" t="s">
        <v>5</v>
      </c>
      <c r="I4730" s="6" t="s">
        <v>2300</v>
      </c>
      <c r="J4730" s="2" t="s">
        <v>5</v>
      </c>
      <c r="K4730" s="2" t="s">
        <v>5</v>
      </c>
      <c r="L4730" s="2" t="s">
        <v>5</v>
      </c>
      <c r="M4730" s="2" t="s">
        <v>5</v>
      </c>
      <c r="N4730" s="4">
        <v>0</v>
      </c>
    </row>
    <row r="4731" spans="1:14" x14ac:dyDescent="0.25">
      <c r="A4731" s="2" t="s">
        <v>390</v>
      </c>
      <c r="B4731" s="2" t="s">
        <v>391</v>
      </c>
      <c r="C4731" s="3">
        <v>48.362000000000002</v>
      </c>
      <c r="D4731" s="4">
        <v>533.43286000000001</v>
      </c>
      <c r="E4731" s="4">
        <v>362.71499999999997</v>
      </c>
      <c r="F4731" s="4">
        <f t="shared" si="287"/>
        <v>170.71786000000003</v>
      </c>
      <c r="G4731" s="5">
        <f t="shared" si="288"/>
        <v>0.32003626473254765</v>
      </c>
      <c r="H4731" s="2" t="s">
        <v>5</v>
      </c>
      <c r="I4731" s="6" t="s">
        <v>2300</v>
      </c>
      <c r="J4731" s="2" t="s">
        <v>5</v>
      </c>
      <c r="K4731" s="2" t="s">
        <v>5</v>
      </c>
      <c r="L4731" s="2" t="s">
        <v>5</v>
      </c>
      <c r="M4731" s="2" t="s">
        <v>5</v>
      </c>
      <c r="N4731" s="4">
        <v>0</v>
      </c>
    </row>
    <row r="4732" spans="1:14" x14ac:dyDescent="0.25">
      <c r="A4732" s="2" t="s">
        <v>390</v>
      </c>
      <c r="B4732" s="2" t="s">
        <v>391</v>
      </c>
      <c r="C4732" s="3">
        <v>23.771999999999998</v>
      </c>
      <c r="D4732" s="4">
        <v>262.20515999999998</v>
      </c>
      <c r="E4732" s="4">
        <v>178.29</v>
      </c>
      <c r="F4732" s="4">
        <f t="shared" si="287"/>
        <v>83.915159999999986</v>
      </c>
      <c r="G4732" s="5">
        <f t="shared" si="288"/>
        <v>0.32003626473254759</v>
      </c>
      <c r="H4732" s="2" t="s">
        <v>5</v>
      </c>
      <c r="I4732" s="6" t="s">
        <v>2300</v>
      </c>
      <c r="J4732" s="2" t="s">
        <v>5</v>
      </c>
      <c r="K4732" s="2" t="s">
        <v>5</v>
      </c>
      <c r="L4732" s="2" t="s">
        <v>5</v>
      </c>
      <c r="M4732" s="2" t="s">
        <v>5</v>
      </c>
      <c r="N4732" s="4">
        <v>0</v>
      </c>
    </row>
    <row r="4733" spans="1:14" x14ac:dyDescent="0.25">
      <c r="A4733" s="2" t="s">
        <v>390</v>
      </c>
      <c r="B4733" s="2" t="s">
        <v>391</v>
      </c>
      <c r="C4733" s="3">
        <v>29.46</v>
      </c>
      <c r="D4733" s="4">
        <v>324.94380000000001</v>
      </c>
      <c r="E4733" s="4">
        <v>220.95</v>
      </c>
      <c r="F4733" s="4">
        <f t="shared" si="287"/>
        <v>103.99380000000002</v>
      </c>
      <c r="G4733" s="5">
        <f t="shared" si="288"/>
        <v>0.32003626473254765</v>
      </c>
      <c r="H4733" s="2" t="s">
        <v>5</v>
      </c>
      <c r="I4733" s="6" t="s">
        <v>2300</v>
      </c>
      <c r="J4733" s="2" t="s">
        <v>5</v>
      </c>
      <c r="K4733" s="2" t="s">
        <v>5</v>
      </c>
      <c r="L4733" s="2" t="s">
        <v>5</v>
      </c>
      <c r="M4733" s="2" t="s">
        <v>5</v>
      </c>
      <c r="N4733" s="4">
        <v>0</v>
      </c>
    </row>
    <row r="4734" spans="1:14" x14ac:dyDescent="0.25">
      <c r="A4734" s="2" t="s">
        <v>390</v>
      </c>
      <c r="B4734" s="2" t="s">
        <v>391</v>
      </c>
      <c r="C4734" s="3">
        <v>23.916</v>
      </c>
      <c r="D4734" s="4">
        <v>263.79347999999999</v>
      </c>
      <c r="E4734" s="4">
        <v>179.37</v>
      </c>
      <c r="F4734" s="4">
        <f t="shared" si="287"/>
        <v>84.423479999999984</v>
      </c>
      <c r="G4734" s="5">
        <f t="shared" si="288"/>
        <v>0.32003626473254754</v>
      </c>
      <c r="H4734" s="2" t="s">
        <v>5</v>
      </c>
      <c r="I4734" s="6" t="s">
        <v>2300</v>
      </c>
      <c r="J4734" s="2" t="s">
        <v>5</v>
      </c>
      <c r="K4734" s="2" t="s">
        <v>5</v>
      </c>
      <c r="L4734" s="2" t="s">
        <v>5</v>
      </c>
      <c r="M4734" s="2" t="s">
        <v>5</v>
      </c>
      <c r="N4734" s="4">
        <v>0</v>
      </c>
    </row>
    <row r="4735" spans="1:14" x14ac:dyDescent="0.25">
      <c r="A4735" s="2" t="s">
        <v>390</v>
      </c>
      <c r="B4735" s="2" t="s">
        <v>391</v>
      </c>
      <c r="C4735" s="3">
        <v>82.63</v>
      </c>
      <c r="D4735" s="4">
        <v>911.40890000000002</v>
      </c>
      <c r="E4735" s="4">
        <v>619.72500000000002</v>
      </c>
      <c r="F4735" s="4">
        <f t="shared" si="287"/>
        <v>291.68389999999999</v>
      </c>
      <c r="G4735" s="5">
        <f t="shared" si="288"/>
        <v>0.32003626473254759</v>
      </c>
      <c r="H4735" s="2" t="s">
        <v>5</v>
      </c>
      <c r="I4735" s="6" t="s">
        <v>2300</v>
      </c>
      <c r="J4735" s="2" t="s">
        <v>5</v>
      </c>
      <c r="K4735" s="2" t="s">
        <v>5</v>
      </c>
      <c r="L4735" s="2" t="s">
        <v>5</v>
      </c>
      <c r="M4735" s="2" t="s">
        <v>5</v>
      </c>
      <c r="N4735" s="4">
        <v>0</v>
      </c>
    </row>
    <row r="4736" spans="1:14" x14ac:dyDescent="0.25">
      <c r="A4736" s="2" t="s">
        <v>390</v>
      </c>
      <c r="B4736" s="2" t="s">
        <v>391</v>
      </c>
      <c r="C4736" s="3">
        <v>46.997999999999998</v>
      </c>
      <c r="D4736" s="4">
        <v>518.38793999999996</v>
      </c>
      <c r="E4736" s="4">
        <v>352.48500000000001</v>
      </c>
      <c r="F4736" s="4">
        <f t="shared" si="287"/>
        <v>165.90293999999994</v>
      </c>
      <c r="G4736" s="5">
        <f t="shared" si="288"/>
        <v>0.32003626473254754</v>
      </c>
      <c r="H4736" s="2" t="s">
        <v>5</v>
      </c>
      <c r="I4736" s="6" t="s">
        <v>2300</v>
      </c>
      <c r="J4736" s="2" t="s">
        <v>5</v>
      </c>
      <c r="K4736" s="2" t="s">
        <v>5</v>
      </c>
      <c r="L4736" s="2" t="s">
        <v>5</v>
      </c>
      <c r="M4736" s="2" t="s">
        <v>5</v>
      </c>
      <c r="N4736" s="4">
        <v>0</v>
      </c>
    </row>
    <row r="4737" spans="1:14" x14ac:dyDescent="0.25">
      <c r="A4737" s="2" t="s">
        <v>390</v>
      </c>
      <c r="B4737" s="2" t="s">
        <v>391</v>
      </c>
      <c r="C4737" s="3">
        <v>12.022</v>
      </c>
      <c r="D4737" s="4">
        <v>132.60265999999999</v>
      </c>
      <c r="E4737" s="4">
        <v>90.165000000000006</v>
      </c>
      <c r="F4737" s="4">
        <f t="shared" si="287"/>
        <v>42.43765999999998</v>
      </c>
      <c r="G4737" s="5">
        <f t="shared" si="288"/>
        <v>0.32003626473254748</v>
      </c>
      <c r="H4737" s="2" t="s">
        <v>5</v>
      </c>
      <c r="I4737" s="6" t="s">
        <v>2300</v>
      </c>
      <c r="J4737" s="2" t="s">
        <v>5</v>
      </c>
      <c r="K4737" s="2" t="s">
        <v>5</v>
      </c>
      <c r="L4737" s="2" t="s">
        <v>5</v>
      </c>
      <c r="M4737" s="2" t="s">
        <v>5</v>
      </c>
      <c r="N4737" s="4">
        <v>0</v>
      </c>
    </row>
    <row r="4738" spans="1:14" x14ac:dyDescent="0.25">
      <c r="A4738" s="2" t="s">
        <v>390</v>
      </c>
      <c r="B4738" s="2" t="s">
        <v>391</v>
      </c>
      <c r="C4738" s="3">
        <v>59.4</v>
      </c>
      <c r="D4738" s="4">
        <v>655.18200000000002</v>
      </c>
      <c r="E4738" s="4">
        <v>445.5</v>
      </c>
      <c r="F4738" s="4">
        <f t="shared" si="287"/>
        <v>209.68200000000002</v>
      </c>
      <c r="G4738" s="5">
        <f t="shared" si="288"/>
        <v>0.32003626473254759</v>
      </c>
      <c r="H4738" s="2" t="s">
        <v>5</v>
      </c>
      <c r="I4738" s="6" t="s">
        <v>2300</v>
      </c>
      <c r="J4738" s="2" t="s">
        <v>5</v>
      </c>
      <c r="K4738" s="2" t="s">
        <v>5</v>
      </c>
      <c r="L4738" s="2" t="s">
        <v>5</v>
      </c>
      <c r="M4738" s="2" t="s">
        <v>5</v>
      </c>
      <c r="N4738" s="4">
        <v>0</v>
      </c>
    </row>
    <row r="4739" spans="1:14" x14ac:dyDescent="0.25">
      <c r="A4739" s="2" t="s">
        <v>390</v>
      </c>
      <c r="B4739" s="2" t="s">
        <v>391</v>
      </c>
      <c r="C4739" s="3">
        <v>30.01</v>
      </c>
      <c r="D4739" s="4">
        <v>331.01029999999997</v>
      </c>
      <c r="E4739" s="4">
        <v>225.07499999999999</v>
      </c>
      <c r="F4739" s="4">
        <f t="shared" si="287"/>
        <v>105.93529999999998</v>
      </c>
      <c r="G4739" s="5">
        <f t="shared" si="288"/>
        <v>0.32003626473254759</v>
      </c>
      <c r="H4739" s="2" t="s">
        <v>5</v>
      </c>
      <c r="I4739" s="6" t="s">
        <v>2300</v>
      </c>
      <c r="J4739" s="2" t="s">
        <v>5</v>
      </c>
      <c r="K4739" s="2" t="s">
        <v>5</v>
      </c>
      <c r="L4739" s="2" t="s">
        <v>5</v>
      </c>
      <c r="M4739" s="2" t="s">
        <v>5</v>
      </c>
      <c r="N4739" s="4">
        <v>0</v>
      </c>
    </row>
    <row r="4740" spans="1:14" x14ac:dyDescent="0.25">
      <c r="A4740" s="2" t="s">
        <v>390</v>
      </c>
      <c r="B4740" s="2" t="s">
        <v>391</v>
      </c>
      <c r="C4740" s="3">
        <v>71.56</v>
      </c>
      <c r="D4740" s="4">
        <v>789.30679999999995</v>
      </c>
      <c r="E4740" s="4">
        <v>536.70000000000005</v>
      </c>
      <c r="F4740" s="4">
        <f t="shared" si="287"/>
        <v>252.60679999999991</v>
      </c>
      <c r="G4740" s="5">
        <f t="shared" si="288"/>
        <v>0.32003626473254748</v>
      </c>
      <c r="H4740" s="2" t="s">
        <v>5</v>
      </c>
      <c r="I4740" s="6" t="s">
        <v>2300</v>
      </c>
      <c r="J4740" s="2" t="s">
        <v>5</v>
      </c>
      <c r="K4740" s="2" t="s">
        <v>5</v>
      </c>
      <c r="L4740" s="2" t="s">
        <v>5</v>
      </c>
      <c r="M4740" s="2" t="s">
        <v>5</v>
      </c>
      <c r="N4740" s="4">
        <v>0</v>
      </c>
    </row>
    <row r="4741" spans="1:14" x14ac:dyDescent="0.25">
      <c r="A4741" s="2" t="s">
        <v>390</v>
      </c>
      <c r="B4741" s="2" t="s">
        <v>391</v>
      </c>
      <c r="C4741" s="3">
        <v>19.14</v>
      </c>
      <c r="D4741" s="4">
        <v>211.11420000000001</v>
      </c>
      <c r="E4741" s="4">
        <v>143.55000000000001</v>
      </c>
      <c r="F4741" s="4">
        <f t="shared" si="287"/>
        <v>67.5642</v>
      </c>
      <c r="G4741" s="5">
        <f t="shared" si="288"/>
        <v>0.32003626473254759</v>
      </c>
      <c r="H4741" s="2" t="s">
        <v>5</v>
      </c>
      <c r="I4741" s="6" t="s">
        <v>2300</v>
      </c>
      <c r="J4741" s="2" t="s">
        <v>5</v>
      </c>
      <c r="K4741" s="2" t="s">
        <v>5</v>
      </c>
      <c r="L4741" s="2" t="s">
        <v>5</v>
      </c>
      <c r="M4741" s="2" t="s">
        <v>5</v>
      </c>
      <c r="N4741" s="4">
        <v>0</v>
      </c>
    </row>
    <row r="4742" spans="1:14" x14ac:dyDescent="0.25">
      <c r="A4742" s="2" t="s">
        <v>390</v>
      </c>
      <c r="B4742" s="2" t="s">
        <v>391</v>
      </c>
      <c r="C4742" s="3">
        <v>39.46</v>
      </c>
      <c r="D4742" s="4">
        <v>435.24380000000002</v>
      </c>
      <c r="E4742" s="4">
        <v>295.95</v>
      </c>
      <c r="F4742" s="4">
        <f t="shared" si="287"/>
        <v>139.29380000000003</v>
      </c>
      <c r="G4742" s="5">
        <f t="shared" si="288"/>
        <v>0.32003626473254765</v>
      </c>
      <c r="H4742" s="2" t="s">
        <v>5</v>
      </c>
      <c r="I4742" s="6" t="s">
        <v>2300</v>
      </c>
      <c r="J4742" s="2" t="s">
        <v>5</v>
      </c>
      <c r="K4742" s="2" t="s">
        <v>5</v>
      </c>
      <c r="L4742" s="2" t="s">
        <v>5</v>
      </c>
      <c r="M4742" s="2" t="s">
        <v>5</v>
      </c>
      <c r="N4742" s="4">
        <v>0</v>
      </c>
    </row>
    <row r="4743" spans="1:14" x14ac:dyDescent="0.25">
      <c r="A4743" s="2" t="s">
        <v>390</v>
      </c>
      <c r="B4743" s="2" t="s">
        <v>391</v>
      </c>
      <c r="C4743" s="3">
        <v>19.47</v>
      </c>
      <c r="D4743" s="4">
        <v>214.75409999999999</v>
      </c>
      <c r="E4743" s="4">
        <v>146.02500000000001</v>
      </c>
      <c r="F4743" s="4">
        <f t="shared" si="287"/>
        <v>68.729099999999988</v>
      </c>
      <c r="G4743" s="5">
        <f t="shared" si="288"/>
        <v>0.32003626473254754</v>
      </c>
      <c r="H4743" s="2" t="s">
        <v>5</v>
      </c>
      <c r="I4743" s="6" t="s">
        <v>2300</v>
      </c>
      <c r="J4743" s="2" t="s">
        <v>5</v>
      </c>
      <c r="K4743" s="2" t="s">
        <v>5</v>
      </c>
      <c r="L4743" s="2" t="s">
        <v>5</v>
      </c>
      <c r="M4743" s="2" t="s">
        <v>5</v>
      </c>
      <c r="N4743" s="4">
        <v>0</v>
      </c>
    </row>
    <row r="4744" spans="1:14" x14ac:dyDescent="0.25">
      <c r="A4744" s="2" t="s">
        <v>390</v>
      </c>
      <c r="B4744" s="2" t="s">
        <v>391</v>
      </c>
      <c r="C4744" s="3">
        <v>60.93</v>
      </c>
      <c r="D4744" s="4">
        <v>672.05790000000002</v>
      </c>
      <c r="E4744" s="4">
        <v>456.97500000000002</v>
      </c>
      <c r="F4744" s="4">
        <f t="shared" si="287"/>
        <v>215.0829</v>
      </c>
      <c r="G4744" s="5">
        <f t="shared" si="288"/>
        <v>0.32003626473254759</v>
      </c>
      <c r="H4744" s="2" t="s">
        <v>5</v>
      </c>
      <c r="I4744" s="6" t="s">
        <v>2300</v>
      </c>
      <c r="J4744" s="2" t="s">
        <v>5</v>
      </c>
      <c r="K4744" s="2" t="s">
        <v>5</v>
      </c>
      <c r="L4744" s="2" t="s">
        <v>5</v>
      </c>
      <c r="M4744" s="2" t="s">
        <v>5</v>
      </c>
      <c r="N4744" s="4">
        <v>0</v>
      </c>
    </row>
    <row r="4745" spans="1:14" x14ac:dyDescent="0.25">
      <c r="A4745" s="2" t="s">
        <v>390</v>
      </c>
      <c r="B4745" s="2" t="s">
        <v>391</v>
      </c>
      <c r="C4745" s="3">
        <v>50.62</v>
      </c>
      <c r="D4745" s="4">
        <v>558.33860000000004</v>
      </c>
      <c r="E4745" s="4">
        <v>379.65</v>
      </c>
      <c r="F4745" s="4">
        <f t="shared" si="287"/>
        <v>178.68860000000006</v>
      </c>
      <c r="G4745" s="5">
        <f t="shared" si="288"/>
        <v>0.3200362647325477</v>
      </c>
      <c r="H4745" s="2" t="s">
        <v>5</v>
      </c>
      <c r="I4745" s="6" t="s">
        <v>2300</v>
      </c>
      <c r="J4745" s="2" t="s">
        <v>5</v>
      </c>
      <c r="K4745" s="2" t="s">
        <v>5</v>
      </c>
      <c r="L4745" s="2" t="s">
        <v>5</v>
      </c>
      <c r="M4745" s="2" t="s">
        <v>5</v>
      </c>
      <c r="N4745" s="4">
        <v>0</v>
      </c>
    </row>
    <row r="4746" spans="1:14" x14ac:dyDescent="0.25">
      <c r="A4746" s="2" t="s">
        <v>390</v>
      </c>
      <c r="B4746" s="2" t="s">
        <v>391</v>
      </c>
      <c r="C4746" s="3">
        <v>19.78</v>
      </c>
      <c r="D4746" s="4">
        <v>218.17339999999999</v>
      </c>
      <c r="E4746" s="4">
        <v>148.35</v>
      </c>
      <c r="F4746" s="4">
        <f t="shared" si="287"/>
        <v>69.823399999999992</v>
      </c>
      <c r="G4746" s="5">
        <f t="shared" si="288"/>
        <v>0.32003626473254759</v>
      </c>
      <c r="H4746" s="2" t="s">
        <v>5</v>
      </c>
      <c r="I4746" s="6" t="s">
        <v>2300</v>
      </c>
      <c r="J4746" s="2" t="s">
        <v>5</v>
      </c>
      <c r="K4746" s="2" t="s">
        <v>5</v>
      </c>
      <c r="L4746" s="2" t="s">
        <v>5</v>
      </c>
      <c r="M4746" s="2" t="s">
        <v>5</v>
      </c>
      <c r="N4746" s="4">
        <v>0</v>
      </c>
    </row>
    <row r="4747" spans="1:14" x14ac:dyDescent="0.25">
      <c r="A4747" s="2" t="s">
        <v>390</v>
      </c>
      <c r="B4747" s="2" t="s">
        <v>391</v>
      </c>
      <c r="C4747" s="3">
        <v>29.6</v>
      </c>
      <c r="D4747" s="4">
        <v>326.488</v>
      </c>
      <c r="E4747" s="4">
        <v>222</v>
      </c>
      <c r="F4747" s="4">
        <f t="shared" si="287"/>
        <v>104.488</v>
      </c>
      <c r="G4747" s="5">
        <f t="shared" si="288"/>
        <v>0.32003626473254759</v>
      </c>
      <c r="H4747" s="2" t="s">
        <v>5</v>
      </c>
      <c r="I4747" s="6" t="s">
        <v>2300</v>
      </c>
      <c r="J4747" s="2" t="s">
        <v>5</v>
      </c>
      <c r="K4747" s="2" t="s">
        <v>5</v>
      </c>
      <c r="L4747" s="2" t="s">
        <v>5</v>
      </c>
      <c r="M4747" s="2" t="s">
        <v>5</v>
      </c>
      <c r="N4747" s="4">
        <v>0</v>
      </c>
    </row>
    <row r="4748" spans="1:14" x14ac:dyDescent="0.25">
      <c r="A4748" s="2" t="s">
        <v>392</v>
      </c>
      <c r="B4748" s="2" t="s">
        <v>393</v>
      </c>
      <c r="C4748" s="3">
        <v>10.4</v>
      </c>
      <c r="D4748" s="4">
        <v>151.32</v>
      </c>
      <c r="E4748" s="4">
        <v>109.2</v>
      </c>
      <c r="F4748" s="4">
        <f t="shared" si="287"/>
        <v>42.11999999999999</v>
      </c>
      <c r="G4748" s="5">
        <f t="shared" si="288"/>
        <v>0.27835051546391748</v>
      </c>
      <c r="H4748" s="2" t="s">
        <v>5</v>
      </c>
      <c r="I4748" s="6" t="s">
        <v>2300</v>
      </c>
      <c r="J4748" s="2" t="s">
        <v>5</v>
      </c>
      <c r="K4748" s="2" t="s">
        <v>5</v>
      </c>
      <c r="L4748" s="2" t="s">
        <v>5</v>
      </c>
      <c r="M4748" s="2" t="s">
        <v>5</v>
      </c>
      <c r="N4748" s="4">
        <v>0</v>
      </c>
    </row>
    <row r="4749" spans="1:14" x14ac:dyDescent="0.25">
      <c r="A4749" s="2" t="s">
        <v>392</v>
      </c>
      <c r="B4749" s="2" t="s">
        <v>393</v>
      </c>
      <c r="C4749" s="3">
        <v>5.2</v>
      </c>
      <c r="D4749" s="4">
        <v>75.66</v>
      </c>
      <c r="E4749" s="4">
        <v>54.6</v>
      </c>
      <c r="F4749" s="4">
        <f t="shared" si="287"/>
        <v>21.059999999999995</v>
      </c>
      <c r="G4749" s="5">
        <f t="shared" si="288"/>
        <v>0.27835051546391748</v>
      </c>
      <c r="H4749" s="2" t="s">
        <v>5</v>
      </c>
      <c r="I4749" s="6" t="s">
        <v>2300</v>
      </c>
      <c r="J4749" s="2" t="s">
        <v>5</v>
      </c>
      <c r="K4749" s="2" t="s">
        <v>5</v>
      </c>
      <c r="L4749" s="2" t="s">
        <v>5</v>
      </c>
      <c r="M4749" s="2" t="s">
        <v>5</v>
      </c>
      <c r="N4749" s="4">
        <v>0</v>
      </c>
    </row>
    <row r="4750" spans="1:14" x14ac:dyDescent="0.25">
      <c r="A4750" s="2" t="s">
        <v>392</v>
      </c>
      <c r="B4750" s="2" t="s">
        <v>393</v>
      </c>
      <c r="C4750" s="3">
        <v>10.4</v>
      </c>
      <c r="D4750" s="4">
        <v>151.32</v>
      </c>
      <c r="E4750" s="4">
        <v>109.2</v>
      </c>
      <c r="F4750" s="4">
        <f t="shared" si="287"/>
        <v>42.11999999999999</v>
      </c>
      <c r="G4750" s="5">
        <f t="shared" si="288"/>
        <v>0.27835051546391748</v>
      </c>
      <c r="H4750" s="2" t="s">
        <v>5</v>
      </c>
      <c r="I4750" s="6" t="s">
        <v>2300</v>
      </c>
      <c r="J4750" s="2" t="s">
        <v>5</v>
      </c>
      <c r="K4750" s="2" t="s">
        <v>5</v>
      </c>
      <c r="L4750" s="2" t="s">
        <v>5</v>
      </c>
      <c r="M4750" s="2" t="s">
        <v>5</v>
      </c>
      <c r="N4750" s="4">
        <v>0</v>
      </c>
    </row>
    <row r="4751" spans="1:14" x14ac:dyDescent="0.25">
      <c r="A4751" s="2" t="s">
        <v>392</v>
      </c>
      <c r="B4751" s="2" t="s">
        <v>393</v>
      </c>
      <c r="C4751" s="3">
        <v>10.4</v>
      </c>
      <c r="D4751" s="4">
        <v>151.32</v>
      </c>
      <c r="E4751" s="4">
        <v>109.2</v>
      </c>
      <c r="F4751" s="4">
        <f t="shared" si="287"/>
        <v>42.11999999999999</v>
      </c>
      <c r="G4751" s="5">
        <f t="shared" si="288"/>
        <v>0.27835051546391748</v>
      </c>
      <c r="H4751" s="2" t="s">
        <v>5</v>
      </c>
      <c r="I4751" s="6" t="s">
        <v>2300</v>
      </c>
      <c r="J4751" s="2" t="s">
        <v>5</v>
      </c>
      <c r="K4751" s="2" t="s">
        <v>5</v>
      </c>
      <c r="L4751" s="2" t="s">
        <v>5</v>
      </c>
      <c r="M4751" s="2" t="s">
        <v>5</v>
      </c>
      <c r="N4751" s="4">
        <v>0</v>
      </c>
    </row>
    <row r="4752" spans="1:14" x14ac:dyDescent="0.25">
      <c r="A4752" s="2" t="s">
        <v>392</v>
      </c>
      <c r="B4752" s="2" t="s">
        <v>393</v>
      </c>
      <c r="C4752" s="3">
        <v>5.2</v>
      </c>
      <c r="D4752" s="4">
        <v>75.66</v>
      </c>
      <c r="E4752" s="4">
        <v>54.6</v>
      </c>
      <c r="F4752" s="4">
        <f t="shared" si="287"/>
        <v>21.059999999999995</v>
      </c>
      <c r="G4752" s="5">
        <f t="shared" si="288"/>
        <v>0.27835051546391748</v>
      </c>
      <c r="H4752" s="2" t="s">
        <v>5</v>
      </c>
      <c r="I4752" s="6" t="s">
        <v>2300</v>
      </c>
      <c r="J4752" s="2" t="s">
        <v>5</v>
      </c>
      <c r="K4752" s="2" t="s">
        <v>5</v>
      </c>
      <c r="L4752" s="2" t="s">
        <v>5</v>
      </c>
      <c r="M4752" s="2" t="s">
        <v>5</v>
      </c>
      <c r="N4752" s="4">
        <v>0</v>
      </c>
    </row>
    <row r="4753" spans="1:14" x14ac:dyDescent="0.25">
      <c r="A4753" s="2" t="s">
        <v>392</v>
      </c>
      <c r="B4753" s="2" t="s">
        <v>393</v>
      </c>
      <c r="C4753" s="3">
        <v>5.2</v>
      </c>
      <c r="D4753" s="4">
        <v>75.66</v>
      </c>
      <c r="E4753" s="4">
        <v>54.6</v>
      </c>
      <c r="F4753" s="4">
        <f t="shared" si="287"/>
        <v>21.059999999999995</v>
      </c>
      <c r="G4753" s="5">
        <f t="shared" si="288"/>
        <v>0.27835051546391748</v>
      </c>
      <c r="H4753" s="2" t="s">
        <v>5</v>
      </c>
      <c r="I4753" s="6" t="s">
        <v>2300</v>
      </c>
      <c r="J4753" s="2" t="s">
        <v>5</v>
      </c>
      <c r="K4753" s="2" t="s">
        <v>5</v>
      </c>
      <c r="L4753" s="2" t="s">
        <v>5</v>
      </c>
      <c r="M4753" s="2" t="s">
        <v>5</v>
      </c>
      <c r="N4753" s="4">
        <v>0</v>
      </c>
    </row>
    <row r="4754" spans="1:14" x14ac:dyDescent="0.25">
      <c r="A4754" s="2" t="s">
        <v>392</v>
      </c>
      <c r="B4754" s="2" t="s">
        <v>393</v>
      </c>
      <c r="C4754" s="3">
        <v>31.2</v>
      </c>
      <c r="D4754" s="4">
        <v>453.96</v>
      </c>
      <c r="E4754" s="4">
        <v>327.60000000000002</v>
      </c>
      <c r="F4754" s="4">
        <f t="shared" si="287"/>
        <v>126.35999999999996</v>
      </c>
      <c r="G4754" s="5">
        <f t="shared" si="288"/>
        <v>0.27835051546391743</v>
      </c>
      <c r="H4754" s="2" t="s">
        <v>5</v>
      </c>
      <c r="I4754" s="6" t="s">
        <v>2300</v>
      </c>
      <c r="J4754" s="2" t="s">
        <v>5</v>
      </c>
      <c r="K4754" s="2" t="s">
        <v>5</v>
      </c>
      <c r="L4754" s="2" t="s">
        <v>5</v>
      </c>
      <c r="M4754" s="2" t="s">
        <v>5</v>
      </c>
      <c r="N4754" s="4">
        <v>0</v>
      </c>
    </row>
    <row r="4755" spans="1:14" x14ac:dyDescent="0.25">
      <c r="A4755" s="2" t="s">
        <v>392</v>
      </c>
      <c r="B4755" s="2" t="s">
        <v>393</v>
      </c>
      <c r="C4755" s="3">
        <v>5.2</v>
      </c>
      <c r="D4755" s="4">
        <v>75.66</v>
      </c>
      <c r="E4755" s="4">
        <v>54.6</v>
      </c>
      <c r="F4755" s="4">
        <f t="shared" si="287"/>
        <v>21.059999999999995</v>
      </c>
      <c r="G4755" s="5">
        <f t="shared" si="288"/>
        <v>0.27835051546391748</v>
      </c>
      <c r="H4755" s="2" t="s">
        <v>5</v>
      </c>
      <c r="I4755" s="6" t="s">
        <v>2300</v>
      </c>
      <c r="J4755" s="2" t="s">
        <v>5</v>
      </c>
      <c r="K4755" s="2" t="s">
        <v>5</v>
      </c>
      <c r="L4755" s="2" t="s">
        <v>5</v>
      </c>
      <c r="M4755" s="2" t="s">
        <v>5</v>
      </c>
      <c r="N4755" s="4">
        <v>0</v>
      </c>
    </row>
    <row r="4756" spans="1:14" x14ac:dyDescent="0.25">
      <c r="A4756" s="2" t="s">
        <v>442</v>
      </c>
      <c r="B4756" s="2" t="s">
        <v>443</v>
      </c>
      <c r="C4756" s="3">
        <v>32</v>
      </c>
      <c r="D4756" s="4">
        <v>568.32000000000005</v>
      </c>
      <c r="E4756" s="4">
        <v>520</v>
      </c>
      <c r="F4756" s="4">
        <f t="shared" si="287"/>
        <v>48.32000000000005</v>
      </c>
      <c r="G4756" s="5">
        <f t="shared" si="288"/>
        <v>8.5022522522522598E-2</v>
      </c>
      <c r="H4756" s="2" t="s">
        <v>5</v>
      </c>
      <c r="I4756" s="6" t="s">
        <v>2300</v>
      </c>
      <c r="J4756" s="2" t="s">
        <v>5</v>
      </c>
      <c r="K4756" s="2" t="s">
        <v>5</v>
      </c>
      <c r="L4756" s="2" t="s">
        <v>5</v>
      </c>
      <c r="M4756" s="2" t="s">
        <v>5</v>
      </c>
      <c r="N4756" s="4">
        <v>0</v>
      </c>
    </row>
    <row r="4757" spans="1:14" x14ac:dyDescent="0.25">
      <c r="A4757" s="2" t="s">
        <v>442</v>
      </c>
      <c r="B4757" s="2" t="s">
        <v>443</v>
      </c>
      <c r="C4757" s="3">
        <v>16</v>
      </c>
      <c r="D4757" s="4">
        <v>284.16000000000003</v>
      </c>
      <c r="E4757" s="4">
        <v>260</v>
      </c>
      <c r="F4757" s="4">
        <f t="shared" si="287"/>
        <v>24.160000000000025</v>
      </c>
      <c r="G4757" s="5">
        <f t="shared" si="288"/>
        <v>8.5022522522522598E-2</v>
      </c>
      <c r="H4757" s="2" t="s">
        <v>5</v>
      </c>
      <c r="I4757" s="6" t="s">
        <v>2300</v>
      </c>
      <c r="J4757" s="2" t="s">
        <v>5</v>
      </c>
      <c r="K4757" s="2" t="s">
        <v>5</v>
      </c>
      <c r="L4757" s="2" t="s">
        <v>5</v>
      </c>
      <c r="M4757" s="2" t="s">
        <v>5</v>
      </c>
      <c r="N4757" s="4">
        <v>0</v>
      </c>
    </row>
    <row r="4758" spans="1:14" x14ac:dyDescent="0.25">
      <c r="A4758" s="2" t="s">
        <v>442</v>
      </c>
      <c r="B4758" s="2" t="s">
        <v>443</v>
      </c>
      <c r="C4758" s="3">
        <v>16</v>
      </c>
      <c r="D4758" s="4">
        <v>284.16000000000003</v>
      </c>
      <c r="E4758" s="4">
        <v>260</v>
      </c>
      <c r="F4758" s="4">
        <f t="shared" si="287"/>
        <v>24.160000000000025</v>
      </c>
      <c r="G4758" s="5">
        <f t="shared" si="288"/>
        <v>8.5022522522522598E-2</v>
      </c>
      <c r="H4758" s="2" t="s">
        <v>5</v>
      </c>
      <c r="I4758" s="6" t="s">
        <v>2300</v>
      </c>
      <c r="J4758" s="2" t="s">
        <v>5</v>
      </c>
      <c r="K4758" s="2" t="s">
        <v>5</v>
      </c>
      <c r="L4758" s="2" t="s">
        <v>5</v>
      </c>
      <c r="M4758" s="2" t="s">
        <v>5</v>
      </c>
      <c r="N4758" s="4">
        <v>0</v>
      </c>
    </row>
    <row r="4759" spans="1:14" x14ac:dyDescent="0.25">
      <c r="A4759" s="2" t="s">
        <v>442</v>
      </c>
      <c r="B4759" s="2" t="s">
        <v>443</v>
      </c>
      <c r="C4759" s="3">
        <v>32</v>
      </c>
      <c r="D4759" s="4">
        <v>568.32000000000005</v>
      </c>
      <c r="E4759" s="4">
        <v>520</v>
      </c>
      <c r="F4759" s="4">
        <f t="shared" si="287"/>
        <v>48.32000000000005</v>
      </c>
      <c r="G4759" s="5">
        <f t="shared" si="288"/>
        <v>8.5022522522522598E-2</v>
      </c>
      <c r="H4759" s="2" t="s">
        <v>5</v>
      </c>
      <c r="I4759" s="6" t="s">
        <v>2300</v>
      </c>
      <c r="J4759" s="2" t="s">
        <v>5</v>
      </c>
      <c r="K4759" s="2" t="s">
        <v>5</v>
      </c>
      <c r="L4759" s="2" t="s">
        <v>5</v>
      </c>
      <c r="M4759" s="2" t="s">
        <v>5</v>
      </c>
      <c r="N4759" s="4">
        <v>0</v>
      </c>
    </row>
    <row r="4760" spans="1:14" x14ac:dyDescent="0.25">
      <c r="A4760" s="2" t="s">
        <v>442</v>
      </c>
      <c r="B4760" s="2" t="s">
        <v>443</v>
      </c>
      <c r="C4760" s="3">
        <v>80</v>
      </c>
      <c r="D4760" s="4">
        <v>1420.8</v>
      </c>
      <c r="E4760" s="4">
        <v>1300</v>
      </c>
      <c r="F4760" s="4">
        <f t="shared" si="287"/>
        <v>120.79999999999995</v>
      </c>
      <c r="G4760" s="5">
        <f t="shared" si="288"/>
        <v>8.5022522522522487E-2</v>
      </c>
      <c r="H4760" s="2" t="s">
        <v>5</v>
      </c>
      <c r="I4760" s="6" t="s">
        <v>2300</v>
      </c>
      <c r="J4760" s="2" t="s">
        <v>5</v>
      </c>
      <c r="K4760" s="2" t="s">
        <v>5</v>
      </c>
      <c r="L4760" s="2" t="s">
        <v>5</v>
      </c>
      <c r="M4760" s="2" t="s">
        <v>5</v>
      </c>
      <c r="N4760" s="4">
        <v>0</v>
      </c>
    </row>
    <row r="4761" spans="1:14" x14ac:dyDescent="0.25">
      <c r="A4761" s="2" t="s">
        <v>478</v>
      </c>
      <c r="B4761" s="2" t="s">
        <v>479</v>
      </c>
      <c r="C4761" s="3">
        <v>304.05</v>
      </c>
      <c r="D4761" s="4">
        <v>4536.4260000000004</v>
      </c>
      <c r="E4761" s="4">
        <v>2827.665</v>
      </c>
      <c r="F4761" s="4">
        <f t="shared" si="287"/>
        <v>1708.7610000000004</v>
      </c>
      <c r="G4761" s="5">
        <f t="shared" si="288"/>
        <v>0.37667560321715826</v>
      </c>
      <c r="H4761" s="2" t="s">
        <v>5</v>
      </c>
      <c r="I4761" s="6" t="s">
        <v>2300</v>
      </c>
      <c r="J4761" s="2" t="s">
        <v>5</v>
      </c>
      <c r="K4761" s="2" t="s">
        <v>5</v>
      </c>
      <c r="L4761" s="2" t="s">
        <v>5</v>
      </c>
      <c r="M4761" s="2" t="s">
        <v>5</v>
      </c>
      <c r="N4761" s="4">
        <v>0</v>
      </c>
    </row>
    <row r="4762" spans="1:14" x14ac:dyDescent="0.25">
      <c r="A4762" s="2" t="s">
        <v>394</v>
      </c>
      <c r="B4762" s="2" t="s">
        <v>395</v>
      </c>
      <c r="C4762" s="3">
        <v>200.64</v>
      </c>
      <c r="D4762" s="4">
        <v>3266.4191999999998</v>
      </c>
      <c r="E4762" s="4">
        <v>3310.56</v>
      </c>
      <c r="F4762" s="4">
        <f t="shared" si="287"/>
        <v>-44.140800000000127</v>
      </c>
      <c r="G4762" s="5">
        <f t="shared" si="288"/>
        <v>-1.3513513513513552E-2</v>
      </c>
      <c r="H4762" s="2" t="s">
        <v>5</v>
      </c>
      <c r="I4762" s="6" t="s">
        <v>2300</v>
      </c>
      <c r="J4762" s="2" t="s">
        <v>5</v>
      </c>
      <c r="K4762" s="2" t="s">
        <v>5</v>
      </c>
      <c r="L4762" s="2" t="s">
        <v>5</v>
      </c>
      <c r="M4762" s="2" t="s">
        <v>5</v>
      </c>
      <c r="N4762" s="4">
        <v>0</v>
      </c>
    </row>
    <row r="4763" spans="1:14" x14ac:dyDescent="0.25">
      <c r="A4763" s="2" t="s">
        <v>394</v>
      </c>
      <c r="B4763" s="2" t="s">
        <v>395</v>
      </c>
      <c r="C4763" s="3">
        <v>43.24</v>
      </c>
      <c r="D4763" s="4">
        <v>703.94719999999995</v>
      </c>
      <c r="E4763" s="4">
        <v>713.46</v>
      </c>
      <c r="F4763" s="4">
        <f t="shared" si="287"/>
        <v>-9.5128000000000839</v>
      </c>
      <c r="G4763" s="5">
        <f t="shared" si="288"/>
        <v>-1.3513513513513634E-2</v>
      </c>
      <c r="H4763" s="2" t="s">
        <v>5</v>
      </c>
      <c r="I4763" s="6" t="s">
        <v>2300</v>
      </c>
      <c r="J4763" s="2" t="s">
        <v>5</v>
      </c>
      <c r="K4763" s="2" t="s">
        <v>5</v>
      </c>
      <c r="L4763" s="2" t="s">
        <v>5</v>
      </c>
      <c r="M4763" s="2" t="s">
        <v>5</v>
      </c>
      <c r="N4763" s="4">
        <v>0</v>
      </c>
    </row>
    <row r="4764" spans="1:14" x14ac:dyDescent="0.25">
      <c r="A4764" s="2" t="s">
        <v>394</v>
      </c>
      <c r="B4764" s="2" t="s">
        <v>395</v>
      </c>
      <c r="C4764" s="3">
        <v>87.02</v>
      </c>
      <c r="D4764" s="4">
        <v>1416.6856</v>
      </c>
      <c r="E4764" s="4">
        <v>1435.83</v>
      </c>
      <c r="F4764" s="4">
        <f t="shared" si="287"/>
        <v>-19.144399999999905</v>
      </c>
      <c r="G4764" s="5">
        <f t="shared" si="288"/>
        <v>-1.3513513513513447E-2</v>
      </c>
      <c r="H4764" s="2" t="s">
        <v>5</v>
      </c>
      <c r="I4764" s="6" t="s">
        <v>2300</v>
      </c>
      <c r="J4764" s="2" t="s">
        <v>5</v>
      </c>
      <c r="K4764" s="2" t="s">
        <v>5</v>
      </c>
      <c r="L4764" s="2" t="s">
        <v>5</v>
      </c>
      <c r="M4764" s="2" t="s">
        <v>5</v>
      </c>
      <c r="N4764" s="4">
        <v>0</v>
      </c>
    </row>
    <row r="4765" spans="1:14" x14ac:dyDescent="0.25">
      <c r="A4765" s="2" t="s">
        <v>394</v>
      </c>
      <c r="B4765" s="2" t="s">
        <v>395</v>
      </c>
      <c r="C4765" s="3">
        <v>92</v>
      </c>
      <c r="D4765" s="4">
        <v>1497.76</v>
      </c>
      <c r="E4765" s="4">
        <v>1518</v>
      </c>
      <c r="F4765" s="4">
        <f t="shared" si="287"/>
        <v>-20.240000000000009</v>
      </c>
      <c r="G4765" s="5">
        <f t="shared" si="288"/>
        <v>-1.3513513513513519E-2</v>
      </c>
      <c r="H4765" s="2" t="s">
        <v>5</v>
      </c>
      <c r="I4765" s="6" t="s">
        <v>2300</v>
      </c>
      <c r="J4765" s="2" t="s">
        <v>5</v>
      </c>
      <c r="K4765" s="2" t="s">
        <v>5</v>
      </c>
      <c r="L4765" s="2" t="s">
        <v>5</v>
      </c>
      <c r="M4765" s="2" t="s">
        <v>5</v>
      </c>
      <c r="N4765" s="4">
        <v>0</v>
      </c>
    </row>
    <row r="4766" spans="1:14" x14ac:dyDescent="0.25">
      <c r="A4766" s="2" t="s">
        <v>394</v>
      </c>
      <c r="B4766" s="2" t="s">
        <v>395</v>
      </c>
      <c r="C4766" s="3">
        <v>43.44</v>
      </c>
      <c r="D4766" s="4">
        <v>707.20320000000004</v>
      </c>
      <c r="E4766" s="4">
        <v>716.76</v>
      </c>
      <c r="F4766" s="4">
        <f t="shared" si="287"/>
        <v>-9.5567999999999529</v>
      </c>
      <c r="G4766" s="5">
        <f t="shared" si="288"/>
        <v>-1.3513513513513447E-2</v>
      </c>
      <c r="H4766" s="2" t="s">
        <v>5</v>
      </c>
      <c r="I4766" s="6" t="s">
        <v>2300</v>
      </c>
      <c r="J4766" s="2" t="s">
        <v>5</v>
      </c>
      <c r="K4766" s="2" t="s">
        <v>5</v>
      </c>
      <c r="L4766" s="2" t="s">
        <v>5</v>
      </c>
      <c r="M4766" s="2" t="s">
        <v>5</v>
      </c>
      <c r="N4766" s="4">
        <v>0</v>
      </c>
    </row>
    <row r="4767" spans="1:14" x14ac:dyDescent="0.25">
      <c r="A4767" s="2" t="s">
        <v>394</v>
      </c>
      <c r="B4767" s="2" t="s">
        <v>395</v>
      </c>
      <c r="C4767" s="3">
        <v>22.22</v>
      </c>
      <c r="D4767" s="4">
        <v>361.74160000000001</v>
      </c>
      <c r="E4767" s="4">
        <v>366.63</v>
      </c>
      <c r="F4767" s="4">
        <f t="shared" si="287"/>
        <v>-4.8883999999999901</v>
      </c>
      <c r="G4767" s="5">
        <f t="shared" si="288"/>
        <v>-1.3513513513513487E-2</v>
      </c>
      <c r="H4767" s="2" t="s">
        <v>5</v>
      </c>
      <c r="I4767" s="6" t="s">
        <v>2300</v>
      </c>
      <c r="J4767" s="2" t="s">
        <v>5</v>
      </c>
      <c r="K4767" s="2" t="s">
        <v>5</v>
      </c>
      <c r="L4767" s="2" t="s">
        <v>5</v>
      </c>
      <c r="M4767" s="2" t="s">
        <v>5</v>
      </c>
      <c r="N4767" s="4">
        <v>0</v>
      </c>
    </row>
    <row r="4768" spans="1:14" x14ac:dyDescent="0.25">
      <c r="A4768" s="2" t="s">
        <v>394</v>
      </c>
      <c r="B4768" s="2" t="s">
        <v>395</v>
      </c>
      <c r="C4768" s="3">
        <v>356.37</v>
      </c>
      <c r="D4768" s="4">
        <v>5801.7035999999998</v>
      </c>
      <c r="E4768" s="4">
        <v>5880.1049999999996</v>
      </c>
      <c r="F4768" s="4">
        <f t="shared" si="287"/>
        <v>-78.40139999999974</v>
      </c>
      <c r="G4768" s="5">
        <f t="shared" si="288"/>
        <v>-1.3513513513513469E-2</v>
      </c>
      <c r="H4768" s="2" t="s">
        <v>5</v>
      </c>
      <c r="I4768" s="6" t="s">
        <v>2300</v>
      </c>
      <c r="J4768" s="2" t="s">
        <v>5</v>
      </c>
      <c r="K4768" s="2" t="s">
        <v>5</v>
      </c>
      <c r="L4768" s="2" t="s">
        <v>5</v>
      </c>
      <c r="M4768" s="2" t="s">
        <v>5</v>
      </c>
      <c r="N4768" s="4">
        <v>0</v>
      </c>
    </row>
    <row r="4769" spans="1:14" x14ac:dyDescent="0.25">
      <c r="A4769" s="2" t="s">
        <v>394</v>
      </c>
      <c r="B4769" s="2" t="s">
        <v>395</v>
      </c>
      <c r="C4769" s="3">
        <v>44.58</v>
      </c>
      <c r="D4769" s="4">
        <v>725.76239999999996</v>
      </c>
      <c r="E4769" s="4">
        <v>735.57</v>
      </c>
      <c r="F4769" s="4">
        <f t="shared" ref="F4769:F4832" si="289">D4769-E4769</f>
        <v>-9.8076000000000931</v>
      </c>
      <c r="G4769" s="5">
        <f t="shared" ref="G4769:G4832" si="290">IF(((D4769)=0),0,(D4769-E4769)/ D4769)</f>
        <v>-1.3513513513513643E-2</v>
      </c>
      <c r="H4769" s="2" t="s">
        <v>5</v>
      </c>
      <c r="I4769" s="6" t="s">
        <v>2300</v>
      </c>
      <c r="J4769" s="2" t="s">
        <v>5</v>
      </c>
      <c r="K4769" s="2" t="s">
        <v>5</v>
      </c>
      <c r="L4769" s="2" t="s">
        <v>5</v>
      </c>
      <c r="M4769" s="2" t="s">
        <v>5</v>
      </c>
      <c r="N4769" s="4">
        <v>0</v>
      </c>
    </row>
    <row r="4770" spans="1:14" x14ac:dyDescent="0.25">
      <c r="A4770" s="2" t="s">
        <v>394</v>
      </c>
      <c r="B4770" s="2" t="s">
        <v>395</v>
      </c>
      <c r="C4770" s="3">
        <v>195.2</v>
      </c>
      <c r="D4770" s="4">
        <v>3177.8560000000002</v>
      </c>
      <c r="E4770" s="4">
        <v>3220.8</v>
      </c>
      <c r="F4770" s="4">
        <f t="shared" si="289"/>
        <v>-42.94399999999996</v>
      </c>
      <c r="G4770" s="5">
        <f t="shared" si="290"/>
        <v>-1.35135135135135E-2</v>
      </c>
      <c r="H4770" s="2" t="s">
        <v>5</v>
      </c>
      <c r="I4770" s="6" t="s">
        <v>2300</v>
      </c>
      <c r="J4770" s="2" t="s">
        <v>5</v>
      </c>
      <c r="K4770" s="2" t="s">
        <v>5</v>
      </c>
      <c r="L4770" s="2" t="s">
        <v>5</v>
      </c>
      <c r="M4770" s="2" t="s">
        <v>5</v>
      </c>
      <c r="N4770" s="4">
        <v>0</v>
      </c>
    </row>
    <row r="4771" spans="1:14" x14ac:dyDescent="0.25">
      <c r="A4771" s="2" t="s">
        <v>396</v>
      </c>
      <c r="B4771" s="2" t="s">
        <v>397</v>
      </c>
      <c r="C4771" s="3">
        <v>10.3</v>
      </c>
      <c r="D4771" s="4">
        <v>123.39400000000001</v>
      </c>
      <c r="E4771" s="4">
        <v>87.138000000000005</v>
      </c>
      <c r="F4771" s="4">
        <f t="shared" si="289"/>
        <v>36.256</v>
      </c>
      <c r="G4771" s="5">
        <f t="shared" si="290"/>
        <v>0.29382303839732887</v>
      </c>
      <c r="H4771" s="2" t="s">
        <v>5</v>
      </c>
      <c r="I4771" s="6" t="s">
        <v>2300</v>
      </c>
      <c r="J4771" s="2" t="s">
        <v>5</v>
      </c>
      <c r="K4771" s="2" t="s">
        <v>5</v>
      </c>
      <c r="L4771" s="2" t="s">
        <v>5</v>
      </c>
      <c r="M4771" s="2" t="s">
        <v>5</v>
      </c>
      <c r="N4771" s="4">
        <v>0</v>
      </c>
    </row>
    <row r="4772" spans="1:14" x14ac:dyDescent="0.25">
      <c r="A4772" s="2" t="s">
        <v>396</v>
      </c>
      <c r="B4772" s="2" t="s">
        <v>397</v>
      </c>
      <c r="C4772" s="3">
        <v>10.61</v>
      </c>
      <c r="D4772" s="4">
        <v>127.1078</v>
      </c>
      <c r="E4772" s="4">
        <v>89.760599999999997</v>
      </c>
      <c r="F4772" s="4">
        <f t="shared" si="289"/>
        <v>37.347200000000001</v>
      </c>
      <c r="G4772" s="5">
        <f t="shared" si="290"/>
        <v>0.29382303839732887</v>
      </c>
      <c r="H4772" s="2" t="s">
        <v>5</v>
      </c>
      <c r="I4772" s="6" t="s">
        <v>2300</v>
      </c>
      <c r="J4772" s="2" t="s">
        <v>5</v>
      </c>
      <c r="K4772" s="2" t="s">
        <v>5</v>
      </c>
      <c r="L4772" s="2" t="s">
        <v>5</v>
      </c>
      <c r="M4772" s="2" t="s">
        <v>5</v>
      </c>
      <c r="N4772" s="4">
        <v>0</v>
      </c>
    </row>
    <row r="4773" spans="1:14" x14ac:dyDescent="0.25">
      <c r="A4773" s="2" t="s">
        <v>396</v>
      </c>
      <c r="B4773" s="2" t="s">
        <v>397</v>
      </c>
      <c r="C4773" s="3">
        <v>10.58</v>
      </c>
      <c r="D4773" s="4">
        <v>126.7484</v>
      </c>
      <c r="E4773" s="4">
        <v>89.506799999999998</v>
      </c>
      <c r="F4773" s="4">
        <f t="shared" si="289"/>
        <v>37.241600000000005</v>
      </c>
      <c r="G4773" s="5">
        <f t="shared" si="290"/>
        <v>0.29382303839732893</v>
      </c>
      <c r="H4773" s="2" t="s">
        <v>5</v>
      </c>
      <c r="I4773" s="6" t="s">
        <v>2300</v>
      </c>
      <c r="J4773" s="2" t="s">
        <v>5</v>
      </c>
      <c r="K4773" s="2" t="s">
        <v>5</v>
      </c>
      <c r="L4773" s="2" t="s">
        <v>5</v>
      </c>
      <c r="M4773" s="2" t="s">
        <v>5</v>
      </c>
      <c r="N4773" s="4">
        <v>0</v>
      </c>
    </row>
    <row r="4774" spans="1:14" x14ac:dyDescent="0.25">
      <c r="A4774" s="2" t="s">
        <v>396</v>
      </c>
      <c r="B4774" s="2" t="s">
        <v>397</v>
      </c>
      <c r="C4774" s="3">
        <v>10.51</v>
      </c>
      <c r="D4774" s="4">
        <v>125.9098</v>
      </c>
      <c r="E4774" s="4">
        <v>88.914599999999993</v>
      </c>
      <c r="F4774" s="4">
        <f t="shared" si="289"/>
        <v>36.995200000000011</v>
      </c>
      <c r="G4774" s="5">
        <f t="shared" si="290"/>
        <v>0.29382303839732898</v>
      </c>
      <c r="H4774" s="2" t="s">
        <v>5</v>
      </c>
      <c r="I4774" s="6" t="s">
        <v>2300</v>
      </c>
      <c r="J4774" s="2" t="s">
        <v>5</v>
      </c>
      <c r="K4774" s="2" t="s">
        <v>5</v>
      </c>
      <c r="L4774" s="2" t="s">
        <v>5</v>
      </c>
      <c r="M4774" s="2" t="s">
        <v>5</v>
      </c>
      <c r="N4774" s="4">
        <v>0</v>
      </c>
    </row>
    <row r="4775" spans="1:14" x14ac:dyDescent="0.25">
      <c r="A4775" s="2" t="s">
        <v>480</v>
      </c>
      <c r="B4775" s="2" t="s">
        <v>481</v>
      </c>
      <c r="C4775" s="3">
        <v>4.6399999999999997</v>
      </c>
      <c r="D4775" s="4">
        <v>115.0256</v>
      </c>
      <c r="E4775" s="4">
        <v>85.608000000000004</v>
      </c>
      <c r="F4775" s="4">
        <f t="shared" si="289"/>
        <v>29.417599999999993</v>
      </c>
      <c r="G4775" s="5">
        <f t="shared" si="290"/>
        <v>0.25574828559903179</v>
      </c>
      <c r="H4775" s="2" t="s">
        <v>5</v>
      </c>
      <c r="I4775" s="6" t="s">
        <v>2300</v>
      </c>
      <c r="J4775" s="2" t="s">
        <v>5</v>
      </c>
      <c r="K4775" s="2" t="s">
        <v>5</v>
      </c>
      <c r="L4775" s="2" t="s">
        <v>5</v>
      </c>
      <c r="M4775" s="2" t="s">
        <v>5</v>
      </c>
      <c r="N4775" s="4">
        <v>0</v>
      </c>
    </row>
    <row r="4776" spans="1:14" x14ac:dyDescent="0.25">
      <c r="A4776" s="2" t="s">
        <v>480</v>
      </c>
      <c r="B4776" s="2" t="s">
        <v>481</v>
      </c>
      <c r="C4776" s="3">
        <v>10.19</v>
      </c>
      <c r="D4776" s="4">
        <v>252.61009999999999</v>
      </c>
      <c r="E4776" s="4">
        <v>188.00550000000001</v>
      </c>
      <c r="F4776" s="4">
        <f t="shared" si="289"/>
        <v>64.604599999999976</v>
      </c>
      <c r="G4776" s="5">
        <f t="shared" si="290"/>
        <v>0.25574828559903179</v>
      </c>
      <c r="H4776" s="2" t="s">
        <v>5</v>
      </c>
      <c r="I4776" s="6" t="s">
        <v>2300</v>
      </c>
      <c r="J4776" s="2" t="s">
        <v>5</v>
      </c>
      <c r="K4776" s="2" t="s">
        <v>5</v>
      </c>
      <c r="L4776" s="2" t="s">
        <v>5</v>
      </c>
      <c r="M4776" s="2" t="s">
        <v>5</v>
      </c>
      <c r="N4776" s="4">
        <v>0</v>
      </c>
    </row>
    <row r="4777" spans="1:14" x14ac:dyDescent="0.25">
      <c r="A4777" s="2" t="s">
        <v>480</v>
      </c>
      <c r="B4777" s="2" t="s">
        <v>481</v>
      </c>
      <c r="C4777" s="3">
        <v>4.96</v>
      </c>
      <c r="D4777" s="4">
        <v>122.9584</v>
      </c>
      <c r="E4777" s="4">
        <v>91.512</v>
      </c>
      <c r="F4777" s="4">
        <f t="shared" si="289"/>
        <v>31.446399999999997</v>
      </c>
      <c r="G4777" s="5">
        <f t="shared" si="290"/>
        <v>0.25574828559903184</v>
      </c>
      <c r="H4777" s="2" t="s">
        <v>5</v>
      </c>
      <c r="I4777" s="6" t="s">
        <v>2300</v>
      </c>
      <c r="J4777" s="2" t="s">
        <v>5</v>
      </c>
      <c r="K4777" s="2" t="s">
        <v>5</v>
      </c>
      <c r="L4777" s="2" t="s">
        <v>5</v>
      </c>
      <c r="M4777" s="2" t="s">
        <v>5</v>
      </c>
      <c r="N4777" s="4">
        <v>0</v>
      </c>
    </row>
    <row r="4778" spans="1:14" x14ac:dyDescent="0.25">
      <c r="A4778" s="2" t="s">
        <v>480</v>
      </c>
      <c r="B4778" s="2" t="s">
        <v>481</v>
      </c>
      <c r="C4778" s="3">
        <v>4.41</v>
      </c>
      <c r="D4778" s="4">
        <v>109.32389999999999</v>
      </c>
      <c r="E4778" s="4">
        <v>81.364500000000007</v>
      </c>
      <c r="F4778" s="4">
        <f t="shared" si="289"/>
        <v>27.959399999999988</v>
      </c>
      <c r="G4778" s="5">
        <f t="shared" si="290"/>
        <v>0.25574828559903179</v>
      </c>
      <c r="H4778" s="2" t="s">
        <v>5</v>
      </c>
      <c r="I4778" s="6" t="s">
        <v>2300</v>
      </c>
      <c r="J4778" s="2" t="s">
        <v>5</v>
      </c>
      <c r="K4778" s="2" t="s">
        <v>5</v>
      </c>
      <c r="L4778" s="2" t="s">
        <v>5</v>
      </c>
      <c r="M4778" s="2" t="s">
        <v>5</v>
      </c>
      <c r="N4778" s="4">
        <v>0</v>
      </c>
    </row>
    <row r="4779" spans="1:14" x14ac:dyDescent="0.25">
      <c r="A4779" s="2" t="s">
        <v>480</v>
      </c>
      <c r="B4779" s="2" t="s">
        <v>481</v>
      </c>
      <c r="C4779" s="3">
        <v>9.64</v>
      </c>
      <c r="D4779" s="4">
        <v>238.97559999999999</v>
      </c>
      <c r="E4779" s="4">
        <v>177.858</v>
      </c>
      <c r="F4779" s="4">
        <f t="shared" si="289"/>
        <v>61.117599999999982</v>
      </c>
      <c r="G4779" s="5">
        <f t="shared" si="290"/>
        <v>0.25574828559903179</v>
      </c>
      <c r="H4779" s="2" t="s">
        <v>5</v>
      </c>
      <c r="I4779" s="6" t="s">
        <v>2300</v>
      </c>
      <c r="J4779" s="2" t="s">
        <v>5</v>
      </c>
      <c r="K4779" s="2" t="s">
        <v>5</v>
      </c>
      <c r="L4779" s="2" t="s">
        <v>5</v>
      </c>
      <c r="M4779" s="2" t="s">
        <v>5</v>
      </c>
      <c r="N4779" s="4">
        <v>0</v>
      </c>
    </row>
    <row r="4780" spans="1:14" x14ac:dyDescent="0.25">
      <c r="A4780" s="2" t="s">
        <v>480</v>
      </c>
      <c r="B4780" s="2" t="s">
        <v>481</v>
      </c>
      <c r="C4780" s="3">
        <v>10.39</v>
      </c>
      <c r="D4780" s="4">
        <v>257.56810000000002</v>
      </c>
      <c r="E4780" s="4">
        <v>191.69550000000001</v>
      </c>
      <c r="F4780" s="4">
        <f t="shared" si="289"/>
        <v>65.872600000000006</v>
      </c>
      <c r="G4780" s="5">
        <f t="shared" si="290"/>
        <v>0.2557482855990319</v>
      </c>
      <c r="H4780" s="2" t="s">
        <v>5</v>
      </c>
      <c r="I4780" s="6" t="s">
        <v>2300</v>
      </c>
      <c r="J4780" s="2" t="s">
        <v>5</v>
      </c>
      <c r="K4780" s="2" t="s">
        <v>5</v>
      </c>
      <c r="L4780" s="2" t="s">
        <v>5</v>
      </c>
      <c r="M4780" s="2" t="s">
        <v>5</v>
      </c>
      <c r="N4780" s="4">
        <v>0</v>
      </c>
    </row>
    <row r="4781" spans="1:14" x14ac:dyDescent="0.25">
      <c r="A4781" s="2" t="s">
        <v>398</v>
      </c>
      <c r="B4781" s="2" t="s">
        <v>399</v>
      </c>
      <c r="C4781" s="3">
        <v>139.47999999999999</v>
      </c>
      <c r="D4781" s="4">
        <v>2088.0156000000002</v>
      </c>
      <c r="E4781" s="4">
        <v>1520.3320000000001</v>
      </c>
      <c r="F4781" s="4">
        <f t="shared" si="289"/>
        <v>567.68360000000007</v>
      </c>
      <c r="G4781" s="5">
        <f t="shared" si="290"/>
        <v>0.27187708750835005</v>
      </c>
      <c r="H4781" s="2" t="s">
        <v>5</v>
      </c>
      <c r="I4781" s="6" t="s">
        <v>2300</v>
      </c>
      <c r="J4781" s="2" t="s">
        <v>5</v>
      </c>
      <c r="K4781" s="2" t="s">
        <v>5</v>
      </c>
      <c r="L4781" s="2" t="s">
        <v>5</v>
      </c>
      <c r="M4781" s="2" t="s">
        <v>5</v>
      </c>
      <c r="N4781" s="4">
        <v>0</v>
      </c>
    </row>
    <row r="4782" spans="1:14" x14ac:dyDescent="0.25">
      <c r="A4782" s="2" t="s">
        <v>398</v>
      </c>
      <c r="B4782" s="2" t="s">
        <v>399</v>
      </c>
      <c r="C4782" s="3">
        <v>158.01</v>
      </c>
      <c r="D4782" s="4">
        <v>2365.4097000000002</v>
      </c>
      <c r="E4782" s="4">
        <v>1722.309</v>
      </c>
      <c r="F4782" s="4">
        <f t="shared" si="289"/>
        <v>643.10070000000019</v>
      </c>
      <c r="G4782" s="5">
        <f t="shared" si="290"/>
        <v>0.2718770875083501</v>
      </c>
      <c r="H4782" s="2" t="s">
        <v>5</v>
      </c>
      <c r="I4782" s="6" t="s">
        <v>2300</v>
      </c>
      <c r="J4782" s="2" t="s">
        <v>5</v>
      </c>
      <c r="K4782" s="2" t="s">
        <v>5</v>
      </c>
      <c r="L4782" s="2" t="s">
        <v>5</v>
      </c>
      <c r="M4782" s="2" t="s">
        <v>5</v>
      </c>
      <c r="N4782" s="4">
        <v>0</v>
      </c>
    </row>
    <row r="4783" spans="1:14" x14ac:dyDescent="0.25">
      <c r="A4783" s="2" t="s">
        <v>398</v>
      </c>
      <c r="B4783" s="2" t="s">
        <v>399</v>
      </c>
      <c r="C4783" s="3">
        <v>66.25</v>
      </c>
      <c r="D4783" s="4">
        <v>991.76250000000005</v>
      </c>
      <c r="E4783" s="4">
        <v>722.125</v>
      </c>
      <c r="F4783" s="4">
        <f t="shared" si="289"/>
        <v>269.63750000000005</v>
      </c>
      <c r="G4783" s="5">
        <f t="shared" si="290"/>
        <v>0.27187708750835005</v>
      </c>
      <c r="H4783" s="2" t="s">
        <v>5</v>
      </c>
      <c r="I4783" s="6" t="s">
        <v>2300</v>
      </c>
      <c r="J4783" s="2" t="s">
        <v>5</v>
      </c>
      <c r="K4783" s="2" t="s">
        <v>5</v>
      </c>
      <c r="L4783" s="2" t="s">
        <v>5</v>
      </c>
      <c r="M4783" s="2" t="s">
        <v>5</v>
      </c>
      <c r="N4783" s="4">
        <v>0</v>
      </c>
    </row>
    <row r="4784" spans="1:14" x14ac:dyDescent="0.25">
      <c r="A4784" s="2" t="s">
        <v>2224</v>
      </c>
      <c r="B4784" s="2" t="s">
        <v>2225</v>
      </c>
      <c r="C4784" s="3">
        <v>41.244999999999997</v>
      </c>
      <c r="D4784" s="4">
        <v>679.30515000000003</v>
      </c>
      <c r="E4784" s="4">
        <v>449.57049999999998</v>
      </c>
      <c r="F4784" s="4">
        <f t="shared" si="289"/>
        <v>229.73465000000004</v>
      </c>
      <c r="G4784" s="5">
        <f t="shared" si="290"/>
        <v>0.33819064966605955</v>
      </c>
      <c r="H4784" s="2" t="s">
        <v>5</v>
      </c>
      <c r="I4784" s="6" t="s">
        <v>2300</v>
      </c>
      <c r="J4784" s="2" t="s">
        <v>5</v>
      </c>
      <c r="K4784" s="2" t="s">
        <v>5</v>
      </c>
      <c r="L4784" s="2" t="s">
        <v>5</v>
      </c>
      <c r="M4784" s="2" t="s">
        <v>5</v>
      </c>
      <c r="N4784" s="4">
        <v>0</v>
      </c>
    </row>
    <row r="4785" spans="1:14" x14ac:dyDescent="0.25">
      <c r="A4785" s="2" t="s">
        <v>2224</v>
      </c>
      <c r="B4785" s="2" t="s">
        <v>2225</v>
      </c>
      <c r="C4785" s="3">
        <v>96.82</v>
      </c>
      <c r="D4785" s="4">
        <v>1594.6253999999999</v>
      </c>
      <c r="E4785" s="4">
        <v>1055.338</v>
      </c>
      <c r="F4785" s="4">
        <f t="shared" si="289"/>
        <v>539.28739999999993</v>
      </c>
      <c r="G4785" s="5">
        <f t="shared" si="290"/>
        <v>0.3381906496660595</v>
      </c>
      <c r="H4785" s="2" t="s">
        <v>5</v>
      </c>
      <c r="I4785" s="6" t="s">
        <v>2300</v>
      </c>
      <c r="J4785" s="2" t="s">
        <v>5</v>
      </c>
      <c r="K4785" s="2" t="s">
        <v>5</v>
      </c>
      <c r="L4785" s="2" t="s">
        <v>5</v>
      </c>
      <c r="M4785" s="2" t="s">
        <v>5</v>
      </c>
      <c r="N4785" s="4">
        <v>0</v>
      </c>
    </row>
    <row r="4786" spans="1:14" x14ac:dyDescent="0.25">
      <c r="A4786" s="2" t="s">
        <v>444</v>
      </c>
      <c r="B4786" s="2" t="s">
        <v>445</v>
      </c>
      <c r="C4786" s="3">
        <v>29.364999999999998</v>
      </c>
      <c r="D4786" s="4">
        <v>236.09460000000001</v>
      </c>
      <c r="E4786" s="4">
        <v>208.4915</v>
      </c>
      <c r="F4786" s="4">
        <f t="shared" si="289"/>
        <v>27.603100000000012</v>
      </c>
      <c r="G4786" s="5">
        <f t="shared" si="290"/>
        <v>0.11691542288557218</v>
      </c>
      <c r="H4786" s="2" t="s">
        <v>5</v>
      </c>
      <c r="I4786" s="6" t="s">
        <v>2300</v>
      </c>
      <c r="J4786" s="2" t="s">
        <v>5</v>
      </c>
      <c r="K4786" s="2" t="s">
        <v>5</v>
      </c>
      <c r="L4786" s="2" t="s">
        <v>5</v>
      </c>
      <c r="M4786" s="2" t="s">
        <v>5</v>
      </c>
      <c r="N4786" s="4">
        <v>0</v>
      </c>
    </row>
    <row r="4787" spans="1:14" x14ac:dyDescent="0.25">
      <c r="A4787" s="2" t="s">
        <v>444</v>
      </c>
      <c r="B4787" s="2" t="s">
        <v>445</v>
      </c>
      <c r="C4787" s="3">
        <v>15.91</v>
      </c>
      <c r="D4787" s="4">
        <v>127.9164</v>
      </c>
      <c r="E4787" s="4">
        <v>112.961</v>
      </c>
      <c r="F4787" s="4">
        <f t="shared" si="289"/>
        <v>14.955399999999997</v>
      </c>
      <c r="G4787" s="5">
        <f t="shared" si="290"/>
        <v>0.11691542288557212</v>
      </c>
      <c r="H4787" s="2" t="s">
        <v>5</v>
      </c>
      <c r="I4787" s="6" t="s">
        <v>2300</v>
      </c>
      <c r="J4787" s="2" t="s">
        <v>5</v>
      </c>
      <c r="K4787" s="2" t="s">
        <v>5</v>
      </c>
      <c r="L4787" s="2" t="s">
        <v>5</v>
      </c>
      <c r="M4787" s="2" t="s">
        <v>5</v>
      </c>
      <c r="N4787" s="4">
        <v>0</v>
      </c>
    </row>
    <row r="4788" spans="1:14" x14ac:dyDescent="0.25">
      <c r="A4788" s="2" t="s">
        <v>444</v>
      </c>
      <c r="B4788" s="2" t="s">
        <v>445</v>
      </c>
      <c r="C4788" s="3">
        <v>11.785</v>
      </c>
      <c r="D4788" s="4">
        <v>94.751400000000004</v>
      </c>
      <c r="E4788" s="4">
        <v>83.673500000000004</v>
      </c>
      <c r="F4788" s="4">
        <f t="shared" si="289"/>
        <v>11.0779</v>
      </c>
      <c r="G4788" s="5">
        <f t="shared" si="290"/>
        <v>0.11691542288557213</v>
      </c>
      <c r="H4788" s="2" t="s">
        <v>5</v>
      </c>
      <c r="I4788" s="6" t="s">
        <v>2300</v>
      </c>
      <c r="J4788" s="2" t="s">
        <v>5</v>
      </c>
      <c r="K4788" s="2" t="s">
        <v>5</v>
      </c>
      <c r="L4788" s="2" t="s">
        <v>5</v>
      </c>
      <c r="M4788" s="2" t="s">
        <v>5</v>
      </c>
      <c r="N4788" s="4">
        <v>0</v>
      </c>
    </row>
    <row r="4789" spans="1:14" x14ac:dyDescent="0.25">
      <c r="A4789" s="2" t="s">
        <v>444</v>
      </c>
      <c r="B4789" s="2" t="s">
        <v>445</v>
      </c>
      <c r="C4789" s="3">
        <v>15.4</v>
      </c>
      <c r="D4789" s="4">
        <v>123.816</v>
      </c>
      <c r="E4789" s="4">
        <v>109.34</v>
      </c>
      <c r="F4789" s="4">
        <f t="shared" si="289"/>
        <v>14.475999999999999</v>
      </c>
      <c r="G4789" s="5">
        <f t="shared" si="290"/>
        <v>0.11691542288557213</v>
      </c>
      <c r="H4789" s="2" t="s">
        <v>5</v>
      </c>
      <c r="I4789" s="6" t="s">
        <v>2300</v>
      </c>
      <c r="J4789" s="2" t="s">
        <v>5</v>
      </c>
      <c r="K4789" s="2" t="s">
        <v>5</v>
      </c>
      <c r="L4789" s="2" t="s">
        <v>5</v>
      </c>
      <c r="M4789" s="2" t="s">
        <v>5</v>
      </c>
      <c r="N4789" s="4">
        <v>0</v>
      </c>
    </row>
    <row r="4790" spans="1:14" x14ac:dyDescent="0.25">
      <c r="A4790" s="2" t="s">
        <v>400</v>
      </c>
      <c r="B4790" s="2" t="s">
        <v>401</v>
      </c>
      <c r="C4790" s="3">
        <v>15.38</v>
      </c>
      <c r="D4790" s="4">
        <v>184.25239999999999</v>
      </c>
      <c r="E4790" s="4">
        <v>124.578</v>
      </c>
      <c r="F4790" s="4">
        <f t="shared" si="289"/>
        <v>59.674399999999991</v>
      </c>
      <c r="G4790" s="5">
        <f t="shared" si="290"/>
        <v>0.32387312186978295</v>
      </c>
      <c r="H4790" s="2" t="s">
        <v>5</v>
      </c>
      <c r="I4790" s="6" t="s">
        <v>2300</v>
      </c>
      <c r="J4790" s="2" t="s">
        <v>5</v>
      </c>
      <c r="K4790" s="2" t="s">
        <v>5</v>
      </c>
      <c r="L4790" s="2" t="s">
        <v>5</v>
      </c>
      <c r="M4790" s="2" t="s">
        <v>5</v>
      </c>
      <c r="N4790" s="4">
        <v>0</v>
      </c>
    </row>
    <row r="4791" spans="1:14" x14ac:dyDescent="0.25">
      <c r="A4791" s="2" t="s">
        <v>400</v>
      </c>
      <c r="B4791" s="2" t="s">
        <v>401</v>
      </c>
      <c r="C4791" s="3">
        <v>40.875</v>
      </c>
      <c r="D4791" s="4">
        <v>489.6825</v>
      </c>
      <c r="E4791" s="4">
        <v>331.08749999999998</v>
      </c>
      <c r="F4791" s="4">
        <f t="shared" si="289"/>
        <v>158.59500000000003</v>
      </c>
      <c r="G4791" s="5">
        <f t="shared" si="290"/>
        <v>0.32387312186978301</v>
      </c>
      <c r="H4791" s="2" t="s">
        <v>5</v>
      </c>
      <c r="I4791" s="6" t="s">
        <v>2300</v>
      </c>
      <c r="J4791" s="2" t="s">
        <v>5</v>
      </c>
      <c r="K4791" s="2" t="s">
        <v>5</v>
      </c>
      <c r="L4791" s="2" t="s">
        <v>5</v>
      </c>
      <c r="M4791" s="2" t="s">
        <v>5</v>
      </c>
      <c r="N4791" s="4">
        <v>0</v>
      </c>
    </row>
    <row r="4792" spans="1:14" x14ac:dyDescent="0.25">
      <c r="A4792" s="2" t="s">
        <v>400</v>
      </c>
      <c r="B4792" s="2" t="s">
        <v>401</v>
      </c>
      <c r="C4792" s="3">
        <v>30.61</v>
      </c>
      <c r="D4792" s="4">
        <v>366.70780000000002</v>
      </c>
      <c r="E4792" s="4">
        <v>247.941</v>
      </c>
      <c r="F4792" s="4">
        <f t="shared" si="289"/>
        <v>118.76680000000002</v>
      </c>
      <c r="G4792" s="5">
        <f t="shared" si="290"/>
        <v>0.32387312186978301</v>
      </c>
      <c r="H4792" s="2" t="s">
        <v>5</v>
      </c>
      <c r="I4792" s="6" t="s">
        <v>2300</v>
      </c>
      <c r="J4792" s="2" t="s">
        <v>5</v>
      </c>
      <c r="K4792" s="2" t="s">
        <v>5</v>
      </c>
      <c r="L4792" s="2" t="s">
        <v>5</v>
      </c>
      <c r="M4792" s="2" t="s">
        <v>5</v>
      </c>
      <c r="N4792" s="4">
        <v>0</v>
      </c>
    </row>
    <row r="4793" spans="1:14" x14ac:dyDescent="0.25">
      <c r="A4793" s="2" t="s">
        <v>400</v>
      </c>
      <c r="B4793" s="2" t="s">
        <v>401</v>
      </c>
      <c r="C4793" s="3">
        <v>61.03</v>
      </c>
      <c r="D4793" s="4">
        <v>731.13940000000002</v>
      </c>
      <c r="E4793" s="4">
        <v>494.34300000000002</v>
      </c>
      <c r="F4793" s="4">
        <f t="shared" si="289"/>
        <v>236.79640000000001</v>
      </c>
      <c r="G4793" s="5">
        <f t="shared" si="290"/>
        <v>0.32387312186978295</v>
      </c>
      <c r="H4793" s="2" t="s">
        <v>5</v>
      </c>
      <c r="I4793" s="6" t="s">
        <v>2300</v>
      </c>
      <c r="J4793" s="2" t="s">
        <v>5</v>
      </c>
      <c r="K4793" s="2" t="s">
        <v>5</v>
      </c>
      <c r="L4793" s="2" t="s">
        <v>5</v>
      </c>
      <c r="M4793" s="2" t="s">
        <v>5</v>
      </c>
      <c r="N4793" s="4">
        <v>0</v>
      </c>
    </row>
    <row r="4794" spans="1:14" x14ac:dyDescent="0.25">
      <c r="A4794" s="2" t="s">
        <v>400</v>
      </c>
      <c r="B4794" s="2" t="s">
        <v>401</v>
      </c>
      <c r="C4794" s="3">
        <v>50.97</v>
      </c>
      <c r="D4794" s="4">
        <v>610.62059999999997</v>
      </c>
      <c r="E4794" s="4">
        <v>412.85700000000003</v>
      </c>
      <c r="F4794" s="4">
        <f t="shared" si="289"/>
        <v>197.76359999999994</v>
      </c>
      <c r="G4794" s="5">
        <f t="shared" si="290"/>
        <v>0.3238731218697829</v>
      </c>
      <c r="H4794" s="2" t="s">
        <v>5</v>
      </c>
      <c r="I4794" s="6" t="s">
        <v>2300</v>
      </c>
      <c r="J4794" s="2" t="s">
        <v>5</v>
      </c>
      <c r="K4794" s="2" t="s">
        <v>5</v>
      </c>
      <c r="L4794" s="2" t="s">
        <v>5</v>
      </c>
      <c r="M4794" s="2" t="s">
        <v>5</v>
      </c>
      <c r="N4794" s="4">
        <v>0</v>
      </c>
    </row>
    <row r="4795" spans="1:14" x14ac:dyDescent="0.25">
      <c r="A4795" s="2" t="s">
        <v>400</v>
      </c>
      <c r="B4795" s="2" t="s">
        <v>401</v>
      </c>
      <c r="C4795" s="3">
        <v>61.09</v>
      </c>
      <c r="D4795" s="4">
        <v>731.85820000000001</v>
      </c>
      <c r="E4795" s="4">
        <v>494.82900000000001</v>
      </c>
      <c r="F4795" s="4">
        <f t="shared" si="289"/>
        <v>237.0292</v>
      </c>
      <c r="G4795" s="5">
        <f t="shared" si="290"/>
        <v>0.32387312186978295</v>
      </c>
      <c r="H4795" s="2" t="s">
        <v>5</v>
      </c>
      <c r="I4795" s="6" t="s">
        <v>2300</v>
      </c>
      <c r="J4795" s="2" t="s">
        <v>5</v>
      </c>
      <c r="K4795" s="2" t="s">
        <v>5</v>
      </c>
      <c r="L4795" s="2" t="s">
        <v>5</v>
      </c>
      <c r="M4795" s="2" t="s">
        <v>5</v>
      </c>
      <c r="N4795" s="4">
        <v>0</v>
      </c>
    </row>
    <row r="4796" spans="1:14" x14ac:dyDescent="0.25">
      <c r="A4796" s="2" t="s">
        <v>400</v>
      </c>
      <c r="B4796" s="2" t="s">
        <v>401</v>
      </c>
      <c r="C4796" s="3">
        <v>15.4</v>
      </c>
      <c r="D4796" s="4">
        <v>184.49199999999999</v>
      </c>
      <c r="E4796" s="4">
        <v>124.74</v>
      </c>
      <c r="F4796" s="4">
        <f t="shared" si="289"/>
        <v>59.751999999999995</v>
      </c>
      <c r="G4796" s="5">
        <f t="shared" si="290"/>
        <v>0.32387312186978295</v>
      </c>
      <c r="H4796" s="2" t="s">
        <v>5</v>
      </c>
      <c r="I4796" s="6" t="s">
        <v>2300</v>
      </c>
      <c r="J4796" s="2" t="s">
        <v>5</v>
      </c>
      <c r="K4796" s="2" t="s">
        <v>5</v>
      </c>
      <c r="L4796" s="2" t="s">
        <v>5</v>
      </c>
      <c r="M4796" s="2" t="s">
        <v>5</v>
      </c>
      <c r="N4796" s="4">
        <v>0</v>
      </c>
    </row>
    <row r="4797" spans="1:14" x14ac:dyDescent="0.25">
      <c r="A4797" s="2" t="s">
        <v>446</v>
      </c>
      <c r="B4797" s="2" t="s">
        <v>447</v>
      </c>
      <c r="C4797" s="3">
        <v>50.49</v>
      </c>
      <c r="D4797" s="4">
        <v>673.53660000000002</v>
      </c>
      <c r="E4797" s="4">
        <v>479.65499999999997</v>
      </c>
      <c r="F4797" s="4">
        <f t="shared" si="289"/>
        <v>193.88160000000005</v>
      </c>
      <c r="G4797" s="5">
        <f t="shared" si="290"/>
        <v>0.28785607196401808</v>
      </c>
      <c r="H4797" s="2" t="s">
        <v>5</v>
      </c>
      <c r="I4797" s="6" t="s">
        <v>2300</v>
      </c>
      <c r="J4797" s="2" t="s">
        <v>5</v>
      </c>
      <c r="K4797" s="2" t="s">
        <v>5</v>
      </c>
      <c r="L4797" s="2" t="s">
        <v>5</v>
      </c>
      <c r="M4797" s="2" t="s">
        <v>5</v>
      </c>
      <c r="N4797" s="4">
        <v>0</v>
      </c>
    </row>
    <row r="4798" spans="1:14" x14ac:dyDescent="0.25">
      <c r="A4798" s="2" t="s">
        <v>446</v>
      </c>
      <c r="B4798" s="2" t="s">
        <v>447</v>
      </c>
      <c r="C4798" s="3">
        <v>80.040000000000006</v>
      </c>
      <c r="D4798" s="4">
        <v>1067.7336</v>
      </c>
      <c r="E4798" s="4">
        <v>760.38</v>
      </c>
      <c r="F4798" s="4">
        <f t="shared" si="289"/>
        <v>307.35360000000003</v>
      </c>
      <c r="G4798" s="5">
        <f t="shared" si="290"/>
        <v>0.28785607196401802</v>
      </c>
      <c r="H4798" s="2" t="s">
        <v>5</v>
      </c>
      <c r="I4798" s="6" t="s">
        <v>2300</v>
      </c>
      <c r="J4798" s="2" t="s">
        <v>5</v>
      </c>
      <c r="K4798" s="2" t="s">
        <v>5</v>
      </c>
      <c r="L4798" s="2" t="s">
        <v>5</v>
      </c>
      <c r="M4798" s="2" t="s">
        <v>5</v>
      </c>
      <c r="N4798" s="4">
        <v>0</v>
      </c>
    </row>
    <row r="4799" spans="1:14" x14ac:dyDescent="0.25">
      <c r="A4799" s="2" t="s">
        <v>446</v>
      </c>
      <c r="B4799" s="2" t="s">
        <v>447</v>
      </c>
      <c r="C4799" s="3">
        <v>50.99</v>
      </c>
      <c r="D4799" s="4">
        <v>680.20659999999998</v>
      </c>
      <c r="E4799" s="4">
        <v>484.40499999999997</v>
      </c>
      <c r="F4799" s="4">
        <f t="shared" si="289"/>
        <v>195.80160000000001</v>
      </c>
      <c r="G4799" s="5">
        <f t="shared" si="290"/>
        <v>0.28785607196401802</v>
      </c>
      <c r="H4799" s="2" t="s">
        <v>5</v>
      </c>
      <c r="I4799" s="6" t="s">
        <v>2300</v>
      </c>
      <c r="J4799" s="2" t="s">
        <v>5</v>
      </c>
      <c r="K4799" s="2" t="s">
        <v>5</v>
      </c>
      <c r="L4799" s="2" t="s">
        <v>5</v>
      </c>
      <c r="M4799" s="2" t="s">
        <v>5</v>
      </c>
      <c r="N4799" s="4">
        <v>0</v>
      </c>
    </row>
    <row r="4800" spans="1:14" x14ac:dyDescent="0.25">
      <c r="A4800" s="2" t="s">
        <v>402</v>
      </c>
      <c r="B4800" s="2" t="s">
        <v>403</v>
      </c>
      <c r="C4800" s="3">
        <v>58.1</v>
      </c>
      <c r="D4800" s="4">
        <v>546.14</v>
      </c>
      <c r="E4800" s="4">
        <v>424.13</v>
      </c>
      <c r="F4800" s="4">
        <f t="shared" si="289"/>
        <v>122.00999999999999</v>
      </c>
      <c r="G4800" s="5">
        <f t="shared" si="290"/>
        <v>0.22340425531914893</v>
      </c>
      <c r="H4800" s="2" t="s">
        <v>5</v>
      </c>
      <c r="I4800" s="6" t="s">
        <v>2300</v>
      </c>
      <c r="J4800" s="2" t="s">
        <v>5</v>
      </c>
      <c r="K4800" s="2" t="s">
        <v>5</v>
      </c>
      <c r="L4800" s="2" t="s">
        <v>5</v>
      </c>
      <c r="M4800" s="2" t="s">
        <v>5</v>
      </c>
      <c r="N4800" s="4">
        <v>0</v>
      </c>
    </row>
    <row r="4801" spans="1:14" x14ac:dyDescent="0.25">
      <c r="A4801" s="2" t="s">
        <v>402</v>
      </c>
      <c r="B4801" s="2" t="s">
        <v>403</v>
      </c>
      <c r="C4801" s="3">
        <v>102.77</v>
      </c>
      <c r="D4801" s="4">
        <v>966.03800000000001</v>
      </c>
      <c r="E4801" s="4">
        <v>750.221</v>
      </c>
      <c r="F4801" s="4">
        <f t="shared" si="289"/>
        <v>215.81700000000001</v>
      </c>
      <c r="G4801" s="5">
        <f t="shared" si="290"/>
        <v>0.22340425531914895</v>
      </c>
      <c r="H4801" s="2" t="s">
        <v>5</v>
      </c>
      <c r="I4801" s="6" t="s">
        <v>2300</v>
      </c>
      <c r="J4801" s="2" t="s">
        <v>5</v>
      </c>
      <c r="K4801" s="2" t="s">
        <v>5</v>
      </c>
      <c r="L4801" s="2" t="s">
        <v>5</v>
      </c>
      <c r="M4801" s="2" t="s">
        <v>5</v>
      </c>
      <c r="N4801" s="4">
        <v>0</v>
      </c>
    </row>
    <row r="4802" spans="1:14" x14ac:dyDescent="0.25">
      <c r="A4802" s="2" t="s">
        <v>402</v>
      </c>
      <c r="B4802" s="2" t="s">
        <v>403</v>
      </c>
      <c r="C4802" s="3">
        <v>58.54</v>
      </c>
      <c r="D4802" s="4">
        <v>550.27599999999995</v>
      </c>
      <c r="E4802" s="4">
        <v>427.34199999999998</v>
      </c>
      <c r="F4802" s="4">
        <f t="shared" si="289"/>
        <v>122.93399999999997</v>
      </c>
      <c r="G4802" s="5">
        <f t="shared" si="290"/>
        <v>0.2234042553191489</v>
      </c>
      <c r="H4802" s="2" t="s">
        <v>5</v>
      </c>
      <c r="I4802" s="6" t="s">
        <v>2300</v>
      </c>
      <c r="J4802" s="2" t="s">
        <v>5</v>
      </c>
      <c r="K4802" s="2" t="s">
        <v>5</v>
      </c>
      <c r="L4802" s="2" t="s">
        <v>5</v>
      </c>
      <c r="M4802" s="2" t="s">
        <v>5</v>
      </c>
      <c r="N4802" s="4">
        <v>0</v>
      </c>
    </row>
    <row r="4803" spans="1:14" x14ac:dyDescent="0.25">
      <c r="A4803" s="2" t="s">
        <v>402</v>
      </c>
      <c r="B4803" s="2" t="s">
        <v>403</v>
      </c>
      <c r="C4803" s="3">
        <v>58.22</v>
      </c>
      <c r="D4803" s="4">
        <v>547.26800000000003</v>
      </c>
      <c r="E4803" s="4">
        <v>425.00599999999997</v>
      </c>
      <c r="F4803" s="4">
        <f t="shared" si="289"/>
        <v>122.26200000000006</v>
      </c>
      <c r="G4803" s="5">
        <f t="shared" si="290"/>
        <v>0.22340425531914904</v>
      </c>
      <c r="H4803" s="2" t="s">
        <v>5</v>
      </c>
      <c r="I4803" s="6" t="s">
        <v>2300</v>
      </c>
      <c r="J4803" s="2" t="s">
        <v>5</v>
      </c>
      <c r="K4803" s="2" t="s">
        <v>5</v>
      </c>
      <c r="L4803" s="2" t="s">
        <v>5</v>
      </c>
      <c r="M4803" s="2" t="s">
        <v>5</v>
      </c>
      <c r="N4803" s="4">
        <v>0</v>
      </c>
    </row>
    <row r="4804" spans="1:14" x14ac:dyDescent="0.25">
      <c r="A4804" s="2" t="s">
        <v>402</v>
      </c>
      <c r="B4804" s="2" t="s">
        <v>403</v>
      </c>
      <c r="C4804" s="3">
        <v>45.84</v>
      </c>
      <c r="D4804" s="4">
        <v>430.89600000000002</v>
      </c>
      <c r="E4804" s="4">
        <v>334.63200000000001</v>
      </c>
      <c r="F4804" s="4">
        <f t="shared" si="289"/>
        <v>96.26400000000001</v>
      </c>
      <c r="G4804" s="5">
        <f t="shared" si="290"/>
        <v>0.22340425531914895</v>
      </c>
      <c r="H4804" s="2" t="s">
        <v>5</v>
      </c>
      <c r="I4804" s="6" t="s">
        <v>2300</v>
      </c>
      <c r="J4804" s="2" t="s">
        <v>5</v>
      </c>
      <c r="K4804" s="2" t="s">
        <v>5</v>
      </c>
      <c r="L4804" s="2" t="s">
        <v>5</v>
      </c>
      <c r="M4804" s="2" t="s">
        <v>5</v>
      </c>
      <c r="N4804" s="4">
        <v>0</v>
      </c>
    </row>
    <row r="4805" spans="1:14" x14ac:dyDescent="0.25">
      <c r="A4805" s="2" t="s">
        <v>402</v>
      </c>
      <c r="B4805" s="2" t="s">
        <v>403</v>
      </c>
      <c r="C4805" s="3">
        <v>41.21</v>
      </c>
      <c r="D4805" s="4">
        <v>387.37400000000002</v>
      </c>
      <c r="E4805" s="4">
        <v>300.83300000000003</v>
      </c>
      <c r="F4805" s="4">
        <f t="shared" si="289"/>
        <v>86.540999999999997</v>
      </c>
      <c r="G4805" s="5">
        <f t="shared" si="290"/>
        <v>0.22340425531914893</v>
      </c>
      <c r="H4805" s="2" t="s">
        <v>5</v>
      </c>
      <c r="I4805" s="6" t="s">
        <v>2300</v>
      </c>
      <c r="J4805" s="2" t="s">
        <v>5</v>
      </c>
      <c r="K4805" s="2" t="s">
        <v>5</v>
      </c>
      <c r="L4805" s="2" t="s">
        <v>5</v>
      </c>
      <c r="M4805" s="2" t="s">
        <v>5</v>
      </c>
      <c r="N4805" s="4">
        <v>0</v>
      </c>
    </row>
    <row r="4806" spans="1:14" x14ac:dyDescent="0.25">
      <c r="A4806" s="2" t="s">
        <v>402</v>
      </c>
      <c r="B4806" s="2" t="s">
        <v>403</v>
      </c>
      <c r="C4806" s="3">
        <v>48.87</v>
      </c>
      <c r="D4806" s="4">
        <v>459.37799999999999</v>
      </c>
      <c r="E4806" s="4">
        <v>356.75099999999998</v>
      </c>
      <c r="F4806" s="4">
        <f t="shared" si="289"/>
        <v>102.62700000000001</v>
      </c>
      <c r="G4806" s="5">
        <f t="shared" si="290"/>
        <v>0.22340425531914895</v>
      </c>
      <c r="H4806" s="2" t="s">
        <v>5</v>
      </c>
      <c r="I4806" s="6" t="s">
        <v>2300</v>
      </c>
      <c r="J4806" s="2" t="s">
        <v>5</v>
      </c>
      <c r="K4806" s="2" t="s">
        <v>5</v>
      </c>
      <c r="L4806" s="2" t="s">
        <v>5</v>
      </c>
      <c r="M4806" s="2" t="s">
        <v>5</v>
      </c>
      <c r="N4806" s="4">
        <v>0</v>
      </c>
    </row>
    <row r="4807" spans="1:14" x14ac:dyDescent="0.25">
      <c r="A4807" s="2" t="s">
        <v>402</v>
      </c>
      <c r="B4807" s="2" t="s">
        <v>403</v>
      </c>
      <c r="C4807" s="3">
        <v>14.23</v>
      </c>
      <c r="D4807" s="4">
        <v>133.762</v>
      </c>
      <c r="E4807" s="4">
        <v>103.879</v>
      </c>
      <c r="F4807" s="4">
        <f t="shared" si="289"/>
        <v>29.882999999999996</v>
      </c>
      <c r="G4807" s="5">
        <f t="shared" si="290"/>
        <v>0.2234042553191489</v>
      </c>
      <c r="H4807" s="2" t="s">
        <v>5</v>
      </c>
      <c r="I4807" s="6" t="s">
        <v>2300</v>
      </c>
      <c r="J4807" s="2" t="s">
        <v>5</v>
      </c>
      <c r="K4807" s="2" t="s">
        <v>5</v>
      </c>
      <c r="L4807" s="2" t="s">
        <v>5</v>
      </c>
      <c r="M4807" s="2" t="s">
        <v>5</v>
      </c>
      <c r="N4807" s="4">
        <v>0</v>
      </c>
    </row>
    <row r="4808" spans="1:14" x14ac:dyDescent="0.25">
      <c r="A4808" s="2" t="s">
        <v>402</v>
      </c>
      <c r="B4808" s="2" t="s">
        <v>403</v>
      </c>
      <c r="C4808" s="3">
        <v>29.3</v>
      </c>
      <c r="D4808" s="4">
        <v>275.42</v>
      </c>
      <c r="E4808" s="4">
        <v>213.89</v>
      </c>
      <c r="F4808" s="4">
        <f t="shared" si="289"/>
        <v>61.53000000000003</v>
      </c>
      <c r="G4808" s="5">
        <f t="shared" si="290"/>
        <v>0.22340425531914904</v>
      </c>
      <c r="H4808" s="2" t="s">
        <v>5</v>
      </c>
      <c r="I4808" s="6" t="s">
        <v>2300</v>
      </c>
      <c r="J4808" s="2" t="s">
        <v>5</v>
      </c>
      <c r="K4808" s="2" t="s">
        <v>5</v>
      </c>
      <c r="L4808" s="2" t="s">
        <v>5</v>
      </c>
      <c r="M4808" s="2" t="s">
        <v>5</v>
      </c>
      <c r="N4808" s="4">
        <v>0</v>
      </c>
    </row>
    <row r="4809" spans="1:14" x14ac:dyDescent="0.25">
      <c r="A4809" s="2" t="s">
        <v>402</v>
      </c>
      <c r="B4809" s="2" t="s">
        <v>403</v>
      </c>
      <c r="C4809" s="3">
        <v>80.81</v>
      </c>
      <c r="D4809" s="4">
        <v>759.61400000000003</v>
      </c>
      <c r="E4809" s="4">
        <v>589.91300000000001</v>
      </c>
      <c r="F4809" s="4">
        <f t="shared" si="289"/>
        <v>169.70100000000002</v>
      </c>
      <c r="G4809" s="5">
        <f t="shared" si="290"/>
        <v>0.22340425531914895</v>
      </c>
      <c r="H4809" s="2" t="s">
        <v>5</v>
      </c>
      <c r="I4809" s="6" t="s">
        <v>2300</v>
      </c>
      <c r="J4809" s="2" t="s">
        <v>5</v>
      </c>
      <c r="K4809" s="2" t="s">
        <v>5</v>
      </c>
      <c r="L4809" s="2" t="s">
        <v>5</v>
      </c>
      <c r="M4809" s="2" t="s">
        <v>5</v>
      </c>
      <c r="N4809" s="4">
        <v>0</v>
      </c>
    </row>
    <row r="4810" spans="1:14" x14ac:dyDescent="0.25">
      <c r="A4810" s="2" t="s">
        <v>402</v>
      </c>
      <c r="B4810" s="2" t="s">
        <v>403</v>
      </c>
      <c r="C4810" s="3">
        <v>32.06</v>
      </c>
      <c r="D4810" s="4">
        <v>301.36399999999998</v>
      </c>
      <c r="E4810" s="4">
        <v>234.03800000000001</v>
      </c>
      <c r="F4810" s="4">
        <f t="shared" si="289"/>
        <v>67.325999999999965</v>
      </c>
      <c r="G4810" s="5">
        <f t="shared" si="290"/>
        <v>0.22340425531914884</v>
      </c>
      <c r="H4810" s="2" t="s">
        <v>5</v>
      </c>
      <c r="I4810" s="6" t="s">
        <v>2300</v>
      </c>
      <c r="J4810" s="2" t="s">
        <v>5</v>
      </c>
      <c r="K4810" s="2" t="s">
        <v>5</v>
      </c>
      <c r="L4810" s="2" t="s">
        <v>5</v>
      </c>
      <c r="M4810" s="2" t="s">
        <v>5</v>
      </c>
      <c r="N4810" s="4">
        <v>0</v>
      </c>
    </row>
    <row r="4811" spans="1:14" x14ac:dyDescent="0.25">
      <c r="A4811" s="2" t="s">
        <v>402</v>
      </c>
      <c r="B4811" s="2" t="s">
        <v>403</v>
      </c>
      <c r="C4811" s="3">
        <v>227.86</v>
      </c>
      <c r="D4811" s="4">
        <v>2141.884</v>
      </c>
      <c r="E4811" s="4">
        <v>1663.3779999999999</v>
      </c>
      <c r="F4811" s="4">
        <f t="shared" si="289"/>
        <v>478.50600000000009</v>
      </c>
      <c r="G4811" s="5">
        <f t="shared" si="290"/>
        <v>0.22340425531914898</v>
      </c>
      <c r="H4811" s="2" t="s">
        <v>5</v>
      </c>
      <c r="I4811" s="6" t="s">
        <v>2300</v>
      </c>
      <c r="J4811" s="2" t="s">
        <v>5</v>
      </c>
      <c r="K4811" s="2" t="s">
        <v>5</v>
      </c>
      <c r="L4811" s="2" t="s">
        <v>5</v>
      </c>
      <c r="M4811" s="2" t="s">
        <v>5</v>
      </c>
      <c r="N4811" s="4">
        <v>0</v>
      </c>
    </row>
    <row r="4812" spans="1:14" x14ac:dyDescent="0.25">
      <c r="A4812" s="2" t="s">
        <v>448</v>
      </c>
      <c r="B4812" s="2" t="s">
        <v>449</v>
      </c>
      <c r="C4812" s="3">
        <v>33.1</v>
      </c>
      <c r="D4812" s="4">
        <v>309.48500000000001</v>
      </c>
      <c r="E4812" s="4">
        <v>241.63</v>
      </c>
      <c r="F4812" s="4">
        <f t="shared" si="289"/>
        <v>67.855000000000018</v>
      </c>
      <c r="G4812" s="5">
        <f t="shared" si="290"/>
        <v>0.21925133689839577</v>
      </c>
      <c r="H4812" s="2" t="s">
        <v>5</v>
      </c>
      <c r="I4812" s="6" t="s">
        <v>2300</v>
      </c>
      <c r="J4812" s="2" t="s">
        <v>5</v>
      </c>
      <c r="K4812" s="2" t="s">
        <v>5</v>
      </c>
      <c r="L4812" s="2" t="s">
        <v>5</v>
      </c>
      <c r="M4812" s="2" t="s">
        <v>5</v>
      </c>
      <c r="N4812" s="4">
        <v>0</v>
      </c>
    </row>
    <row r="4813" spans="1:14" x14ac:dyDescent="0.25">
      <c r="A4813" s="2" t="s">
        <v>448</v>
      </c>
      <c r="B4813" s="2" t="s">
        <v>449</v>
      </c>
      <c r="C4813" s="3">
        <v>15.46</v>
      </c>
      <c r="D4813" s="4">
        <v>144.55099999999999</v>
      </c>
      <c r="E4813" s="4">
        <v>112.858</v>
      </c>
      <c r="F4813" s="4">
        <f t="shared" si="289"/>
        <v>31.692999999999984</v>
      </c>
      <c r="G4813" s="5">
        <f t="shared" si="290"/>
        <v>0.21925133689839563</v>
      </c>
      <c r="H4813" s="2" t="s">
        <v>5</v>
      </c>
      <c r="I4813" s="6" t="s">
        <v>2300</v>
      </c>
      <c r="J4813" s="2" t="s">
        <v>5</v>
      </c>
      <c r="K4813" s="2" t="s">
        <v>5</v>
      </c>
      <c r="L4813" s="2" t="s">
        <v>5</v>
      </c>
      <c r="M4813" s="2" t="s">
        <v>5</v>
      </c>
      <c r="N4813" s="4">
        <v>0</v>
      </c>
    </row>
    <row r="4814" spans="1:14" x14ac:dyDescent="0.25">
      <c r="A4814" s="2" t="s">
        <v>448</v>
      </c>
      <c r="B4814" s="2" t="s">
        <v>449</v>
      </c>
      <c r="C4814" s="3">
        <v>44.38</v>
      </c>
      <c r="D4814" s="4">
        <v>414.95299999999997</v>
      </c>
      <c r="E4814" s="4">
        <v>323.97399999999999</v>
      </c>
      <c r="F4814" s="4">
        <f t="shared" si="289"/>
        <v>90.978999999999985</v>
      </c>
      <c r="G4814" s="5">
        <f t="shared" si="290"/>
        <v>0.21925133689839571</v>
      </c>
      <c r="H4814" s="2" t="s">
        <v>5</v>
      </c>
      <c r="I4814" s="6" t="s">
        <v>2300</v>
      </c>
      <c r="J4814" s="2" t="s">
        <v>5</v>
      </c>
      <c r="K4814" s="2" t="s">
        <v>5</v>
      </c>
      <c r="L4814" s="2" t="s">
        <v>5</v>
      </c>
      <c r="M4814" s="2" t="s">
        <v>5</v>
      </c>
      <c r="N4814" s="4">
        <v>0</v>
      </c>
    </row>
    <row r="4815" spans="1:14" x14ac:dyDescent="0.25">
      <c r="A4815" s="2" t="s">
        <v>448</v>
      </c>
      <c r="B4815" s="2" t="s">
        <v>449</v>
      </c>
      <c r="C4815" s="3">
        <v>29.72</v>
      </c>
      <c r="D4815" s="4">
        <v>277.88200000000001</v>
      </c>
      <c r="E4815" s="4">
        <v>216.95599999999999</v>
      </c>
      <c r="F4815" s="4">
        <f t="shared" si="289"/>
        <v>60.926000000000016</v>
      </c>
      <c r="G4815" s="5">
        <f t="shared" si="290"/>
        <v>0.21925133689839577</v>
      </c>
      <c r="H4815" s="2" t="s">
        <v>5</v>
      </c>
      <c r="I4815" s="6" t="s">
        <v>2300</v>
      </c>
      <c r="J4815" s="2" t="s">
        <v>5</v>
      </c>
      <c r="K4815" s="2" t="s">
        <v>5</v>
      </c>
      <c r="L4815" s="2" t="s">
        <v>5</v>
      </c>
      <c r="M4815" s="2" t="s">
        <v>5</v>
      </c>
      <c r="N4815" s="4">
        <v>0</v>
      </c>
    </row>
    <row r="4816" spans="1:14" x14ac:dyDescent="0.25">
      <c r="A4816" s="2" t="s">
        <v>448</v>
      </c>
      <c r="B4816" s="2" t="s">
        <v>449</v>
      </c>
      <c r="C4816" s="3">
        <v>29.4</v>
      </c>
      <c r="D4816" s="4">
        <v>274.89</v>
      </c>
      <c r="E4816" s="4">
        <v>214.62</v>
      </c>
      <c r="F4816" s="4">
        <f t="shared" si="289"/>
        <v>60.269999999999982</v>
      </c>
      <c r="G4816" s="5">
        <f t="shared" si="290"/>
        <v>0.21925133689839565</v>
      </c>
      <c r="H4816" s="2" t="s">
        <v>5</v>
      </c>
      <c r="I4816" s="6" t="s">
        <v>2300</v>
      </c>
      <c r="J4816" s="2" t="s">
        <v>5</v>
      </c>
      <c r="K4816" s="2" t="s">
        <v>5</v>
      </c>
      <c r="L4816" s="2" t="s">
        <v>5</v>
      </c>
      <c r="M4816" s="2" t="s">
        <v>5</v>
      </c>
      <c r="N4816" s="4">
        <v>0</v>
      </c>
    </row>
    <row r="4817" spans="1:14" x14ac:dyDescent="0.25">
      <c r="A4817" s="2" t="s">
        <v>448</v>
      </c>
      <c r="B4817" s="2" t="s">
        <v>449</v>
      </c>
      <c r="C4817" s="3">
        <v>27.58</v>
      </c>
      <c r="D4817" s="4">
        <v>257.87299999999999</v>
      </c>
      <c r="E4817" s="4">
        <v>201.334</v>
      </c>
      <c r="F4817" s="4">
        <f t="shared" si="289"/>
        <v>56.538999999999987</v>
      </c>
      <c r="G4817" s="5">
        <f t="shared" si="290"/>
        <v>0.21925133689839568</v>
      </c>
      <c r="H4817" s="2" t="s">
        <v>5</v>
      </c>
      <c r="I4817" s="6" t="s">
        <v>2300</v>
      </c>
      <c r="J4817" s="2" t="s">
        <v>5</v>
      </c>
      <c r="K4817" s="2" t="s">
        <v>5</v>
      </c>
      <c r="L4817" s="2" t="s">
        <v>5</v>
      </c>
      <c r="M4817" s="2" t="s">
        <v>5</v>
      </c>
      <c r="N4817" s="4">
        <v>0</v>
      </c>
    </row>
    <row r="4818" spans="1:14" x14ac:dyDescent="0.25">
      <c r="A4818" s="2" t="s">
        <v>448</v>
      </c>
      <c r="B4818" s="2" t="s">
        <v>449</v>
      </c>
      <c r="C4818" s="3">
        <v>16.059999999999999</v>
      </c>
      <c r="D4818" s="4">
        <v>150.161</v>
      </c>
      <c r="E4818" s="4">
        <v>117.238</v>
      </c>
      <c r="F4818" s="4">
        <f t="shared" si="289"/>
        <v>32.923000000000002</v>
      </c>
      <c r="G4818" s="5">
        <f t="shared" si="290"/>
        <v>0.21925133689839574</v>
      </c>
      <c r="H4818" s="2" t="s">
        <v>5</v>
      </c>
      <c r="I4818" s="6" t="s">
        <v>2300</v>
      </c>
      <c r="J4818" s="2" t="s">
        <v>5</v>
      </c>
      <c r="K4818" s="2" t="s">
        <v>5</v>
      </c>
      <c r="L4818" s="2" t="s">
        <v>5</v>
      </c>
      <c r="M4818" s="2" t="s">
        <v>5</v>
      </c>
      <c r="N4818" s="4">
        <v>0</v>
      </c>
    </row>
    <row r="4819" spans="1:14" x14ac:dyDescent="0.25">
      <c r="A4819" s="2" t="s">
        <v>448</v>
      </c>
      <c r="B4819" s="2" t="s">
        <v>449</v>
      </c>
      <c r="C4819" s="3">
        <v>43.18</v>
      </c>
      <c r="D4819" s="4">
        <v>403.733</v>
      </c>
      <c r="E4819" s="4">
        <v>315.214</v>
      </c>
      <c r="F4819" s="4">
        <f t="shared" si="289"/>
        <v>88.519000000000005</v>
      </c>
      <c r="G4819" s="5">
        <f t="shared" si="290"/>
        <v>0.21925133689839574</v>
      </c>
      <c r="H4819" s="2" t="s">
        <v>5</v>
      </c>
      <c r="I4819" s="6" t="s">
        <v>2300</v>
      </c>
      <c r="J4819" s="2" t="s">
        <v>5</v>
      </c>
      <c r="K4819" s="2" t="s">
        <v>5</v>
      </c>
      <c r="L4819" s="2" t="s">
        <v>5</v>
      </c>
      <c r="M4819" s="2" t="s">
        <v>5</v>
      </c>
      <c r="N4819" s="4">
        <v>0</v>
      </c>
    </row>
    <row r="4820" spans="1:14" x14ac:dyDescent="0.25">
      <c r="A4820" s="2" t="s">
        <v>448</v>
      </c>
      <c r="B4820" s="2" t="s">
        <v>449</v>
      </c>
      <c r="C4820" s="3">
        <v>15.22</v>
      </c>
      <c r="D4820" s="4">
        <v>142.30699999999999</v>
      </c>
      <c r="E4820" s="4">
        <v>111.10599999999999</v>
      </c>
      <c r="F4820" s="4">
        <f t="shared" si="289"/>
        <v>31.200999999999993</v>
      </c>
      <c r="G4820" s="5">
        <f t="shared" si="290"/>
        <v>0.21925133689839568</v>
      </c>
      <c r="H4820" s="2" t="s">
        <v>5</v>
      </c>
      <c r="I4820" s="6" t="s">
        <v>2300</v>
      </c>
      <c r="J4820" s="2" t="s">
        <v>5</v>
      </c>
      <c r="K4820" s="2" t="s">
        <v>5</v>
      </c>
      <c r="L4820" s="2" t="s">
        <v>5</v>
      </c>
      <c r="M4820" s="2" t="s">
        <v>5</v>
      </c>
      <c r="N4820" s="4">
        <v>0</v>
      </c>
    </row>
    <row r="4821" spans="1:14" x14ac:dyDescent="0.25">
      <c r="A4821" s="2" t="s">
        <v>448</v>
      </c>
      <c r="B4821" s="2" t="s">
        <v>449</v>
      </c>
      <c r="C4821" s="3">
        <v>25.86</v>
      </c>
      <c r="D4821" s="4">
        <v>241.791</v>
      </c>
      <c r="E4821" s="4">
        <v>188.77799999999999</v>
      </c>
      <c r="F4821" s="4">
        <f t="shared" si="289"/>
        <v>53.013000000000005</v>
      </c>
      <c r="G4821" s="5">
        <f t="shared" si="290"/>
        <v>0.21925133689839574</v>
      </c>
      <c r="H4821" s="2" t="s">
        <v>5</v>
      </c>
      <c r="I4821" s="6" t="s">
        <v>2300</v>
      </c>
      <c r="J4821" s="2" t="s">
        <v>5</v>
      </c>
      <c r="K4821" s="2" t="s">
        <v>5</v>
      </c>
      <c r="L4821" s="2" t="s">
        <v>5</v>
      </c>
      <c r="M4821" s="2" t="s">
        <v>5</v>
      </c>
      <c r="N4821" s="4">
        <v>0</v>
      </c>
    </row>
    <row r="4822" spans="1:14" x14ac:dyDescent="0.25">
      <c r="A4822" s="2" t="s">
        <v>448</v>
      </c>
      <c r="B4822" s="2" t="s">
        <v>449</v>
      </c>
      <c r="C4822" s="3">
        <v>31.18</v>
      </c>
      <c r="D4822" s="4">
        <v>291.53300000000002</v>
      </c>
      <c r="E4822" s="4">
        <v>227.614</v>
      </c>
      <c r="F4822" s="4">
        <f t="shared" si="289"/>
        <v>63.919000000000011</v>
      </c>
      <c r="G4822" s="5">
        <f t="shared" si="290"/>
        <v>0.21925133689839574</v>
      </c>
      <c r="H4822" s="2" t="s">
        <v>5</v>
      </c>
      <c r="I4822" s="6" t="s">
        <v>2300</v>
      </c>
      <c r="J4822" s="2" t="s">
        <v>5</v>
      </c>
      <c r="K4822" s="2" t="s">
        <v>5</v>
      </c>
      <c r="L4822" s="2" t="s">
        <v>5</v>
      </c>
      <c r="M4822" s="2" t="s">
        <v>5</v>
      </c>
      <c r="N4822" s="4">
        <v>0</v>
      </c>
    </row>
    <row r="4823" spans="1:14" x14ac:dyDescent="0.25">
      <c r="A4823" s="2" t="s">
        <v>448</v>
      </c>
      <c r="B4823" s="2" t="s">
        <v>449</v>
      </c>
      <c r="C4823" s="3">
        <v>17.72</v>
      </c>
      <c r="D4823" s="4">
        <v>165.68199999999999</v>
      </c>
      <c r="E4823" s="4">
        <v>129.35599999999999</v>
      </c>
      <c r="F4823" s="4">
        <f t="shared" si="289"/>
        <v>36.325999999999993</v>
      </c>
      <c r="G4823" s="5">
        <f t="shared" si="290"/>
        <v>0.21925133689839571</v>
      </c>
      <c r="H4823" s="2" t="s">
        <v>5</v>
      </c>
      <c r="I4823" s="6" t="s">
        <v>2300</v>
      </c>
      <c r="J4823" s="2" t="s">
        <v>5</v>
      </c>
      <c r="K4823" s="2" t="s">
        <v>5</v>
      </c>
      <c r="L4823" s="2" t="s">
        <v>5</v>
      </c>
      <c r="M4823" s="2" t="s">
        <v>5</v>
      </c>
      <c r="N4823" s="4">
        <v>0</v>
      </c>
    </row>
    <row r="4824" spans="1:14" x14ac:dyDescent="0.25">
      <c r="A4824" s="2" t="s">
        <v>448</v>
      </c>
      <c r="B4824" s="2" t="s">
        <v>449</v>
      </c>
      <c r="C4824" s="3">
        <v>17.32</v>
      </c>
      <c r="D4824" s="4">
        <v>161.94200000000001</v>
      </c>
      <c r="E4824" s="4">
        <v>126.43600000000001</v>
      </c>
      <c r="F4824" s="4">
        <f t="shared" si="289"/>
        <v>35.506</v>
      </c>
      <c r="G4824" s="5">
        <f t="shared" si="290"/>
        <v>0.21925133689839571</v>
      </c>
      <c r="H4824" s="2" t="s">
        <v>5</v>
      </c>
      <c r="I4824" s="6" t="s">
        <v>2300</v>
      </c>
      <c r="J4824" s="2" t="s">
        <v>5</v>
      </c>
      <c r="K4824" s="2" t="s">
        <v>5</v>
      </c>
      <c r="L4824" s="2" t="s">
        <v>5</v>
      </c>
      <c r="M4824" s="2" t="s">
        <v>5</v>
      </c>
      <c r="N4824" s="4">
        <v>0</v>
      </c>
    </row>
    <row r="4825" spans="1:14" x14ac:dyDescent="0.25">
      <c r="A4825" s="2" t="s">
        <v>448</v>
      </c>
      <c r="B4825" s="2" t="s">
        <v>449</v>
      </c>
      <c r="C4825" s="3">
        <v>17.54</v>
      </c>
      <c r="D4825" s="4">
        <v>163.999</v>
      </c>
      <c r="E4825" s="4">
        <v>128.042</v>
      </c>
      <c r="F4825" s="4">
        <f t="shared" si="289"/>
        <v>35.956999999999994</v>
      </c>
      <c r="G4825" s="5">
        <f t="shared" si="290"/>
        <v>0.21925133689839568</v>
      </c>
      <c r="H4825" s="2" t="s">
        <v>5</v>
      </c>
      <c r="I4825" s="6" t="s">
        <v>2300</v>
      </c>
      <c r="J4825" s="2" t="s">
        <v>5</v>
      </c>
      <c r="K4825" s="2" t="s">
        <v>5</v>
      </c>
      <c r="L4825" s="2" t="s">
        <v>5</v>
      </c>
      <c r="M4825" s="2" t="s">
        <v>5</v>
      </c>
      <c r="N4825" s="4">
        <v>0</v>
      </c>
    </row>
    <row r="4826" spans="1:14" x14ac:dyDescent="0.25">
      <c r="A4826" s="2" t="s">
        <v>450</v>
      </c>
      <c r="B4826" s="2" t="s">
        <v>451</v>
      </c>
      <c r="C4826" s="3">
        <v>21.66</v>
      </c>
      <c r="D4826" s="4">
        <v>215.0838</v>
      </c>
      <c r="E4826" s="4">
        <v>175.446</v>
      </c>
      <c r="F4826" s="4">
        <f t="shared" si="289"/>
        <v>39.637799999999999</v>
      </c>
      <c r="G4826" s="5">
        <f t="shared" si="290"/>
        <v>0.18429003021148035</v>
      </c>
      <c r="H4826" s="2" t="s">
        <v>5</v>
      </c>
      <c r="I4826" s="6" t="s">
        <v>2300</v>
      </c>
      <c r="J4826" s="2" t="s">
        <v>5</v>
      </c>
      <c r="K4826" s="2" t="s">
        <v>5</v>
      </c>
      <c r="L4826" s="2" t="s">
        <v>5</v>
      </c>
      <c r="M4826" s="2" t="s">
        <v>5</v>
      </c>
      <c r="N4826" s="4">
        <v>0</v>
      </c>
    </row>
    <row r="4827" spans="1:14" x14ac:dyDescent="0.25">
      <c r="A4827" s="2" t="s">
        <v>450</v>
      </c>
      <c r="B4827" s="2" t="s">
        <v>451</v>
      </c>
      <c r="C4827" s="3">
        <v>44.42</v>
      </c>
      <c r="D4827" s="4">
        <v>441.09059999999999</v>
      </c>
      <c r="E4827" s="4">
        <v>359.80200000000002</v>
      </c>
      <c r="F4827" s="4">
        <f t="shared" si="289"/>
        <v>81.288599999999974</v>
      </c>
      <c r="G4827" s="5">
        <f t="shared" si="290"/>
        <v>0.1842900302114803</v>
      </c>
      <c r="H4827" s="2" t="s">
        <v>5</v>
      </c>
      <c r="I4827" s="6" t="s">
        <v>2300</v>
      </c>
      <c r="J4827" s="2" t="s">
        <v>5</v>
      </c>
      <c r="K4827" s="2" t="s">
        <v>5</v>
      </c>
      <c r="L4827" s="2" t="s">
        <v>5</v>
      </c>
      <c r="M4827" s="2" t="s">
        <v>5</v>
      </c>
      <c r="N4827" s="4">
        <v>0</v>
      </c>
    </row>
    <row r="4828" spans="1:14" x14ac:dyDescent="0.25">
      <c r="A4828" s="2" t="s">
        <v>450</v>
      </c>
      <c r="B4828" s="2" t="s">
        <v>451</v>
      </c>
      <c r="C4828" s="3">
        <v>305.22000000000003</v>
      </c>
      <c r="D4828" s="4">
        <v>3030.8346000000001</v>
      </c>
      <c r="E4828" s="4">
        <v>2472.2820000000002</v>
      </c>
      <c r="F4828" s="4">
        <f t="shared" si="289"/>
        <v>558.55259999999998</v>
      </c>
      <c r="G4828" s="5">
        <f t="shared" si="290"/>
        <v>0.18429003021148035</v>
      </c>
      <c r="H4828" s="2" t="s">
        <v>5</v>
      </c>
      <c r="I4828" s="6" t="s">
        <v>2300</v>
      </c>
      <c r="J4828" s="2" t="s">
        <v>5</v>
      </c>
      <c r="K4828" s="2" t="s">
        <v>5</v>
      </c>
      <c r="L4828" s="2" t="s">
        <v>5</v>
      </c>
      <c r="M4828" s="2" t="s">
        <v>5</v>
      </c>
      <c r="N4828" s="4">
        <v>0</v>
      </c>
    </row>
    <row r="4829" spans="1:14" x14ac:dyDescent="0.25">
      <c r="A4829" s="2" t="s">
        <v>404</v>
      </c>
      <c r="B4829" s="2" t="s">
        <v>405</v>
      </c>
      <c r="C4829" s="3">
        <v>29.62</v>
      </c>
      <c r="D4829" s="4">
        <v>238.1448</v>
      </c>
      <c r="E4829" s="4">
        <v>210.30199999999999</v>
      </c>
      <c r="F4829" s="4">
        <f t="shared" si="289"/>
        <v>27.842800000000011</v>
      </c>
      <c r="G4829" s="5">
        <f t="shared" si="290"/>
        <v>0.11691542288557219</v>
      </c>
      <c r="H4829" s="2" t="s">
        <v>5</v>
      </c>
      <c r="I4829" s="6" t="s">
        <v>2300</v>
      </c>
      <c r="J4829" s="2" t="s">
        <v>5</v>
      </c>
      <c r="K4829" s="2" t="s">
        <v>5</v>
      </c>
      <c r="L4829" s="2" t="s">
        <v>5</v>
      </c>
      <c r="M4829" s="2" t="s">
        <v>5</v>
      </c>
      <c r="N4829" s="4">
        <v>0</v>
      </c>
    </row>
    <row r="4830" spans="1:14" x14ac:dyDescent="0.25">
      <c r="A4830" s="2" t="s">
        <v>404</v>
      </c>
      <c r="B4830" s="2" t="s">
        <v>405</v>
      </c>
      <c r="C4830" s="3">
        <v>29.23</v>
      </c>
      <c r="D4830" s="4">
        <v>235.00919999999999</v>
      </c>
      <c r="E4830" s="4">
        <v>207.53299999999999</v>
      </c>
      <c r="F4830" s="4">
        <f t="shared" si="289"/>
        <v>27.476200000000006</v>
      </c>
      <c r="G4830" s="5">
        <f t="shared" si="290"/>
        <v>0.11691542288557216</v>
      </c>
      <c r="H4830" s="2" t="s">
        <v>5</v>
      </c>
      <c r="I4830" s="6" t="s">
        <v>2300</v>
      </c>
      <c r="J4830" s="2" t="s">
        <v>5</v>
      </c>
      <c r="K4830" s="2" t="s">
        <v>5</v>
      </c>
      <c r="L4830" s="2" t="s">
        <v>5</v>
      </c>
      <c r="M4830" s="2" t="s">
        <v>5</v>
      </c>
      <c r="N4830" s="4">
        <v>0</v>
      </c>
    </row>
    <row r="4831" spans="1:14" x14ac:dyDescent="0.25">
      <c r="A4831" s="2" t="s">
        <v>404</v>
      </c>
      <c r="B4831" s="2" t="s">
        <v>405</v>
      </c>
      <c r="C4831" s="3">
        <v>28.61</v>
      </c>
      <c r="D4831" s="4">
        <v>230.02440000000001</v>
      </c>
      <c r="E4831" s="4">
        <v>203.131</v>
      </c>
      <c r="F4831" s="4">
        <f t="shared" si="289"/>
        <v>26.893400000000014</v>
      </c>
      <c r="G4831" s="5">
        <f t="shared" si="290"/>
        <v>0.11691542288557219</v>
      </c>
      <c r="H4831" s="2" t="s">
        <v>5</v>
      </c>
      <c r="I4831" s="6" t="s">
        <v>2300</v>
      </c>
      <c r="J4831" s="2" t="s">
        <v>5</v>
      </c>
      <c r="K4831" s="2" t="s">
        <v>5</v>
      </c>
      <c r="L4831" s="2" t="s">
        <v>5</v>
      </c>
      <c r="M4831" s="2" t="s">
        <v>5</v>
      </c>
      <c r="N4831" s="4">
        <v>0</v>
      </c>
    </row>
    <row r="4832" spans="1:14" x14ac:dyDescent="0.25">
      <c r="A4832" s="2" t="s">
        <v>404</v>
      </c>
      <c r="B4832" s="2" t="s">
        <v>405</v>
      </c>
      <c r="C4832" s="3">
        <v>15.55</v>
      </c>
      <c r="D4832" s="4">
        <v>125.02200000000001</v>
      </c>
      <c r="E4832" s="4">
        <v>110.405</v>
      </c>
      <c r="F4832" s="4">
        <f t="shared" si="289"/>
        <v>14.617000000000004</v>
      </c>
      <c r="G4832" s="5">
        <f t="shared" si="290"/>
        <v>0.11691542288557218</v>
      </c>
      <c r="H4832" s="2" t="s">
        <v>5</v>
      </c>
      <c r="I4832" s="6" t="s">
        <v>2300</v>
      </c>
      <c r="J4832" s="2" t="s">
        <v>5</v>
      </c>
      <c r="K4832" s="2" t="s">
        <v>5</v>
      </c>
      <c r="L4832" s="2" t="s">
        <v>5</v>
      </c>
      <c r="M4832" s="2" t="s">
        <v>5</v>
      </c>
      <c r="N4832" s="4">
        <v>0</v>
      </c>
    </row>
    <row r="4833" spans="1:14" x14ac:dyDescent="0.25">
      <c r="A4833" s="2" t="s">
        <v>404</v>
      </c>
      <c r="B4833" s="2" t="s">
        <v>405</v>
      </c>
      <c r="C4833" s="3">
        <v>14.53</v>
      </c>
      <c r="D4833" s="4">
        <v>116.8212</v>
      </c>
      <c r="E4833" s="4">
        <v>103.163</v>
      </c>
      <c r="F4833" s="4">
        <f t="shared" ref="F4833:F4896" si="291">D4833-E4833</f>
        <v>13.658200000000008</v>
      </c>
      <c r="G4833" s="5">
        <f t="shared" ref="G4833:G4896" si="292">IF(((D4833)=0),0,(D4833-E4833)/ D4833)</f>
        <v>0.1169154228855722</v>
      </c>
      <c r="H4833" s="2" t="s">
        <v>5</v>
      </c>
      <c r="I4833" s="6" t="s">
        <v>2300</v>
      </c>
      <c r="J4833" s="2" t="s">
        <v>5</v>
      </c>
      <c r="K4833" s="2" t="s">
        <v>5</v>
      </c>
      <c r="L4833" s="2" t="s">
        <v>5</v>
      </c>
      <c r="M4833" s="2" t="s">
        <v>5</v>
      </c>
      <c r="N4833" s="4">
        <v>0</v>
      </c>
    </row>
    <row r="4834" spans="1:14" x14ac:dyDescent="0.25">
      <c r="A4834" s="2" t="s">
        <v>404</v>
      </c>
      <c r="B4834" s="2" t="s">
        <v>405</v>
      </c>
      <c r="C4834" s="3">
        <v>30.32</v>
      </c>
      <c r="D4834" s="4">
        <v>243.77279999999999</v>
      </c>
      <c r="E4834" s="4">
        <v>215.27199999999999</v>
      </c>
      <c r="F4834" s="4">
        <f t="shared" si="291"/>
        <v>28.500799999999998</v>
      </c>
      <c r="G4834" s="5">
        <f t="shared" si="292"/>
        <v>0.11691542288557213</v>
      </c>
      <c r="H4834" s="2" t="s">
        <v>5</v>
      </c>
      <c r="I4834" s="6" t="s">
        <v>2300</v>
      </c>
      <c r="J4834" s="2" t="s">
        <v>5</v>
      </c>
      <c r="K4834" s="2" t="s">
        <v>5</v>
      </c>
      <c r="L4834" s="2" t="s">
        <v>5</v>
      </c>
      <c r="M4834" s="2" t="s">
        <v>5</v>
      </c>
      <c r="N4834" s="4">
        <v>0</v>
      </c>
    </row>
    <row r="4835" spans="1:14" x14ac:dyDescent="0.25">
      <c r="A4835" s="2" t="s">
        <v>2226</v>
      </c>
      <c r="B4835" s="2" t="s">
        <v>2227</v>
      </c>
      <c r="C4835" s="3">
        <v>10.965</v>
      </c>
      <c r="D4835" s="4">
        <v>88.158600000000007</v>
      </c>
      <c r="E4835" s="4">
        <v>77.851500000000001</v>
      </c>
      <c r="F4835" s="4">
        <f t="shared" si="291"/>
        <v>10.307100000000005</v>
      </c>
      <c r="G4835" s="5">
        <f t="shared" si="292"/>
        <v>0.11691542288557219</v>
      </c>
      <c r="H4835" s="2" t="s">
        <v>5</v>
      </c>
      <c r="I4835" s="6" t="s">
        <v>2300</v>
      </c>
      <c r="J4835" s="2" t="s">
        <v>5</v>
      </c>
      <c r="K4835" s="2" t="s">
        <v>5</v>
      </c>
      <c r="L4835" s="2" t="s">
        <v>5</v>
      </c>
      <c r="M4835" s="2" t="s">
        <v>5</v>
      </c>
      <c r="N4835" s="4">
        <v>0</v>
      </c>
    </row>
    <row r="4836" spans="1:14" x14ac:dyDescent="0.25">
      <c r="A4836" s="2" t="s">
        <v>2226</v>
      </c>
      <c r="B4836" s="2" t="s">
        <v>2227</v>
      </c>
      <c r="C4836" s="3">
        <v>14.895</v>
      </c>
      <c r="D4836" s="4">
        <v>119.75579999999999</v>
      </c>
      <c r="E4836" s="4">
        <v>105.75449999999999</v>
      </c>
      <c r="F4836" s="4">
        <f t="shared" si="291"/>
        <v>14.001300000000001</v>
      </c>
      <c r="G4836" s="5">
        <f t="shared" si="292"/>
        <v>0.11691542288557215</v>
      </c>
      <c r="H4836" s="2" t="s">
        <v>5</v>
      </c>
      <c r="I4836" s="6" t="s">
        <v>2300</v>
      </c>
      <c r="J4836" s="2" t="s">
        <v>5</v>
      </c>
      <c r="K4836" s="2" t="s">
        <v>5</v>
      </c>
      <c r="L4836" s="2" t="s">
        <v>5</v>
      </c>
      <c r="M4836" s="2" t="s">
        <v>5</v>
      </c>
      <c r="N4836" s="4">
        <v>0</v>
      </c>
    </row>
    <row r="4837" spans="1:14" x14ac:dyDescent="0.25">
      <c r="A4837" s="2" t="s">
        <v>2226</v>
      </c>
      <c r="B4837" s="2" t="s">
        <v>2227</v>
      </c>
      <c r="C4837" s="3">
        <v>29.184999999999999</v>
      </c>
      <c r="D4837" s="4">
        <v>234.6474</v>
      </c>
      <c r="E4837" s="4">
        <v>207.21350000000001</v>
      </c>
      <c r="F4837" s="4">
        <f t="shared" si="291"/>
        <v>27.433899999999994</v>
      </c>
      <c r="G4837" s="5">
        <f t="shared" si="292"/>
        <v>0.11691542288557211</v>
      </c>
      <c r="H4837" s="2" t="s">
        <v>5</v>
      </c>
      <c r="I4837" s="6" t="s">
        <v>2300</v>
      </c>
      <c r="J4837" s="2" t="s">
        <v>5</v>
      </c>
      <c r="K4837" s="2" t="s">
        <v>5</v>
      </c>
      <c r="L4837" s="2" t="s">
        <v>5</v>
      </c>
      <c r="M4837" s="2" t="s">
        <v>5</v>
      </c>
      <c r="N4837" s="4">
        <v>0</v>
      </c>
    </row>
    <row r="4838" spans="1:14" x14ac:dyDescent="0.25">
      <c r="A4838" s="2" t="s">
        <v>2226</v>
      </c>
      <c r="B4838" s="2" t="s">
        <v>2227</v>
      </c>
      <c r="C4838" s="3">
        <v>22.684999999999999</v>
      </c>
      <c r="D4838" s="4">
        <v>182.38740000000001</v>
      </c>
      <c r="E4838" s="4">
        <v>161.0635</v>
      </c>
      <c r="F4838" s="4">
        <f t="shared" si="291"/>
        <v>21.323900000000009</v>
      </c>
      <c r="G4838" s="5">
        <f t="shared" si="292"/>
        <v>0.11691542288557218</v>
      </c>
      <c r="H4838" s="2" t="s">
        <v>5</v>
      </c>
      <c r="I4838" s="6" t="s">
        <v>2300</v>
      </c>
      <c r="J4838" s="2" t="s">
        <v>5</v>
      </c>
      <c r="K4838" s="2" t="s">
        <v>5</v>
      </c>
      <c r="L4838" s="2" t="s">
        <v>5</v>
      </c>
      <c r="M4838" s="2" t="s">
        <v>5</v>
      </c>
      <c r="N4838" s="4">
        <v>0</v>
      </c>
    </row>
    <row r="4839" spans="1:14" x14ac:dyDescent="0.25">
      <c r="A4839" s="2" t="s">
        <v>482</v>
      </c>
      <c r="B4839" s="2" t="s">
        <v>483</v>
      </c>
      <c r="C4839" s="3">
        <v>10.595000000000001</v>
      </c>
      <c r="D4839" s="4">
        <v>126.82214999999999</v>
      </c>
      <c r="E4839" s="4">
        <v>92.706249999999997</v>
      </c>
      <c r="F4839" s="4">
        <f t="shared" si="291"/>
        <v>34.115899999999996</v>
      </c>
      <c r="G4839" s="5">
        <f t="shared" si="292"/>
        <v>0.26900584795321636</v>
      </c>
      <c r="H4839" s="2" t="s">
        <v>5</v>
      </c>
      <c r="I4839" s="6" t="s">
        <v>2300</v>
      </c>
      <c r="J4839" s="2" t="s">
        <v>5</v>
      </c>
      <c r="K4839" s="2" t="s">
        <v>5</v>
      </c>
      <c r="L4839" s="2" t="s">
        <v>5</v>
      </c>
      <c r="M4839" s="2" t="s">
        <v>5</v>
      </c>
      <c r="N4839" s="4">
        <v>0</v>
      </c>
    </row>
    <row r="4840" spans="1:14" x14ac:dyDescent="0.25">
      <c r="A4840" s="2" t="s">
        <v>406</v>
      </c>
      <c r="B4840" s="2" t="s">
        <v>407</v>
      </c>
      <c r="C4840" s="3">
        <v>30.7</v>
      </c>
      <c r="D4840" s="4">
        <v>337.08600000000001</v>
      </c>
      <c r="E4840" s="4">
        <v>245.6</v>
      </c>
      <c r="F4840" s="4">
        <f t="shared" si="291"/>
        <v>91.486000000000018</v>
      </c>
      <c r="G4840" s="5">
        <f t="shared" si="292"/>
        <v>0.27140255009107472</v>
      </c>
      <c r="H4840" s="2" t="s">
        <v>5</v>
      </c>
      <c r="I4840" s="6" t="s">
        <v>2300</v>
      </c>
      <c r="J4840" s="2" t="s">
        <v>5</v>
      </c>
      <c r="K4840" s="2" t="s">
        <v>5</v>
      </c>
      <c r="L4840" s="2" t="s">
        <v>5</v>
      </c>
      <c r="M4840" s="2" t="s">
        <v>5</v>
      </c>
      <c r="N4840" s="4">
        <v>0</v>
      </c>
    </row>
    <row r="4841" spans="1:14" x14ac:dyDescent="0.25">
      <c r="A4841" s="2" t="s">
        <v>406</v>
      </c>
      <c r="B4841" s="2" t="s">
        <v>407</v>
      </c>
      <c r="C4841" s="3">
        <v>19.899999999999999</v>
      </c>
      <c r="D4841" s="4">
        <v>218.50200000000001</v>
      </c>
      <c r="E4841" s="4">
        <v>149.25</v>
      </c>
      <c r="F4841" s="4">
        <f t="shared" si="291"/>
        <v>69.25200000000001</v>
      </c>
      <c r="G4841" s="5">
        <f t="shared" si="292"/>
        <v>0.31693989071038253</v>
      </c>
      <c r="H4841" s="2" t="s">
        <v>5</v>
      </c>
      <c r="I4841" s="6" t="s">
        <v>2300</v>
      </c>
      <c r="J4841" s="2" t="s">
        <v>5</v>
      </c>
      <c r="K4841" s="2" t="s">
        <v>5</v>
      </c>
      <c r="L4841" s="2" t="s">
        <v>5</v>
      </c>
      <c r="M4841" s="2" t="s">
        <v>5</v>
      </c>
      <c r="N4841" s="4">
        <v>0</v>
      </c>
    </row>
    <row r="4842" spans="1:14" x14ac:dyDescent="0.25">
      <c r="A4842" s="2" t="s">
        <v>408</v>
      </c>
      <c r="B4842" s="2" t="s">
        <v>409</v>
      </c>
      <c r="C4842" s="3">
        <v>36.335000000000001</v>
      </c>
      <c r="D4842" s="4">
        <v>639.49599999999998</v>
      </c>
      <c r="E4842" s="4">
        <v>499.60624999999999</v>
      </c>
      <c r="F4842" s="4">
        <f t="shared" si="291"/>
        <v>139.88974999999999</v>
      </c>
      <c r="G4842" s="5">
        <f t="shared" si="292"/>
        <v>0.21875</v>
      </c>
      <c r="H4842" s="2" t="s">
        <v>5</v>
      </c>
      <c r="I4842" s="6" t="s">
        <v>2300</v>
      </c>
      <c r="J4842" s="2" t="s">
        <v>5</v>
      </c>
      <c r="K4842" s="2" t="s">
        <v>5</v>
      </c>
      <c r="L4842" s="2" t="s">
        <v>5</v>
      </c>
      <c r="M4842" s="2" t="s">
        <v>5</v>
      </c>
      <c r="N4842" s="4">
        <v>0</v>
      </c>
    </row>
    <row r="4843" spans="1:14" x14ac:dyDescent="0.25">
      <c r="A4843" s="2" t="s">
        <v>408</v>
      </c>
      <c r="B4843" s="2" t="s">
        <v>409</v>
      </c>
      <c r="C4843" s="3">
        <v>15.48</v>
      </c>
      <c r="D4843" s="4">
        <v>272.44799999999998</v>
      </c>
      <c r="E4843" s="4">
        <v>212.85</v>
      </c>
      <c r="F4843" s="4">
        <f t="shared" si="291"/>
        <v>59.597999999999985</v>
      </c>
      <c r="G4843" s="5">
        <f t="shared" si="292"/>
        <v>0.21874999999999997</v>
      </c>
      <c r="H4843" s="2" t="s">
        <v>5</v>
      </c>
      <c r="I4843" s="6" t="s">
        <v>2300</v>
      </c>
      <c r="J4843" s="2" t="s">
        <v>5</v>
      </c>
      <c r="K4843" s="2" t="s">
        <v>5</v>
      </c>
      <c r="L4843" s="2" t="s">
        <v>5</v>
      </c>
      <c r="M4843" s="2" t="s">
        <v>5</v>
      </c>
      <c r="N4843" s="4">
        <v>0</v>
      </c>
    </row>
    <row r="4844" spans="1:14" x14ac:dyDescent="0.25">
      <c r="A4844" s="2" t="s">
        <v>408</v>
      </c>
      <c r="B4844" s="2" t="s">
        <v>409</v>
      </c>
      <c r="C4844" s="3">
        <v>70.174999999999997</v>
      </c>
      <c r="D4844" s="4">
        <v>1235.08</v>
      </c>
      <c r="E4844" s="4">
        <v>964.90625</v>
      </c>
      <c r="F4844" s="4">
        <f t="shared" si="291"/>
        <v>270.17374999999993</v>
      </c>
      <c r="G4844" s="5">
        <f t="shared" si="292"/>
        <v>0.21874999999999994</v>
      </c>
      <c r="H4844" s="2" t="s">
        <v>5</v>
      </c>
      <c r="I4844" s="6" t="s">
        <v>2300</v>
      </c>
      <c r="J4844" s="2" t="s">
        <v>5</v>
      </c>
      <c r="K4844" s="2" t="s">
        <v>5</v>
      </c>
      <c r="L4844" s="2" t="s">
        <v>5</v>
      </c>
      <c r="M4844" s="2" t="s">
        <v>5</v>
      </c>
      <c r="N4844" s="4">
        <v>0</v>
      </c>
    </row>
    <row r="4845" spans="1:14" x14ac:dyDescent="0.25">
      <c r="A4845" s="2" t="s">
        <v>408</v>
      </c>
      <c r="B4845" s="2" t="s">
        <v>409</v>
      </c>
      <c r="C4845" s="3">
        <v>74.28</v>
      </c>
      <c r="D4845" s="4">
        <v>1307.328</v>
      </c>
      <c r="E4845" s="4">
        <v>1021.35</v>
      </c>
      <c r="F4845" s="4">
        <f t="shared" si="291"/>
        <v>285.97799999999995</v>
      </c>
      <c r="G4845" s="5">
        <f t="shared" si="292"/>
        <v>0.21874999999999997</v>
      </c>
      <c r="H4845" s="2" t="s">
        <v>5</v>
      </c>
      <c r="I4845" s="6" t="s">
        <v>2300</v>
      </c>
      <c r="J4845" s="2" t="s">
        <v>5</v>
      </c>
      <c r="K4845" s="2" t="s">
        <v>5</v>
      </c>
      <c r="L4845" s="2" t="s">
        <v>5</v>
      </c>
      <c r="M4845" s="2" t="s">
        <v>5</v>
      </c>
      <c r="N4845" s="4">
        <v>0</v>
      </c>
    </row>
    <row r="4846" spans="1:14" x14ac:dyDescent="0.25">
      <c r="A4846" s="2" t="s">
        <v>408</v>
      </c>
      <c r="B4846" s="2" t="s">
        <v>409</v>
      </c>
      <c r="C4846" s="3">
        <v>86.855000000000004</v>
      </c>
      <c r="D4846" s="4">
        <v>1528.6479999999999</v>
      </c>
      <c r="E4846" s="4">
        <v>1194.2562499999999</v>
      </c>
      <c r="F4846" s="4">
        <f t="shared" si="291"/>
        <v>334.39175</v>
      </c>
      <c r="G4846" s="5">
        <f t="shared" si="292"/>
        <v>0.21875000000000003</v>
      </c>
      <c r="H4846" s="2" t="s">
        <v>5</v>
      </c>
      <c r="I4846" s="6" t="s">
        <v>2300</v>
      </c>
      <c r="J4846" s="2" t="s">
        <v>5</v>
      </c>
      <c r="K4846" s="2" t="s">
        <v>5</v>
      </c>
      <c r="L4846" s="2" t="s">
        <v>5</v>
      </c>
      <c r="M4846" s="2" t="s">
        <v>5</v>
      </c>
      <c r="N4846" s="4">
        <v>0</v>
      </c>
    </row>
    <row r="4847" spans="1:14" x14ac:dyDescent="0.25">
      <c r="A4847" s="2" t="s">
        <v>408</v>
      </c>
      <c r="B4847" s="2" t="s">
        <v>409</v>
      </c>
      <c r="C4847" s="3">
        <v>11.015000000000001</v>
      </c>
      <c r="D4847" s="4">
        <v>193.864</v>
      </c>
      <c r="E4847" s="4">
        <v>151.45625000000001</v>
      </c>
      <c r="F4847" s="4">
        <f t="shared" si="291"/>
        <v>42.407749999999993</v>
      </c>
      <c r="G4847" s="5">
        <f t="shared" si="292"/>
        <v>0.21874999999999997</v>
      </c>
      <c r="H4847" s="2" t="s">
        <v>5</v>
      </c>
      <c r="I4847" s="6" t="s">
        <v>2300</v>
      </c>
      <c r="J4847" s="2" t="s">
        <v>5</v>
      </c>
      <c r="K4847" s="2" t="s">
        <v>5</v>
      </c>
      <c r="L4847" s="2" t="s">
        <v>5</v>
      </c>
      <c r="M4847" s="2" t="s">
        <v>5</v>
      </c>
      <c r="N4847" s="4">
        <v>0</v>
      </c>
    </row>
    <row r="4848" spans="1:14" x14ac:dyDescent="0.25">
      <c r="A4848" s="2" t="s">
        <v>408</v>
      </c>
      <c r="B4848" s="2" t="s">
        <v>409</v>
      </c>
      <c r="C4848" s="3">
        <v>123.745</v>
      </c>
      <c r="D4848" s="4">
        <v>2177.9119999999998</v>
      </c>
      <c r="E4848" s="4">
        <v>1701.4937500000001</v>
      </c>
      <c r="F4848" s="4">
        <f t="shared" si="291"/>
        <v>476.41824999999972</v>
      </c>
      <c r="G4848" s="5">
        <f t="shared" si="292"/>
        <v>0.21874999999999989</v>
      </c>
      <c r="H4848" s="2" t="s">
        <v>5</v>
      </c>
      <c r="I4848" s="6" t="s">
        <v>2300</v>
      </c>
      <c r="J4848" s="2" t="s">
        <v>5</v>
      </c>
      <c r="K4848" s="2" t="s">
        <v>5</v>
      </c>
      <c r="L4848" s="2" t="s">
        <v>5</v>
      </c>
      <c r="M4848" s="2" t="s">
        <v>5</v>
      </c>
      <c r="N4848" s="4">
        <v>0</v>
      </c>
    </row>
    <row r="4849" spans="1:14" x14ac:dyDescent="0.25">
      <c r="A4849" s="2" t="s">
        <v>408</v>
      </c>
      <c r="B4849" s="2" t="s">
        <v>409</v>
      </c>
      <c r="C4849" s="3">
        <v>16.135000000000002</v>
      </c>
      <c r="D4849" s="4">
        <v>283.976</v>
      </c>
      <c r="E4849" s="4">
        <v>221.85624999999999</v>
      </c>
      <c r="F4849" s="4">
        <f t="shared" si="291"/>
        <v>62.11975000000001</v>
      </c>
      <c r="G4849" s="5">
        <f t="shared" si="292"/>
        <v>0.21875000000000003</v>
      </c>
      <c r="H4849" s="2" t="s">
        <v>5</v>
      </c>
      <c r="I4849" s="6" t="s">
        <v>2300</v>
      </c>
      <c r="J4849" s="2" t="s">
        <v>5</v>
      </c>
      <c r="K4849" s="2" t="s">
        <v>5</v>
      </c>
      <c r="L4849" s="2" t="s">
        <v>5</v>
      </c>
      <c r="M4849" s="2" t="s">
        <v>5</v>
      </c>
      <c r="N4849" s="4">
        <v>0</v>
      </c>
    </row>
    <row r="4850" spans="1:14" x14ac:dyDescent="0.25">
      <c r="A4850" s="2" t="s">
        <v>408</v>
      </c>
      <c r="B4850" s="2" t="s">
        <v>409</v>
      </c>
      <c r="C4850" s="3">
        <v>55.82</v>
      </c>
      <c r="D4850" s="4">
        <v>982.43200000000002</v>
      </c>
      <c r="E4850" s="4">
        <v>767.52499999999998</v>
      </c>
      <c r="F4850" s="4">
        <f t="shared" si="291"/>
        <v>214.90700000000004</v>
      </c>
      <c r="G4850" s="5">
        <f t="shared" si="292"/>
        <v>0.21875000000000003</v>
      </c>
      <c r="H4850" s="2" t="s">
        <v>5</v>
      </c>
      <c r="I4850" s="6" t="s">
        <v>2300</v>
      </c>
      <c r="J4850" s="2" t="s">
        <v>5</v>
      </c>
      <c r="K4850" s="2" t="s">
        <v>5</v>
      </c>
      <c r="L4850" s="2" t="s">
        <v>5</v>
      </c>
      <c r="M4850" s="2" t="s">
        <v>5</v>
      </c>
      <c r="N4850" s="4">
        <v>0</v>
      </c>
    </row>
    <row r="4851" spans="1:14" x14ac:dyDescent="0.25">
      <c r="A4851" s="2" t="s">
        <v>408</v>
      </c>
      <c r="B4851" s="2" t="s">
        <v>409</v>
      </c>
      <c r="C4851" s="3">
        <v>224.39400000000001</v>
      </c>
      <c r="D4851" s="4">
        <v>3949.3344000000002</v>
      </c>
      <c r="E4851" s="4">
        <v>3085.4175</v>
      </c>
      <c r="F4851" s="4">
        <f t="shared" si="291"/>
        <v>863.91690000000017</v>
      </c>
      <c r="G4851" s="5">
        <f t="shared" si="292"/>
        <v>0.21875000000000003</v>
      </c>
      <c r="H4851" s="2" t="s">
        <v>5</v>
      </c>
      <c r="I4851" s="6" t="s">
        <v>2300</v>
      </c>
      <c r="J4851" s="2" t="s">
        <v>5</v>
      </c>
      <c r="K4851" s="2" t="s">
        <v>5</v>
      </c>
      <c r="L4851" s="2" t="s">
        <v>5</v>
      </c>
      <c r="M4851" s="2" t="s">
        <v>5</v>
      </c>
      <c r="N4851" s="4">
        <v>0</v>
      </c>
    </row>
    <row r="4852" spans="1:14" x14ac:dyDescent="0.25">
      <c r="A4852" s="2" t="s">
        <v>408</v>
      </c>
      <c r="B4852" s="2" t="s">
        <v>409</v>
      </c>
      <c r="C4852" s="3">
        <v>174.42</v>
      </c>
      <c r="D4852" s="4">
        <v>3069.7919999999999</v>
      </c>
      <c r="E4852" s="4">
        <v>2398.2750000000001</v>
      </c>
      <c r="F4852" s="4">
        <f t="shared" si="291"/>
        <v>671.51699999999983</v>
      </c>
      <c r="G4852" s="5">
        <f t="shared" si="292"/>
        <v>0.21874999999999994</v>
      </c>
      <c r="H4852" s="2" t="s">
        <v>5</v>
      </c>
      <c r="I4852" s="6" t="s">
        <v>2300</v>
      </c>
      <c r="J4852" s="2" t="s">
        <v>5</v>
      </c>
      <c r="K4852" s="2" t="s">
        <v>5</v>
      </c>
      <c r="L4852" s="2" t="s">
        <v>5</v>
      </c>
      <c r="M4852" s="2" t="s">
        <v>5</v>
      </c>
      <c r="N4852" s="4">
        <v>0</v>
      </c>
    </row>
    <row r="4853" spans="1:14" x14ac:dyDescent="0.25">
      <c r="A4853" s="2" t="s">
        <v>408</v>
      </c>
      <c r="B4853" s="2" t="s">
        <v>409</v>
      </c>
      <c r="C4853" s="3">
        <v>35.305</v>
      </c>
      <c r="D4853" s="4">
        <v>621.36800000000005</v>
      </c>
      <c r="E4853" s="4">
        <v>485.44375000000002</v>
      </c>
      <c r="F4853" s="4">
        <f t="shared" si="291"/>
        <v>135.92425000000003</v>
      </c>
      <c r="G4853" s="5">
        <f t="shared" si="292"/>
        <v>0.21875000000000003</v>
      </c>
      <c r="H4853" s="2" t="s">
        <v>5</v>
      </c>
      <c r="I4853" s="6" t="s">
        <v>2300</v>
      </c>
      <c r="J4853" s="2" t="s">
        <v>5</v>
      </c>
      <c r="K4853" s="2" t="s">
        <v>5</v>
      </c>
      <c r="L4853" s="2" t="s">
        <v>5</v>
      </c>
      <c r="M4853" s="2" t="s">
        <v>5</v>
      </c>
      <c r="N4853" s="4">
        <v>0</v>
      </c>
    </row>
    <row r="4854" spans="1:14" x14ac:dyDescent="0.25">
      <c r="A4854" s="2" t="s">
        <v>408</v>
      </c>
      <c r="B4854" s="2" t="s">
        <v>409</v>
      </c>
      <c r="C4854" s="3">
        <v>31.26</v>
      </c>
      <c r="D4854" s="4">
        <v>550.17600000000004</v>
      </c>
      <c r="E4854" s="4">
        <v>429.82499999999999</v>
      </c>
      <c r="F4854" s="4">
        <f t="shared" si="291"/>
        <v>120.35100000000006</v>
      </c>
      <c r="G4854" s="5">
        <f t="shared" si="292"/>
        <v>0.21875000000000008</v>
      </c>
      <c r="H4854" s="2" t="s">
        <v>5</v>
      </c>
      <c r="I4854" s="6" t="s">
        <v>2300</v>
      </c>
      <c r="J4854" s="2" t="s">
        <v>5</v>
      </c>
      <c r="K4854" s="2" t="s">
        <v>5</v>
      </c>
      <c r="L4854" s="2" t="s">
        <v>5</v>
      </c>
      <c r="M4854" s="2" t="s">
        <v>5</v>
      </c>
      <c r="N4854" s="4">
        <v>0</v>
      </c>
    </row>
    <row r="4855" spans="1:14" x14ac:dyDescent="0.25">
      <c r="A4855" s="2" t="s">
        <v>408</v>
      </c>
      <c r="B4855" s="2" t="s">
        <v>409</v>
      </c>
      <c r="C4855" s="3">
        <v>63.784999999999997</v>
      </c>
      <c r="D4855" s="4">
        <v>1122.616</v>
      </c>
      <c r="E4855" s="4">
        <v>877.04375000000005</v>
      </c>
      <c r="F4855" s="4">
        <f t="shared" si="291"/>
        <v>245.57224999999994</v>
      </c>
      <c r="G4855" s="5">
        <f t="shared" si="292"/>
        <v>0.21874999999999994</v>
      </c>
      <c r="H4855" s="2" t="s">
        <v>5</v>
      </c>
      <c r="I4855" s="6" t="s">
        <v>2300</v>
      </c>
      <c r="J4855" s="2" t="s">
        <v>5</v>
      </c>
      <c r="K4855" s="2" t="s">
        <v>5</v>
      </c>
      <c r="L4855" s="2" t="s">
        <v>5</v>
      </c>
      <c r="M4855" s="2" t="s">
        <v>5</v>
      </c>
      <c r="N4855" s="4">
        <v>0</v>
      </c>
    </row>
    <row r="4856" spans="1:14" x14ac:dyDescent="0.25">
      <c r="A4856" s="2" t="s">
        <v>408</v>
      </c>
      <c r="B4856" s="2" t="s">
        <v>409</v>
      </c>
      <c r="C4856" s="3">
        <v>174.58500000000001</v>
      </c>
      <c r="D4856" s="4">
        <v>3072.6959999999999</v>
      </c>
      <c r="E4856" s="4">
        <v>2400.5437499999998</v>
      </c>
      <c r="F4856" s="4">
        <f t="shared" si="291"/>
        <v>672.15225000000009</v>
      </c>
      <c r="G4856" s="5">
        <f t="shared" si="292"/>
        <v>0.21875000000000003</v>
      </c>
      <c r="H4856" s="2" t="s">
        <v>5</v>
      </c>
      <c r="I4856" s="6" t="s">
        <v>2300</v>
      </c>
      <c r="J4856" s="2" t="s">
        <v>5</v>
      </c>
      <c r="K4856" s="2" t="s">
        <v>5</v>
      </c>
      <c r="L4856" s="2" t="s">
        <v>5</v>
      </c>
      <c r="M4856" s="2" t="s">
        <v>5</v>
      </c>
      <c r="N4856" s="4">
        <v>0</v>
      </c>
    </row>
    <row r="4857" spans="1:14" x14ac:dyDescent="0.25">
      <c r="A4857" s="2" t="s">
        <v>408</v>
      </c>
      <c r="B4857" s="2" t="s">
        <v>409</v>
      </c>
      <c r="C4857" s="3">
        <v>80.125</v>
      </c>
      <c r="D4857" s="4">
        <v>1410.2</v>
      </c>
      <c r="E4857" s="4">
        <v>1101.71875</v>
      </c>
      <c r="F4857" s="4">
        <f t="shared" si="291"/>
        <v>308.48125000000005</v>
      </c>
      <c r="G4857" s="5">
        <f t="shared" si="292"/>
        <v>0.21875000000000003</v>
      </c>
      <c r="H4857" s="2" t="s">
        <v>5</v>
      </c>
      <c r="I4857" s="6" t="s">
        <v>2300</v>
      </c>
      <c r="J4857" s="2" t="s">
        <v>5</v>
      </c>
      <c r="K4857" s="2" t="s">
        <v>5</v>
      </c>
      <c r="L4857" s="2" t="s">
        <v>5</v>
      </c>
      <c r="M4857" s="2" t="s">
        <v>5</v>
      </c>
      <c r="N4857" s="4">
        <v>0</v>
      </c>
    </row>
    <row r="4858" spans="1:14" x14ac:dyDescent="0.25">
      <c r="A4858" s="2" t="s">
        <v>408</v>
      </c>
      <c r="B4858" s="2" t="s">
        <v>409</v>
      </c>
      <c r="C4858" s="3">
        <v>59.66</v>
      </c>
      <c r="D4858" s="4">
        <v>1050.0160000000001</v>
      </c>
      <c r="E4858" s="4">
        <v>820.32500000000005</v>
      </c>
      <c r="F4858" s="4">
        <f t="shared" si="291"/>
        <v>229.69100000000003</v>
      </c>
      <c r="G4858" s="5">
        <f t="shared" si="292"/>
        <v>0.21875</v>
      </c>
      <c r="H4858" s="2" t="s">
        <v>5</v>
      </c>
      <c r="I4858" s="6" t="s">
        <v>2300</v>
      </c>
      <c r="J4858" s="2" t="s">
        <v>5</v>
      </c>
      <c r="K4858" s="2" t="s">
        <v>5</v>
      </c>
      <c r="L4858" s="2" t="s">
        <v>5</v>
      </c>
      <c r="M4858" s="2" t="s">
        <v>5</v>
      </c>
      <c r="N4858" s="4">
        <v>0</v>
      </c>
    </row>
    <row r="4859" spans="1:14" x14ac:dyDescent="0.25">
      <c r="A4859" s="2" t="s">
        <v>408</v>
      </c>
      <c r="B4859" s="2" t="s">
        <v>409</v>
      </c>
      <c r="C4859" s="3">
        <v>27.7</v>
      </c>
      <c r="D4859" s="4">
        <v>487.52</v>
      </c>
      <c r="E4859" s="4">
        <v>380.875</v>
      </c>
      <c r="F4859" s="4">
        <f t="shared" si="291"/>
        <v>106.64499999999998</v>
      </c>
      <c r="G4859" s="5">
        <f t="shared" si="292"/>
        <v>0.21874999999999997</v>
      </c>
      <c r="H4859" s="2" t="s">
        <v>5</v>
      </c>
      <c r="I4859" s="6" t="s">
        <v>2300</v>
      </c>
      <c r="J4859" s="2" t="s">
        <v>5</v>
      </c>
      <c r="K4859" s="2" t="s">
        <v>5</v>
      </c>
      <c r="L4859" s="2" t="s">
        <v>5</v>
      </c>
      <c r="M4859" s="2" t="s">
        <v>5</v>
      </c>
      <c r="N4859" s="4">
        <v>0</v>
      </c>
    </row>
    <row r="4860" spans="1:14" x14ac:dyDescent="0.25">
      <c r="A4860" s="2" t="s">
        <v>408</v>
      </c>
      <c r="B4860" s="2" t="s">
        <v>409</v>
      </c>
      <c r="C4860" s="3">
        <v>53.52</v>
      </c>
      <c r="D4860" s="4">
        <v>941.952</v>
      </c>
      <c r="E4860" s="4">
        <v>735.9</v>
      </c>
      <c r="F4860" s="4">
        <f t="shared" si="291"/>
        <v>206.05200000000002</v>
      </c>
      <c r="G4860" s="5">
        <f t="shared" si="292"/>
        <v>0.21875000000000003</v>
      </c>
      <c r="H4860" s="2" t="s">
        <v>5</v>
      </c>
      <c r="I4860" s="6" t="s">
        <v>2300</v>
      </c>
      <c r="J4860" s="2" t="s">
        <v>5</v>
      </c>
      <c r="K4860" s="2" t="s">
        <v>5</v>
      </c>
      <c r="L4860" s="2" t="s">
        <v>5</v>
      </c>
      <c r="M4860" s="2" t="s">
        <v>5</v>
      </c>
      <c r="N4860" s="4">
        <v>0</v>
      </c>
    </row>
    <row r="4861" spans="1:14" x14ac:dyDescent="0.25">
      <c r="A4861" s="2" t="s">
        <v>408</v>
      </c>
      <c r="B4861" s="2" t="s">
        <v>409</v>
      </c>
      <c r="C4861" s="3">
        <v>82.734999999999999</v>
      </c>
      <c r="D4861" s="4">
        <v>1456.136</v>
      </c>
      <c r="E4861" s="4">
        <v>1137.60625</v>
      </c>
      <c r="F4861" s="4">
        <f t="shared" si="291"/>
        <v>318.52974999999992</v>
      </c>
      <c r="G4861" s="5">
        <f t="shared" si="292"/>
        <v>0.21874999999999994</v>
      </c>
      <c r="H4861" s="2" t="s">
        <v>5</v>
      </c>
      <c r="I4861" s="6" t="s">
        <v>2300</v>
      </c>
      <c r="J4861" s="2" t="s">
        <v>5</v>
      </c>
      <c r="K4861" s="2" t="s">
        <v>5</v>
      </c>
      <c r="L4861" s="2" t="s">
        <v>5</v>
      </c>
      <c r="M4861" s="2" t="s">
        <v>5</v>
      </c>
      <c r="N4861" s="4">
        <v>0</v>
      </c>
    </row>
    <row r="4862" spans="1:14" x14ac:dyDescent="0.25">
      <c r="A4862" s="2" t="s">
        <v>410</v>
      </c>
      <c r="B4862" s="2" t="s">
        <v>411</v>
      </c>
      <c r="C4862" s="3">
        <v>8</v>
      </c>
      <c r="D4862" s="4">
        <v>168.48</v>
      </c>
      <c r="E4862" s="4">
        <v>131.84</v>
      </c>
      <c r="F4862" s="4">
        <f t="shared" si="291"/>
        <v>36.639999999999986</v>
      </c>
      <c r="G4862" s="5">
        <f t="shared" si="292"/>
        <v>0.21747388414055074</v>
      </c>
      <c r="H4862" s="2" t="s">
        <v>5</v>
      </c>
      <c r="I4862" s="6" t="s">
        <v>2300</v>
      </c>
      <c r="J4862" s="2" t="s">
        <v>5</v>
      </c>
      <c r="K4862" s="2" t="s">
        <v>5</v>
      </c>
      <c r="L4862" s="2" t="s">
        <v>5</v>
      </c>
      <c r="M4862" s="2" t="s">
        <v>5</v>
      </c>
      <c r="N4862" s="4">
        <v>0</v>
      </c>
    </row>
    <row r="4863" spans="1:14" x14ac:dyDescent="0.25">
      <c r="A4863" s="2" t="s">
        <v>410</v>
      </c>
      <c r="B4863" s="2" t="s">
        <v>411</v>
      </c>
      <c r="C4863" s="3">
        <v>8</v>
      </c>
      <c r="D4863" s="4">
        <v>168.48</v>
      </c>
      <c r="E4863" s="4">
        <v>131.84</v>
      </c>
      <c r="F4863" s="4">
        <f t="shared" si="291"/>
        <v>36.639999999999986</v>
      </c>
      <c r="G4863" s="5">
        <f t="shared" si="292"/>
        <v>0.21747388414055074</v>
      </c>
      <c r="H4863" s="2" t="s">
        <v>5</v>
      </c>
      <c r="I4863" s="6" t="s">
        <v>2300</v>
      </c>
      <c r="J4863" s="2" t="s">
        <v>5</v>
      </c>
      <c r="K4863" s="2" t="s">
        <v>5</v>
      </c>
      <c r="L4863" s="2" t="s">
        <v>5</v>
      </c>
      <c r="M4863" s="2" t="s">
        <v>5</v>
      </c>
      <c r="N4863" s="4">
        <v>0</v>
      </c>
    </row>
    <row r="4864" spans="1:14" x14ac:dyDescent="0.25">
      <c r="A4864" s="2" t="s">
        <v>410</v>
      </c>
      <c r="B4864" s="2" t="s">
        <v>411</v>
      </c>
      <c r="C4864" s="3">
        <v>15</v>
      </c>
      <c r="D4864" s="4">
        <v>315.89999999999998</v>
      </c>
      <c r="E4864" s="4">
        <v>247.2</v>
      </c>
      <c r="F4864" s="4">
        <f t="shared" si="291"/>
        <v>68.699999999999989</v>
      </c>
      <c r="G4864" s="5">
        <f t="shared" si="292"/>
        <v>0.2174738841405508</v>
      </c>
      <c r="H4864" s="2" t="s">
        <v>5</v>
      </c>
      <c r="I4864" s="6" t="s">
        <v>2300</v>
      </c>
      <c r="J4864" s="2" t="s">
        <v>5</v>
      </c>
      <c r="K4864" s="2" t="s">
        <v>5</v>
      </c>
      <c r="L4864" s="2" t="s">
        <v>5</v>
      </c>
      <c r="M4864" s="2" t="s">
        <v>5</v>
      </c>
      <c r="N4864" s="4">
        <v>0</v>
      </c>
    </row>
    <row r="4865" spans="1:14" x14ac:dyDescent="0.25">
      <c r="A4865" s="2" t="s">
        <v>410</v>
      </c>
      <c r="B4865" s="2" t="s">
        <v>411</v>
      </c>
      <c r="C4865" s="3">
        <v>4</v>
      </c>
      <c r="D4865" s="4">
        <v>84.24</v>
      </c>
      <c r="E4865" s="4">
        <v>65.92</v>
      </c>
      <c r="F4865" s="4">
        <f t="shared" si="291"/>
        <v>18.319999999999993</v>
      </c>
      <c r="G4865" s="5">
        <f t="shared" si="292"/>
        <v>0.21747388414055074</v>
      </c>
      <c r="H4865" s="2" t="s">
        <v>5</v>
      </c>
      <c r="I4865" s="6" t="s">
        <v>2300</v>
      </c>
      <c r="J4865" s="2" t="s">
        <v>5</v>
      </c>
      <c r="K4865" s="2" t="s">
        <v>5</v>
      </c>
      <c r="L4865" s="2" t="s">
        <v>5</v>
      </c>
      <c r="M4865" s="2" t="s">
        <v>5</v>
      </c>
      <c r="N4865" s="4">
        <v>0</v>
      </c>
    </row>
    <row r="4866" spans="1:14" x14ac:dyDescent="0.25">
      <c r="A4866" s="2" t="s">
        <v>410</v>
      </c>
      <c r="B4866" s="2" t="s">
        <v>411</v>
      </c>
      <c r="C4866" s="3">
        <v>8</v>
      </c>
      <c r="D4866" s="4">
        <v>168.48</v>
      </c>
      <c r="E4866" s="4">
        <v>131.84</v>
      </c>
      <c r="F4866" s="4">
        <f t="shared" si="291"/>
        <v>36.639999999999986</v>
      </c>
      <c r="G4866" s="5">
        <f t="shared" si="292"/>
        <v>0.21747388414055074</v>
      </c>
      <c r="H4866" s="2" t="s">
        <v>5</v>
      </c>
      <c r="I4866" s="6" t="s">
        <v>2300</v>
      </c>
      <c r="J4866" s="2" t="s">
        <v>5</v>
      </c>
      <c r="K4866" s="2" t="s">
        <v>5</v>
      </c>
      <c r="L4866" s="2" t="s">
        <v>5</v>
      </c>
      <c r="M4866" s="2" t="s">
        <v>5</v>
      </c>
      <c r="N4866" s="4">
        <v>0</v>
      </c>
    </row>
    <row r="4867" spans="1:14" x14ac:dyDescent="0.25">
      <c r="A4867" s="2" t="s">
        <v>410</v>
      </c>
      <c r="B4867" s="2" t="s">
        <v>411</v>
      </c>
      <c r="C4867" s="3">
        <v>8</v>
      </c>
      <c r="D4867" s="4">
        <v>168.48</v>
      </c>
      <c r="E4867" s="4">
        <v>131.84</v>
      </c>
      <c r="F4867" s="4">
        <f t="shared" si="291"/>
        <v>36.639999999999986</v>
      </c>
      <c r="G4867" s="5">
        <f t="shared" si="292"/>
        <v>0.21747388414055074</v>
      </c>
      <c r="H4867" s="2" t="s">
        <v>5</v>
      </c>
      <c r="I4867" s="6" t="s">
        <v>2300</v>
      </c>
      <c r="J4867" s="2" t="s">
        <v>5</v>
      </c>
      <c r="K4867" s="2" t="s">
        <v>5</v>
      </c>
      <c r="L4867" s="2" t="s">
        <v>5</v>
      </c>
      <c r="M4867" s="2" t="s">
        <v>5</v>
      </c>
      <c r="N4867" s="4">
        <v>0</v>
      </c>
    </row>
    <row r="4868" spans="1:14" x14ac:dyDescent="0.25">
      <c r="A4868" s="2" t="s">
        <v>410</v>
      </c>
      <c r="B4868" s="2" t="s">
        <v>411</v>
      </c>
      <c r="C4868" s="3">
        <v>4</v>
      </c>
      <c r="D4868" s="4">
        <v>84.24</v>
      </c>
      <c r="E4868" s="4">
        <v>65.92</v>
      </c>
      <c r="F4868" s="4">
        <f t="shared" si="291"/>
        <v>18.319999999999993</v>
      </c>
      <c r="G4868" s="5">
        <f t="shared" si="292"/>
        <v>0.21747388414055074</v>
      </c>
      <c r="H4868" s="2" t="s">
        <v>5</v>
      </c>
      <c r="I4868" s="6" t="s">
        <v>2300</v>
      </c>
      <c r="J4868" s="2" t="s">
        <v>5</v>
      </c>
      <c r="K4868" s="2" t="s">
        <v>5</v>
      </c>
      <c r="L4868" s="2" t="s">
        <v>5</v>
      </c>
      <c r="M4868" s="2" t="s">
        <v>5</v>
      </c>
      <c r="N4868" s="4">
        <v>0</v>
      </c>
    </row>
    <row r="4869" spans="1:14" x14ac:dyDescent="0.25">
      <c r="A4869" s="2" t="s">
        <v>410</v>
      </c>
      <c r="B4869" s="2" t="s">
        <v>411</v>
      </c>
      <c r="C4869" s="3">
        <v>3</v>
      </c>
      <c r="D4869" s="4">
        <v>63.18</v>
      </c>
      <c r="E4869" s="4">
        <v>49.44</v>
      </c>
      <c r="F4869" s="4">
        <f t="shared" si="291"/>
        <v>13.740000000000002</v>
      </c>
      <c r="G4869" s="5">
        <f t="shared" si="292"/>
        <v>0.21747388414055083</v>
      </c>
      <c r="H4869" s="2" t="s">
        <v>5</v>
      </c>
      <c r="I4869" s="6" t="s">
        <v>2300</v>
      </c>
      <c r="J4869" s="2" t="s">
        <v>5</v>
      </c>
      <c r="K4869" s="2" t="s">
        <v>5</v>
      </c>
      <c r="L4869" s="2" t="s">
        <v>5</v>
      </c>
      <c r="M4869" s="2" t="s">
        <v>5</v>
      </c>
      <c r="N4869" s="4">
        <v>0</v>
      </c>
    </row>
    <row r="4870" spans="1:14" x14ac:dyDescent="0.25">
      <c r="A4870" s="2" t="s">
        <v>410</v>
      </c>
      <c r="B4870" s="2" t="s">
        <v>411</v>
      </c>
      <c r="C4870" s="3">
        <v>8</v>
      </c>
      <c r="D4870" s="4">
        <v>168.48</v>
      </c>
      <c r="E4870" s="4">
        <v>131.84</v>
      </c>
      <c r="F4870" s="4">
        <f t="shared" si="291"/>
        <v>36.639999999999986</v>
      </c>
      <c r="G4870" s="5">
        <f t="shared" si="292"/>
        <v>0.21747388414055074</v>
      </c>
      <c r="H4870" s="2" t="s">
        <v>5</v>
      </c>
      <c r="I4870" s="6" t="s">
        <v>2300</v>
      </c>
      <c r="J4870" s="2" t="s">
        <v>5</v>
      </c>
      <c r="K4870" s="2" t="s">
        <v>5</v>
      </c>
      <c r="L4870" s="2" t="s">
        <v>5</v>
      </c>
      <c r="M4870" s="2" t="s">
        <v>5</v>
      </c>
      <c r="N4870" s="4">
        <v>0</v>
      </c>
    </row>
    <row r="4871" spans="1:14" x14ac:dyDescent="0.25">
      <c r="A4871" s="2" t="s">
        <v>412</v>
      </c>
      <c r="B4871" s="2" t="s">
        <v>413</v>
      </c>
      <c r="C4871" s="3">
        <v>16</v>
      </c>
      <c r="D4871" s="4">
        <v>338.72</v>
      </c>
      <c r="E4871" s="4">
        <v>258.24</v>
      </c>
      <c r="F4871" s="4">
        <f t="shared" si="291"/>
        <v>80.480000000000018</v>
      </c>
      <c r="G4871" s="5">
        <f t="shared" si="292"/>
        <v>0.2376003778932452</v>
      </c>
      <c r="H4871" s="2" t="s">
        <v>5</v>
      </c>
      <c r="I4871" s="6" t="s">
        <v>2300</v>
      </c>
      <c r="J4871" s="2" t="s">
        <v>5</v>
      </c>
      <c r="K4871" s="2" t="s">
        <v>5</v>
      </c>
      <c r="L4871" s="2" t="s">
        <v>5</v>
      </c>
      <c r="M4871" s="2" t="s">
        <v>5</v>
      </c>
      <c r="N4871" s="4">
        <v>0</v>
      </c>
    </row>
    <row r="4872" spans="1:14" x14ac:dyDescent="0.25">
      <c r="A4872" s="2" t="s">
        <v>412</v>
      </c>
      <c r="B4872" s="2" t="s">
        <v>413</v>
      </c>
      <c r="C4872" s="3">
        <v>8</v>
      </c>
      <c r="D4872" s="4">
        <v>169.36</v>
      </c>
      <c r="E4872" s="4">
        <v>129.12</v>
      </c>
      <c r="F4872" s="4">
        <f t="shared" si="291"/>
        <v>40.240000000000009</v>
      </c>
      <c r="G4872" s="5">
        <f t="shared" si="292"/>
        <v>0.2376003778932452</v>
      </c>
      <c r="H4872" s="2" t="s">
        <v>5</v>
      </c>
      <c r="I4872" s="6" t="s">
        <v>2300</v>
      </c>
      <c r="J4872" s="2" t="s">
        <v>5</v>
      </c>
      <c r="K4872" s="2" t="s">
        <v>5</v>
      </c>
      <c r="L4872" s="2" t="s">
        <v>5</v>
      </c>
      <c r="M4872" s="2" t="s">
        <v>5</v>
      </c>
      <c r="N4872" s="4">
        <v>0</v>
      </c>
    </row>
    <row r="4873" spans="1:14" x14ac:dyDescent="0.25">
      <c r="A4873" s="2" t="s">
        <v>412</v>
      </c>
      <c r="B4873" s="2" t="s">
        <v>413</v>
      </c>
      <c r="C4873" s="3">
        <v>4</v>
      </c>
      <c r="D4873" s="4">
        <v>84.68</v>
      </c>
      <c r="E4873" s="4">
        <v>64.56</v>
      </c>
      <c r="F4873" s="4">
        <f t="shared" si="291"/>
        <v>20.120000000000005</v>
      </c>
      <c r="G4873" s="5">
        <f t="shared" si="292"/>
        <v>0.2376003778932452</v>
      </c>
      <c r="H4873" s="2" t="s">
        <v>5</v>
      </c>
      <c r="I4873" s="6" t="s">
        <v>2300</v>
      </c>
      <c r="J4873" s="2" t="s">
        <v>5</v>
      </c>
      <c r="K4873" s="2" t="s">
        <v>5</v>
      </c>
      <c r="L4873" s="2" t="s">
        <v>5</v>
      </c>
      <c r="M4873" s="2" t="s">
        <v>5</v>
      </c>
      <c r="N4873" s="4">
        <v>0</v>
      </c>
    </row>
    <row r="4874" spans="1:14" x14ac:dyDescent="0.25">
      <c r="A4874" s="2" t="s">
        <v>412</v>
      </c>
      <c r="B4874" s="2" t="s">
        <v>413</v>
      </c>
      <c r="C4874" s="3">
        <v>4</v>
      </c>
      <c r="D4874" s="4">
        <v>84.68</v>
      </c>
      <c r="E4874" s="4">
        <v>64.56</v>
      </c>
      <c r="F4874" s="4">
        <f t="shared" si="291"/>
        <v>20.120000000000005</v>
      </c>
      <c r="G4874" s="5">
        <f t="shared" si="292"/>
        <v>0.2376003778932452</v>
      </c>
      <c r="H4874" s="2" t="s">
        <v>5</v>
      </c>
      <c r="I4874" s="6" t="s">
        <v>2300</v>
      </c>
      <c r="J4874" s="2" t="s">
        <v>5</v>
      </c>
      <c r="K4874" s="2" t="s">
        <v>5</v>
      </c>
      <c r="L4874" s="2" t="s">
        <v>5</v>
      </c>
      <c r="M4874" s="2" t="s">
        <v>5</v>
      </c>
      <c r="N4874" s="4">
        <v>0</v>
      </c>
    </row>
    <row r="4875" spans="1:14" x14ac:dyDescent="0.25">
      <c r="A4875" s="2" t="s">
        <v>412</v>
      </c>
      <c r="B4875" s="2" t="s">
        <v>413</v>
      </c>
      <c r="C4875" s="3">
        <v>4</v>
      </c>
      <c r="D4875" s="4">
        <v>84.68</v>
      </c>
      <c r="E4875" s="4">
        <v>64.56</v>
      </c>
      <c r="F4875" s="4">
        <f t="shared" si="291"/>
        <v>20.120000000000005</v>
      </c>
      <c r="G4875" s="5">
        <f t="shared" si="292"/>
        <v>0.2376003778932452</v>
      </c>
      <c r="H4875" s="2" t="s">
        <v>5</v>
      </c>
      <c r="I4875" s="6" t="s">
        <v>2300</v>
      </c>
      <c r="J4875" s="2" t="s">
        <v>5</v>
      </c>
      <c r="K4875" s="2" t="s">
        <v>5</v>
      </c>
      <c r="L4875" s="2" t="s">
        <v>5</v>
      </c>
      <c r="M4875" s="2" t="s">
        <v>5</v>
      </c>
      <c r="N4875" s="4">
        <v>0</v>
      </c>
    </row>
    <row r="4876" spans="1:14" x14ac:dyDescent="0.25">
      <c r="A4876" s="2" t="s">
        <v>412</v>
      </c>
      <c r="B4876" s="2" t="s">
        <v>413</v>
      </c>
      <c r="C4876" s="3">
        <v>8</v>
      </c>
      <c r="D4876" s="4">
        <v>169.36</v>
      </c>
      <c r="E4876" s="4">
        <v>129.12</v>
      </c>
      <c r="F4876" s="4">
        <f t="shared" si="291"/>
        <v>40.240000000000009</v>
      </c>
      <c r="G4876" s="5">
        <f t="shared" si="292"/>
        <v>0.2376003778932452</v>
      </c>
      <c r="H4876" s="2" t="s">
        <v>5</v>
      </c>
      <c r="I4876" s="6" t="s">
        <v>2300</v>
      </c>
      <c r="J4876" s="2" t="s">
        <v>5</v>
      </c>
      <c r="K4876" s="2" t="s">
        <v>5</v>
      </c>
      <c r="L4876" s="2" t="s">
        <v>5</v>
      </c>
      <c r="M4876" s="2" t="s">
        <v>5</v>
      </c>
      <c r="N4876" s="4">
        <v>0</v>
      </c>
    </row>
    <row r="4877" spans="1:14" x14ac:dyDescent="0.25">
      <c r="A4877" s="2" t="s">
        <v>412</v>
      </c>
      <c r="B4877" s="2" t="s">
        <v>413</v>
      </c>
      <c r="C4877" s="3">
        <v>4</v>
      </c>
      <c r="D4877" s="4">
        <v>84.68</v>
      </c>
      <c r="E4877" s="4">
        <v>64.56</v>
      </c>
      <c r="F4877" s="4">
        <f t="shared" si="291"/>
        <v>20.120000000000005</v>
      </c>
      <c r="G4877" s="5">
        <f t="shared" si="292"/>
        <v>0.2376003778932452</v>
      </c>
      <c r="H4877" s="2" t="s">
        <v>5</v>
      </c>
      <c r="I4877" s="6" t="s">
        <v>2300</v>
      </c>
      <c r="J4877" s="2" t="s">
        <v>5</v>
      </c>
      <c r="K4877" s="2" t="s">
        <v>5</v>
      </c>
      <c r="L4877" s="2" t="s">
        <v>5</v>
      </c>
      <c r="M4877" s="2" t="s">
        <v>5</v>
      </c>
      <c r="N4877" s="4">
        <v>0</v>
      </c>
    </row>
    <row r="4878" spans="1:14" x14ac:dyDescent="0.25">
      <c r="A4878" s="2" t="s">
        <v>412</v>
      </c>
      <c r="B4878" s="2" t="s">
        <v>413</v>
      </c>
      <c r="C4878" s="3">
        <v>4</v>
      </c>
      <c r="D4878" s="4">
        <v>84.68</v>
      </c>
      <c r="E4878" s="4">
        <v>64.56</v>
      </c>
      <c r="F4878" s="4">
        <f t="shared" si="291"/>
        <v>20.120000000000005</v>
      </c>
      <c r="G4878" s="5">
        <f t="shared" si="292"/>
        <v>0.2376003778932452</v>
      </c>
      <c r="H4878" s="2" t="s">
        <v>5</v>
      </c>
      <c r="I4878" s="6" t="s">
        <v>2300</v>
      </c>
      <c r="J4878" s="2" t="s">
        <v>5</v>
      </c>
      <c r="K4878" s="2" t="s">
        <v>5</v>
      </c>
      <c r="L4878" s="2" t="s">
        <v>5</v>
      </c>
      <c r="M4878" s="2" t="s">
        <v>5</v>
      </c>
      <c r="N4878" s="4">
        <v>0</v>
      </c>
    </row>
    <row r="4879" spans="1:14" x14ac:dyDescent="0.25">
      <c r="A4879" s="2" t="s">
        <v>412</v>
      </c>
      <c r="B4879" s="2" t="s">
        <v>413</v>
      </c>
      <c r="C4879" s="3">
        <v>4</v>
      </c>
      <c r="D4879" s="4">
        <v>84.68</v>
      </c>
      <c r="E4879" s="4">
        <v>64.56</v>
      </c>
      <c r="F4879" s="4">
        <f t="shared" si="291"/>
        <v>20.120000000000005</v>
      </c>
      <c r="G4879" s="5">
        <f t="shared" si="292"/>
        <v>0.2376003778932452</v>
      </c>
      <c r="H4879" s="2" t="s">
        <v>5</v>
      </c>
      <c r="I4879" s="6" t="s">
        <v>2300</v>
      </c>
      <c r="J4879" s="2" t="s">
        <v>5</v>
      </c>
      <c r="K4879" s="2" t="s">
        <v>5</v>
      </c>
      <c r="L4879" s="2" t="s">
        <v>5</v>
      </c>
      <c r="M4879" s="2" t="s">
        <v>5</v>
      </c>
      <c r="N4879" s="4">
        <v>0</v>
      </c>
    </row>
    <row r="4880" spans="1:14" x14ac:dyDescent="0.25">
      <c r="A4880" s="2" t="s">
        <v>412</v>
      </c>
      <c r="B4880" s="2" t="s">
        <v>413</v>
      </c>
      <c r="C4880" s="3">
        <v>8</v>
      </c>
      <c r="D4880" s="4">
        <v>169.36</v>
      </c>
      <c r="E4880" s="4">
        <v>129.12</v>
      </c>
      <c r="F4880" s="4">
        <f t="shared" si="291"/>
        <v>40.240000000000009</v>
      </c>
      <c r="G4880" s="5">
        <f t="shared" si="292"/>
        <v>0.2376003778932452</v>
      </c>
      <c r="H4880" s="2" t="s">
        <v>5</v>
      </c>
      <c r="I4880" s="6" t="s">
        <v>2300</v>
      </c>
      <c r="J4880" s="2" t="s">
        <v>5</v>
      </c>
      <c r="K4880" s="2" t="s">
        <v>5</v>
      </c>
      <c r="L4880" s="2" t="s">
        <v>5</v>
      </c>
      <c r="M4880" s="2" t="s">
        <v>5</v>
      </c>
      <c r="N4880" s="4">
        <v>0</v>
      </c>
    </row>
    <row r="4881" spans="1:14" x14ac:dyDescent="0.25">
      <c r="A4881" s="2" t="s">
        <v>414</v>
      </c>
      <c r="B4881" s="2" t="s">
        <v>415</v>
      </c>
      <c r="C4881" s="3">
        <v>23.4</v>
      </c>
      <c r="D4881" s="4">
        <v>282.67200000000003</v>
      </c>
      <c r="E4881" s="4">
        <v>198.9</v>
      </c>
      <c r="F4881" s="4">
        <f t="shared" si="291"/>
        <v>83.77200000000002</v>
      </c>
      <c r="G4881" s="5">
        <f t="shared" si="292"/>
        <v>0.29635761589403981</v>
      </c>
      <c r="H4881" s="2" t="s">
        <v>5</v>
      </c>
      <c r="I4881" s="6" t="s">
        <v>2300</v>
      </c>
      <c r="J4881" s="2" t="s">
        <v>5</v>
      </c>
      <c r="K4881" s="2" t="s">
        <v>5</v>
      </c>
      <c r="L4881" s="2" t="s">
        <v>5</v>
      </c>
      <c r="M4881" s="2" t="s">
        <v>5</v>
      </c>
      <c r="N4881" s="4">
        <v>0</v>
      </c>
    </row>
    <row r="4882" spans="1:14" x14ac:dyDescent="0.25">
      <c r="A4882" s="2" t="s">
        <v>414</v>
      </c>
      <c r="B4882" s="2" t="s">
        <v>415</v>
      </c>
      <c r="C4882" s="3">
        <v>22.8</v>
      </c>
      <c r="D4882" s="4">
        <v>275.42399999999998</v>
      </c>
      <c r="E4882" s="4">
        <v>193.8</v>
      </c>
      <c r="F4882" s="4">
        <f t="shared" si="291"/>
        <v>81.623999999999967</v>
      </c>
      <c r="G4882" s="5">
        <f t="shared" si="292"/>
        <v>0.29635761589403964</v>
      </c>
      <c r="H4882" s="2" t="s">
        <v>5</v>
      </c>
      <c r="I4882" s="6" t="s">
        <v>2300</v>
      </c>
      <c r="J4882" s="2" t="s">
        <v>5</v>
      </c>
      <c r="K4882" s="2" t="s">
        <v>5</v>
      </c>
      <c r="L4882" s="2" t="s">
        <v>5</v>
      </c>
      <c r="M4882" s="2" t="s">
        <v>5</v>
      </c>
      <c r="N4882" s="4">
        <v>0</v>
      </c>
    </row>
    <row r="4883" spans="1:14" x14ac:dyDescent="0.25">
      <c r="A4883" s="2" t="s">
        <v>414</v>
      </c>
      <c r="B4883" s="2" t="s">
        <v>415</v>
      </c>
      <c r="C4883" s="3">
        <v>22</v>
      </c>
      <c r="D4883" s="4">
        <v>265.76</v>
      </c>
      <c r="E4883" s="4">
        <v>187</v>
      </c>
      <c r="F4883" s="4">
        <f t="shared" si="291"/>
        <v>78.759999999999991</v>
      </c>
      <c r="G4883" s="5">
        <f t="shared" si="292"/>
        <v>0.29635761589403969</v>
      </c>
      <c r="H4883" s="2" t="s">
        <v>5</v>
      </c>
      <c r="I4883" s="6" t="s">
        <v>2300</v>
      </c>
      <c r="J4883" s="2" t="s">
        <v>5</v>
      </c>
      <c r="K4883" s="2" t="s">
        <v>5</v>
      </c>
      <c r="L4883" s="2" t="s">
        <v>5</v>
      </c>
      <c r="M4883" s="2" t="s">
        <v>5</v>
      </c>
      <c r="N4883" s="4">
        <v>0</v>
      </c>
    </row>
    <row r="4884" spans="1:14" x14ac:dyDescent="0.25">
      <c r="A4884" s="2" t="s">
        <v>414</v>
      </c>
      <c r="B4884" s="2" t="s">
        <v>415</v>
      </c>
      <c r="C4884" s="3">
        <v>44.7</v>
      </c>
      <c r="D4884" s="4">
        <v>539.976</v>
      </c>
      <c r="E4884" s="4">
        <v>379.95</v>
      </c>
      <c r="F4884" s="4">
        <f t="shared" si="291"/>
        <v>160.02600000000001</v>
      </c>
      <c r="G4884" s="5">
        <f t="shared" si="292"/>
        <v>0.29635761589403975</v>
      </c>
      <c r="H4884" s="2" t="s">
        <v>5</v>
      </c>
      <c r="I4884" s="6" t="s">
        <v>2300</v>
      </c>
      <c r="J4884" s="2" t="s">
        <v>5</v>
      </c>
      <c r="K4884" s="2" t="s">
        <v>5</v>
      </c>
      <c r="L4884" s="2" t="s">
        <v>5</v>
      </c>
      <c r="M4884" s="2" t="s">
        <v>5</v>
      </c>
      <c r="N4884" s="4">
        <v>0</v>
      </c>
    </row>
    <row r="4885" spans="1:14" x14ac:dyDescent="0.25">
      <c r="A4885" s="2" t="s">
        <v>414</v>
      </c>
      <c r="B4885" s="2" t="s">
        <v>415</v>
      </c>
      <c r="C4885" s="3">
        <v>21.7</v>
      </c>
      <c r="D4885" s="4">
        <v>262.13600000000002</v>
      </c>
      <c r="E4885" s="4">
        <v>184.45</v>
      </c>
      <c r="F4885" s="4">
        <f t="shared" si="291"/>
        <v>77.686000000000035</v>
      </c>
      <c r="G4885" s="5">
        <f t="shared" si="292"/>
        <v>0.29635761589403986</v>
      </c>
      <c r="H4885" s="2" t="s">
        <v>5</v>
      </c>
      <c r="I4885" s="6" t="s">
        <v>2300</v>
      </c>
      <c r="J4885" s="2" t="s">
        <v>5</v>
      </c>
      <c r="K4885" s="2" t="s">
        <v>5</v>
      </c>
      <c r="L4885" s="2" t="s">
        <v>5</v>
      </c>
      <c r="M4885" s="2" t="s">
        <v>5</v>
      </c>
      <c r="N4885" s="4">
        <v>0</v>
      </c>
    </row>
    <row r="4886" spans="1:14" x14ac:dyDescent="0.25">
      <c r="A4886" s="2" t="s">
        <v>414</v>
      </c>
      <c r="B4886" s="2" t="s">
        <v>415</v>
      </c>
      <c r="C4886" s="3">
        <v>70.5</v>
      </c>
      <c r="D4886" s="4">
        <v>851.64</v>
      </c>
      <c r="E4886" s="4">
        <v>599.25</v>
      </c>
      <c r="F4886" s="4">
        <f t="shared" si="291"/>
        <v>252.39</v>
      </c>
      <c r="G4886" s="5">
        <f t="shared" si="292"/>
        <v>0.29635761589403975</v>
      </c>
      <c r="H4886" s="2" t="s">
        <v>5</v>
      </c>
      <c r="I4886" s="6" t="s">
        <v>2300</v>
      </c>
      <c r="J4886" s="2" t="s">
        <v>5</v>
      </c>
      <c r="K4886" s="2" t="s">
        <v>5</v>
      </c>
      <c r="L4886" s="2" t="s">
        <v>5</v>
      </c>
      <c r="M4886" s="2" t="s">
        <v>5</v>
      </c>
      <c r="N4886" s="4">
        <v>0</v>
      </c>
    </row>
    <row r="4887" spans="1:14" x14ac:dyDescent="0.25">
      <c r="A4887" s="2" t="s">
        <v>414</v>
      </c>
      <c r="B4887" s="2" t="s">
        <v>415</v>
      </c>
      <c r="C4887" s="3">
        <v>23.3</v>
      </c>
      <c r="D4887" s="4">
        <v>281.464</v>
      </c>
      <c r="E4887" s="4">
        <v>198.05</v>
      </c>
      <c r="F4887" s="4">
        <f t="shared" si="291"/>
        <v>83.413999999999987</v>
      </c>
      <c r="G4887" s="5">
        <f t="shared" si="292"/>
        <v>0.29635761589403969</v>
      </c>
      <c r="H4887" s="2" t="s">
        <v>5</v>
      </c>
      <c r="I4887" s="6" t="s">
        <v>2300</v>
      </c>
      <c r="J4887" s="2" t="s">
        <v>5</v>
      </c>
      <c r="K4887" s="2" t="s">
        <v>5</v>
      </c>
      <c r="L4887" s="2" t="s">
        <v>5</v>
      </c>
      <c r="M4887" s="2" t="s">
        <v>5</v>
      </c>
      <c r="N4887" s="4">
        <v>0</v>
      </c>
    </row>
    <row r="4888" spans="1:14" x14ac:dyDescent="0.25">
      <c r="A4888" s="2" t="s">
        <v>414</v>
      </c>
      <c r="B4888" s="2" t="s">
        <v>415</v>
      </c>
      <c r="C4888" s="3">
        <v>24.7</v>
      </c>
      <c r="D4888" s="4">
        <v>298.37599999999998</v>
      </c>
      <c r="E4888" s="4">
        <v>209.95</v>
      </c>
      <c r="F4888" s="4">
        <f t="shared" si="291"/>
        <v>88.425999999999988</v>
      </c>
      <c r="G4888" s="5">
        <f t="shared" si="292"/>
        <v>0.29635761589403969</v>
      </c>
      <c r="H4888" s="2" t="s">
        <v>5</v>
      </c>
      <c r="I4888" s="6" t="s">
        <v>2300</v>
      </c>
      <c r="J4888" s="2" t="s">
        <v>5</v>
      </c>
      <c r="K4888" s="2" t="s">
        <v>5</v>
      </c>
      <c r="L4888" s="2" t="s">
        <v>5</v>
      </c>
      <c r="M4888" s="2" t="s">
        <v>5</v>
      </c>
      <c r="N4888" s="4">
        <v>0</v>
      </c>
    </row>
    <row r="4889" spans="1:14" x14ac:dyDescent="0.25">
      <c r="A4889" s="2" t="s">
        <v>414</v>
      </c>
      <c r="B4889" s="2" t="s">
        <v>415</v>
      </c>
      <c r="C4889" s="3">
        <v>118.5</v>
      </c>
      <c r="D4889" s="4">
        <v>1431.48</v>
      </c>
      <c r="E4889" s="4">
        <v>1007.25</v>
      </c>
      <c r="F4889" s="4">
        <f t="shared" si="291"/>
        <v>424.23</v>
      </c>
      <c r="G4889" s="5">
        <f t="shared" si="292"/>
        <v>0.29635761589403975</v>
      </c>
      <c r="H4889" s="2" t="s">
        <v>5</v>
      </c>
      <c r="I4889" s="6" t="s">
        <v>2300</v>
      </c>
      <c r="J4889" s="2" t="s">
        <v>5</v>
      </c>
      <c r="K4889" s="2" t="s">
        <v>5</v>
      </c>
      <c r="L4889" s="2" t="s">
        <v>5</v>
      </c>
      <c r="M4889" s="2" t="s">
        <v>5</v>
      </c>
      <c r="N4889" s="4">
        <v>0</v>
      </c>
    </row>
    <row r="4890" spans="1:14" x14ac:dyDescent="0.25">
      <c r="A4890" s="2" t="s">
        <v>414</v>
      </c>
      <c r="B4890" s="2" t="s">
        <v>415</v>
      </c>
      <c r="C4890" s="3">
        <v>23.6</v>
      </c>
      <c r="D4890" s="4">
        <v>285.08800000000002</v>
      </c>
      <c r="E4890" s="4">
        <v>200.6</v>
      </c>
      <c r="F4890" s="4">
        <f t="shared" si="291"/>
        <v>84.488000000000028</v>
      </c>
      <c r="G4890" s="5">
        <f t="shared" si="292"/>
        <v>0.29635761589403981</v>
      </c>
      <c r="H4890" s="2" t="s">
        <v>5</v>
      </c>
      <c r="I4890" s="6" t="s">
        <v>2300</v>
      </c>
      <c r="J4890" s="2" t="s">
        <v>5</v>
      </c>
      <c r="K4890" s="2" t="s">
        <v>5</v>
      </c>
      <c r="L4890" s="2" t="s">
        <v>5</v>
      </c>
      <c r="M4890" s="2" t="s">
        <v>5</v>
      </c>
      <c r="N4890" s="4">
        <v>0</v>
      </c>
    </row>
    <row r="4891" spans="1:14" x14ac:dyDescent="0.25">
      <c r="A4891" s="2" t="s">
        <v>414</v>
      </c>
      <c r="B4891" s="2" t="s">
        <v>415</v>
      </c>
      <c r="C4891" s="3">
        <v>25.2</v>
      </c>
      <c r="D4891" s="4">
        <v>304.416</v>
      </c>
      <c r="E4891" s="4">
        <v>214.2</v>
      </c>
      <c r="F4891" s="4">
        <f t="shared" si="291"/>
        <v>90.216000000000008</v>
      </c>
      <c r="G4891" s="5">
        <f t="shared" si="292"/>
        <v>0.29635761589403975</v>
      </c>
      <c r="H4891" s="2" t="s">
        <v>5</v>
      </c>
      <c r="I4891" s="6" t="s">
        <v>2300</v>
      </c>
      <c r="J4891" s="2" t="s">
        <v>5</v>
      </c>
      <c r="K4891" s="2" t="s">
        <v>5</v>
      </c>
      <c r="L4891" s="2" t="s">
        <v>5</v>
      </c>
      <c r="M4891" s="2" t="s">
        <v>5</v>
      </c>
      <c r="N4891" s="4">
        <v>0</v>
      </c>
    </row>
    <row r="4892" spans="1:14" x14ac:dyDescent="0.25">
      <c r="A4892" s="2" t="s">
        <v>414</v>
      </c>
      <c r="B4892" s="2" t="s">
        <v>415</v>
      </c>
      <c r="C4892" s="3">
        <v>23</v>
      </c>
      <c r="D4892" s="4">
        <v>277.83999999999997</v>
      </c>
      <c r="E4892" s="4">
        <v>195.5</v>
      </c>
      <c r="F4892" s="4">
        <f t="shared" si="291"/>
        <v>82.339999999999975</v>
      </c>
      <c r="G4892" s="5">
        <f t="shared" si="292"/>
        <v>0.29635761589403969</v>
      </c>
      <c r="H4892" s="2" t="s">
        <v>5</v>
      </c>
      <c r="I4892" s="6" t="s">
        <v>2300</v>
      </c>
      <c r="J4892" s="2" t="s">
        <v>5</v>
      </c>
      <c r="K4892" s="2" t="s">
        <v>5</v>
      </c>
      <c r="L4892" s="2" t="s">
        <v>5</v>
      </c>
      <c r="M4892" s="2" t="s">
        <v>5</v>
      </c>
      <c r="N4892" s="4">
        <v>0</v>
      </c>
    </row>
    <row r="4893" spans="1:14" x14ac:dyDescent="0.25">
      <c r="A4893" s="2" t="s">
        <v>414</v>
      </c>
      <c r="B4893" s="2" t="s">
        <v>415</v>
      </c>
      <c r="C4893" s="3">
        <v>23.4</v>
      </c>
      <c r="D4893" s="4">
        <v>282.67200000000003</v>
      </c>
      <c r="E4893" s="4">
        <v>198.9</v>
      </c>
      <c r="F4893" s="4">
        <f t="shared" si="291"/>
        <v>83.77200000000002</v>
      </c>
      <c r="G4893" s="5">
        <f t="shared" si="292"/>
        <v>0.29635761589403981</v>
      </c>
      <c r="H4893" s="2" t="s">
        <v>5</v>
      </c>
      <c r="I4893" s="6" t="s">
        <v>2300</v>
      </c>
      <c r="J4893" s="2" t="s">
        <v>5</v>
      </c>
      <c r="K4893" s="2" t="s">
        <v>5</v>
      </c>
      <c r="L4893" s="2" t="s">
        <v>5</v>
      </c>
      <c r="M4893" s="2" t="s">
        <v>5</v>
      </c>
      <c r="N4893" s="4">
        <v>0</v>
      </c>
    </row>
    <row r="4894" spans="1:14" x14ac:dyDescent="0.25">
      <c r="A4894" s="2" t="s">
        <v>414</v>
      </c>
      <c r="B4894" s="2" t="s">
        <v>415</v>
      </c>
      <c r="C4894" s="3">
        <v>22.3</v>
      </c>
      <c r="D4894" s="4">
        <v>269.38400000000001</v>
      </c>
      <c r="E4894" s="4">
        <v>189.55</v>
      </c>
      <c r="F4894" s="4">
        <f t="shared" si="291"/>
        <v>79.834000000000003</v>
      </c>
      <c r="G4894" s="5">
        <f t="shared" si="292"/>
        <v>0.29635761589403975</v>
      </c>
      <c r="H4894" s="2" t="s">
        <v>5</v>
      </c>
      <c r="I4894" s="6" t="s">
        <v>2300</v>
      </c>
      <c r="J4894" s="2" t="s">
        <v>5</v>
      </c>
      <c r="K4894" s="2" t="s">
        <v>5</v>
      </c>
      <c r="L4894" s="2" t="s">
        <v>5</v>
      </c>
      <c r="M4894" s="2" t="s">
        <v>5</v>
      </c>
      <c r="N4894" s="4">
        <v>0</v>
      </c>
    </row>
    <row r="4895" spans="1:14" x14ac:dyDescent="0.25">
      <c r="A4895" s="2" t="s">
        <v>416</v>
      </c>
      <c r="B4895" s="2" t="s">
        <v>417</v>
      </c>
      <c r="C4895" s="3">
        <v>41.81</v>
      </c>
      <c r="D4895" s="4">
        <v>390.92349999999999</v>
      </c>
      <c r="E4895" s="4">
        <v>313.57499999999999</v>
      </c>
      <c r="F4895" s="4">
        <f t="shared" si="291"/>
        <v>77.348500000000001</v>
      </c>
      <c r="G4895" s="5">
        <f t="shared" si="292"/>
        <v>0.19786096256684493</v>
      </c>
      <c r="H4895" s="2" t="s">
        <v>5</v>
      </c>
      <c r="I4895" s="6" t="s">
        <v>2300</v>
      </c>
      <c r="J4895" s="2" t="s">
        <v>5</v>
      </c>
      <c r="K4895" s="2" t="s">
        <v>5</v>
      </c>
      <c r="L4895" s="2" t="s">
        <v>5</v>
      </c>
      <c r="M4895" s="2" t="s">
        <v>5</v>
      </c>
      <c r="N4895" s="4">
        <v>0</v>
      </c>
    </row>
    <row r="4896" spans="1:14" x14ac:dyDescent="0.25">
      <c r="A4896" s="2" t="s">
        <v>416</v>
      </c>
      <c r="B4896" s="2" t="s">
        <v>417</v>
      </c>
      <c r="C4896" s="3">
        <v>20.324999999999999</v>
      </c>
      <c r="D4896" s="4">
        <v>190.03874999999999</v>
      </c>
      <c r="E4896" s="4">
        <v>162.6</v>
      </c>
      <c r="F4896" s="4">
        <f t="shared" si="291"/>
        <v>27.438749999999999</v>
      </c>
      <c r="G4896" s="5">
        <f t="shared" si="292"/>
        <v>0.14438502673796791</v>
      </c>
      <c r="H4896" s="2" t="s">
        <v>5</v>
      </c>
      <c r="I4896" s="6" t="s">
        <v>2300</v>
      </c>
      <c r="J4896" s="2" t="s">
        <v>5</v>
      </c>
      <c r="K4896" s="2" t="s">
        <v>5</v>
      </c>
      <c r="L4896" s="2" t="s">
        <v>5</v>
      </c>
      <c r="M4896" s="2" t="s">
        <v>5</v>
      </c>
      <c r="N4896" s="4">
        <v>0</v>
      </c>
    </row>
    <row r="4897" spans="1:14" x14ac:dyDescent="0.25">
      <c r="A4897" s="2" t="s">
        <v>416</v>
      </c>
      <c r="B4897" s="2" t="s">
        <v>417</v>
      </c>
      <c r="C4897" s="3">
        <v>43.384999999999998</v>
      </c>
      <c r="D4897" s="4">
        <v>405.64974999999998</v>
      </c>
      <c r="E4897" s="4">
        <v>347.08</v>
      </c>
      <c r="F4897" s="4">
        <f t="shared" ref="F4897:F4960" si="293">D4897-E4897</f>
        <v>58.569749999999999</v>
      </c>
      <c r="G4897" s="5">
        <f t="shared" ref="G4897:G4960" si="294">IF(((D4897)=0),0,(D4897-E4897)/ D4897)</f>
        <v>0.14438502673796791</v>
      </c>
      <c r="H4897" s="2" t="s">
        <v>5</v>
      </c>
      <c r="I4897" s="6" t="s">
        <v>2300</v>
      </c>
      <c r="J4897" s="2" t="s">
        <v>5</v>
      </c>
      <c r="K4897" s="2" t="s">
        <v>5</v>
      </c>
      <c r="L4897" s="2" t="s">
        <v>5</v>
      </c>
      <c r="M4897" s="2" t="s">
        <v>5</v>
      </c>
      <c r="N4897" s="4">
        <v>0</v>
      </c>
    </row>
    <row r="4898" spans="1:14" x14ac:dyDescent="0.25">
      <c r="A4898" s="2" t="s">
        <v>416</v>
      </c>
      <c r="B4898" s="2" t="s">
        <v>417</v>
      </c>
      <c r="C4898" s="3">
        <v>14.01</v>
      </c>
      <c r="D4898" s="4">
        <v>130.99350000000001</v>
      </c>
      <c r="E4898" s="4">
        <v>105.075</v>
      </c>
      <c r="F4898" s="4">
        <f t="shared" si="293"/>
        <v>25.918500000000009</v>
      </c>
      <c r="G4898" s="5">
        <f t="shared" si="294"/>
        <v>0.19786096256684496</v>
      </c>
      <c r="H4898" s="2" t="s">
        <v>5</v>
      </c>
      <c r="I4898" s="6" t="s">
        <v>2300</v>
      </c>
      <c r="J4898" s="2" t="s">
        <v>5</v>
      </c>
      <c r="K4898" s="2" t="s">
        <v>5</v>
      </c>
      <c r="L4898" s="2" t="s">
        <v>5</v>
      </c>
      <c r="M4898" s="2" t="s">
        <v>5</v>
      </c>
      <c r="N4898" s="4">
        <v>0</v>
      </c>
    </row>
    <row r="4899" spans="1:14" x14ac:dyDescent="0.25">
      <c r="A4899" s="2" t="s">
        <v>416</v>
      </c>
      <c r="B4899" s="2" t="s">
        <v>417</v>
      </c>
      <c r="C4899" s="3">
        <v>14.37</v>
      </c>
      <c r="D4899" s="4">
        <v>134.3595</v>
      </c>
      <c r="E4899" s="4">
        <v>107.77500000000001</v>
      </c>
      <c r="F4899" s="4">
        <f t="shared" si="293"/>
        <v>26.584499999999991</v>
      </c>
      <c r="G4899" s="5">
        <f t="shared" si="294"/>
        <v>0.19786096256684485</v>
      </c>
      <c r="H4899" s="2" t="s">
        <v>5</v>
      </c>
      <c r="I4899" s="6" t="s">
        <v>2300</v>
      </c>
      <c r="J4899" s="2" t="s">
        <v>5</v>
      </c>
      <c r="K4899" s="2" t="s">
        <v>5</v>
      </c>
      <c r="L4899" s="2" t="s">
        <v>5</v>
      </c>
      <c r="M4899" s="2" t="s">
        <v>5</v>
      </c>
      <c r="N4899" s="4">
        <v>0</v>
      </c>
    </row>
    <row r="4900" spans="1:14" x14ac:dyDescent="0.25">
      <c r="A4900" s="2" t="s">
        <v>416</v>
      </c>
      <c r="B4900" s="2" t="s">
        <v>417</v>
      </c>
      <c r="C4900" s="3">
        <v>28.954999999999998</v>
      </c>
      <c r="D4900" s="4">
        <v>270.72924999999998</v>
      </c>
      <c r="E4900" s="4">
        <v>217.16249999999999</v>
      </c>
      <c r="F4900" s="4">
        <f t="shared" si="293"/>
        <v>53.566749999999985</v>
      </c>
      <c r="G4900" s="5">
        <f t="shared" si="294"/>
        <v>0.19786096256684488</v>
      </c>
      <c r="H4900" s="2" t="s">
        <v>5</v>
      </c>
      <c r="I4900" s="6" t="s">
        <v>2300</v>
      </c>
      <c r="J4900" s="2" t="s">
        <v>5</v>
      </c>
      <c r="K4900" s="2" t="s">
        <v>5</v>
      </c>
      <c r="L4900" s="2" t="s">
        <v>5</v>
      </c>
      <c r="M4900" s="2" t="s">
        <v>5</v>
      </c>
      <c r="N4900" s="4">
        <v>0</v>
      </c>
    </row>
    <row r="4901" spans="1:14" x14ac:dyDescent="0.25">
      <c r="A4901" s="2" t="s">
        <v>418</v>
      </c>
      <c r="B4901" s="2" t="s">
        <v>419</v>
      </c>
      <c r="C4901" s="3">
        <v>15.72</v>
      </c>
      <c r="D4901" s="4">
        <v>146.982</v>
      </c>
      <c r="E4901" s="4">
        <v>149.34</v>
      </c>
      <c r="F4901" s="4">
        <f t="shared" si="293"/>
        <v>-2.3580000000000041</v>
      </c>
      <c r="G4901" s="5">
        <f t="shared" si="294"/>
        <v>-1.6042780748663131E-2</v>
      </c>
      <c r="H4901" s="2" t="s">
        <v>5</v>
      </c>
      <c r="I4901" s="6" t="s">
        <v>2300</v>
      </c>
      <c r="J4901" s="2" t="s">
        <v>5</v>
      </c>
      <c r="K4901" s="2" t="s">
        <v>5</v>
      </c>
      <c r="L4901" s="2" t="s">
        <v>5</v>
      </c>
      <c r="M4901" s="2" t="s">
        <v>5</v>
      </c>
      <c r="N4901" s="4">
        <v>0</v>
      </c>
    </row>
    <row r="4902" spans="1:14" x14ac:dyDescent="0.25">
      <c r="A4902" s="2" t="s">
        <v>418</v>
      </c>
      <c r="B4902" s="2" t="s">
        <v>419</v>
      </c>
      <c r="C4902" s="3">
        <v>14.395</v>
      </c>
      <c r="D4902" s="4">
        <v>134.59325000000001</v>
      </c>
      <c r="E4902" s="4">
        <v>136.7525</v>
      </c>
      <c r="F4902" s="4">
        <f t="shared" si="293"/>
        <v>-2.1592499999999859</v>
      </c>
      <c r="G4902" s="5">
        <f t="shared" si="294"/>
        <v>-1.6042780748662996E-2</v>
      </c>
      <c r="H4902" s="2" t="s">
        <v>5</v>
      </c>
      <c r="I4902" s="6" t="s">
        <v>2300</v>
      </c>
      <c r="J4902" s="2" t="s">
        <v>5</v>
      </c>
      <c r="K4902" s="2" t="s">
        <v>5</v>
      </c>
      <c r="L4902" s="2" t="s">
        <v>5</v>
      </c>
      <c r="M4902" s="2" t="s">
        <v>5</v>
      </c>
      <c r="N4902" s="4">
        <v>0</v>
      </c>
    </row>
    <row r="4903" spans="1:14" x14ac:dyDescent="0.25">
      <c r="A4903" s="2" t="s">
        <v>418</v>
      </c>
      <c r="B4903" s="2" t="s">
        <v>419</v>
      </c>
      <c r="C4903" s="3">
        <v>15.51</v>
      </c>
      <c r="D4903" s="4">
        <v>145.01849999999999</v>
      </c>
      <c r="E4903" s="4">
        <v>147.345</v>
      </c>
      <c r="F4903" s="4">
        <f t="shared" si="293"/>
        <v>-2.32650000000001</v>
      </c>
      <c r="G4903" s="5">
        <f t="shared" si="294"/>
        <v>-1.6042780748663173E-2</v>
      </c>
      <c r="H4903" s="2" t="s">
        <v>5</v>
      </c>
      <c r="I4903" s="6" t="s">
        <v>2300</v>
      </c>
      <c r="J4903" s="2" t="s">
        <v>5</v>
      </c>
      <c r="K4903" s="2" t="s">
        <v>5</v>
      </c>
      <c r="L4903" s="2" t="s">
        <v>5</v>
      </c>
      <c r="M4903" s="2" t="s">
        <v>5</v>
      </c>
      <c r="N4903" s="4">
        <v>0</v>
      </c>
    </row>
    <row r="4904" spans="1:14" x14ac:dyDescent="0.25">
      <c r="A4904" s="2" t="s">
        <v>418</v>
      </c>
      <c r="B4904" s="2" t="s">
        <v>419</v>
      </c>
      <c r="C4904" s="3">
        <v>26.61</v>
      </c>
      <c r="D4904" s="4">
        <v>248.80350000000001</v>
      </c>
      <c r="E4904" s="4">
        <v>252.79499999999999</v>
      </c>
      <c r="F4904" s="4">
        <f t="shared" si="293"/>
        <v>-3.9914999999999736</v>
      </c>
      <c r="G4904" s="5">
        <f t="shared" si="294"/>
        <v>-1.6042780748662996E-2</v>
      </c>
      <c r="H4904" s="2" t="s">
        <v>5</v>
      </c>
      <c r="I4904" s="6" t="s">
        <v>2300</v>
      </c>
      <c r="J4904" s="2" t="s">
        <v>5</v>
      </c>
      <c r="K4904" s="2" t="s">
        <v>5</v>
      </c>
      <c r="L4904" s="2" t="s">
        <v>5</v>
      </c>
      <c r="M4904" s="2" t="s">
        <v>5</v>
      </c>
      <c r="N4904" s="4">
        <v>0</v>
      </c>
    </row>
    <row r="4905" spans="1:14" x14ac:dyDescent="0.25">
      <c r="A4905" s="2" t="s">
        <v>418</v>
      </c>
      <c r="B4905" s="2" t="s">
        <v>419</v>
      </c>
      <c r="C4905" s="3">
        <v>14.17</v>
      </c>
      <c r="D4905" s="4">
        <v>132.48949999999999</v>
      </c>
      <c r="E4905" s="4">
        <v>134.61500000000001</v>
      </c>
      <c r="F4905" s="4">
        <f t="shared" si="293"/>
        <v>-2.1255000000000166</v>
      </c>
      <c r="G4905" s="5">
        <f t="shared" si="294"/>
        <v>-1.6042780748663228E-2</v>
      </c>
      <c r="H4905" s="2" t="s">
        <v>5</v>
      </c>
      <c r="I4905" s="6" t="s">
        <v>2300</v>
      </c>
      <c r="J4905" s="2" t="s">
        <v>5</v>
      </c>
      <c r="K4905" s="2" t="s">
        <v>5</v>
      </c>
      <c r="L4905" s="2" t="s">
        <v>5</v>
      </c>
      <c r="M4905" s="2" t="s">
        <v>5</v>
      </c>
      <c r="N4905" s="4">
        <v>0</v>
      </c>
    </row>
    <row r="4906" spans="1:14" x14ac:dyDescent="0.25">
      <c r="A4906" s="2" t="s">
        <v>418</v>
      </c>
      <c r="B4906" s="2" t="s">
        <v>419</v>
      </c>
      <c r="C4906" s="3">
        <v>33.26</v>
      </c>
      <c r="D4906" s="4">
        <v>310.98099999999999</v>
      </c>
      <c r="E4906" s="4">
        <v>315.97000000000003</v>
      </c>
      <c r="F4906" s="4">
        <f t="shared" si="293"/>
        <v>-4.9890000000000327</v>
      </c>
      <c r="G4906" s="5">
        <f t="shared" si="294"/>
        <v>-1.6042780748663207E-2</v>
      </c>
      <c r="H4906" s="2" t="s">
        <v>5</v>
      </c>
      <c r="I4906" s="6" t="s">
        <v>2300</v>
      </c>
      <c r="J4906" s="2" t="s">
        <v>5</v>
      </c>
      <c r="K4906" s="2" t="s">
        <v>5</v>
      </c>
      <c r="L4906" s="2" t="s">
        <v>5</v>
      </c>
      <c r="M4906" s="2" t="s">
        <v>5</v>
      </c>
      <c r="N4906" s="4">
        <v>0</v>
      </c>
    </row>
    <row r="4907" spans="1:14" x14ac:dyDescent="0.25">
      <c r="A4907" s="2" t="s">
        <v>418</v>
      </c>
      <c r="B4907" s="2" t="s">
        <v>419</v>
      </c>
      <c r="C4907" s="3">
        <v>27.72</v>
      </c>
      <c r="D4907" s="4">
        <v>259.18200000000002</v>
      </c>
      <c r="E4907" s="4">
        <v>263.33999999999997</v>
      </c>
      <c r="F4907" s="4">
        <f t="shared" si="293"/>
        <v>-4.1579999999999586</v>
      </c>
      <c r="G4907" s="5">
        <f t="shared" si="294"/>
        <v>-1.604278074866294E-2</v>
      </c>
      <c r="H4907" s="2" t="s">
        <v>5</v>
      </c>
      <c r="I4907" s="6" t="s">
        <v>2300</v>
      </c>
      <c r="J4907" s="2" t="s">
        <v>5</v>
      </c>
      <c r="K4907" s="2" t="s">
        <v>5</v>
      </c>
      <c r="L4907" s="2" t="s">
        <v>5</v>
      </c>
      <c r="M4907" s="2" t="s">
        <v>5</v>
      </c>
      <c r="N4907" s="4">
        <v>0</v>
      </c>
    </row>
    <row r="4908" spans="1:14" x14ac:dyDescent="0.25">
      <c r="A4908" s="2" t="s">
        <v>418</v>
      </c>
      <c r="B4908" s="2" t="s">
        <v>419</v>
      </c>
      <c r="C4908" s="3">
        <v>14.335000000000001</v>
      </c>
      <c r="D4908" s="4">
        <v>134.03225</v>
      </c>
      <c r="E4908" s="4">
        <v>136.1825</v>
      </c>
      <c r="F4908" s="4">
        <f t="shared" si="293"/>
        <v>-2.1502499999999998</v>
      </c>
      <c r="G4908" s="5">
        <f t="shared" si="294"/>
        <v>-1.60427807486631E-2</v>
      </c>
      <c r="H4908" s="2" t="s">
        <v>5</v>
      </c>
      <c r="I4908" s="6" t="s">
        <v>2300</v>
      </c>
      <c r="J4908" s="2" t="s">
        <v>5</v>
      </c>
      <c r="K4908" s="2" t="s">
        <v>5</v>
      </c>
      <c r="L4908" s="2" t="s">
        <v>5</v>
      </c>
      <c r="M4908" s="2" t="s">
        <v>5</v>
      </c>
      <c r="N4908" s="4">
        <v>0</v>
      </c>
    </row>
    <row r="4909" spans="1:14" x14ac:dyDescent="0.25">
      <c r="A4909" s="2" t="s">
        <v>418</v>
      </c>
      <c r="B4909" s="2" t="s">
        <v>419</v>
      </c>
      <c r="C4909" s="3">
        <v>24.1</v>
      </c>
      <c r="D4909" s="4">
        <v>225.33500000000001</v>
      </c>
      <c r="E4909" s="4">
        <v>228.95</v>
      </c>
      <c r="F4909" s="4">
        <f t="shared" si="293"/>
        <v>-3.6149999999999807</v>
      </c>
      <c r="G4909" s="5">
        <f t="shared" si="294"/>
        <v>-1.6042780748663017E-2</v>
      </c>
      <c r="H4909" s="2" t="s">
        <v>5</v>
      </c>
      <c r="I4909" s="6" t="s">
        <v>2300</v>
      </c>
      <c r="J4909" s="2" t="s">
        <v>5</v>
      </c>
      <c r="K4909" s="2" t="s">
        <v>5</v>
      </c>
      <c r="L4909" s="2" t="s">
        <v>5</v>
      </c>
      <c r="M4909" s="2" t="s">
        <v>5</v>
      </c>
      <c r="N4909" s="4">
        <v>0</v>
      </c>
    </row>
    <row r="4910" spans="1:14" x14ac:dyDescent="0.25">
      <c r="A4910" s="2" t="s">
        <v>418</v>
      </c>
      <c r="B4910" s="2" t="s">
        <v>419</v>
      </c>
      <c r="C4910" s="3">
        <v>15.586</v>
      </c>
      <c r="D4910" s="4">
        <v>145.72909999999999</v>
      </c>
      <c r="E4910" s="4">
        <v>148.06700000000001</v>
      </c>
      <c r="F4910" s="4">
        <f t="shared" si="293"/>
        <v>-2.337900000000019</v>
      </c>
      <c r="G4910" s="5">
        <f t="shared" si="294"/>
        <v>-1.6042780748663232E-2</v>
      </c>
      <c r="H4910" s="2" t="s">
        <v>5</v>
      </c>
      <c r="I4910" s="6" t="s">
        <v>2300</v>
      </c>
      <c r="J4910" s="2" t="s">
        <v>5</v>
      </c>
      <c r="K4910" s="2" t="s">
        <v>5</v>
      </c>
      <c r="L4910" s="2" t="s">
        <v>5</v>
      </c>
      <c r="M4910" s="2" t="s">
        <v>5</v>
      </c>
      <c r="N4910" s="4">
        <v>0</v>
      </c>
    </row>
    <row r="4911" spans="1:14" x14ac:dyDescent="0.25">
      <c r="A4911" s="2" t="s">
        <v>418</v>
      </c>
      <c r="B4911" s="2" t="s">
        <v>419</v>
      </c>
      <c r="C4911" s="3">
        <v>27.684999999999999</v>
      </c>
      <c r="D4911" s="4">
        <v>258.85475000000002</v>
      </c>
      <c r="E4911" s="4">
        <v>263.00749999999999</v>
      </c>
      <c r="F4911" s="4">
        <f t="shared" si="293"/>
        <v>-4.1527499999999691</v>
      </c>
      <c r="G4911" s="5">
        <f t="shared" si="294"/>
        <v>-1.6042780748662982E-2</v>
      </c>
      <c r="H4911" s="2" t="s">
        <v>5</v>
      </c>
      <c r="I4911" s="6" t="s">
        <v>2300</v>
      </c>
      <c r="J4911" s="2" t="s">
        <v>5</v>
      </c>
      <c r="K4911" s="2" t="s">
        <v>5</v>
      </c>
      <c r="L4911" s="2" t="s">
        <v>5</v>
      </c>
      <c r="M4911" s="2" t="s">
        <v>5</v>
      </c>
      <c r="N4911" s="4">
        <v>0</v>
      </c>
    </row>
    <row r="4912" spans="1:14" x14ac:dyDescent="0.25">
      <c r="A4912" s="2" t="s">
        <v>418</v>
      </c>
      <c r="B4912" s="2" t="s">
        <v>419</v>
      </c>
      <c r="C4912" s="3">
        <v>14.125</v>
      </c>
      <c r="D4912" s="4">
        <v>132.06874999999999</v>
      </c>
      <c r="E4912" s="4">
        <v>134.1875</v>
      </c>
      <c r="F4912" s="4">
        <f t="shared" si="293"/>
        <v>-2.1187500000000057</v>
      </c>
      <c r="G4912" s="5">
        <f t="shared" si="294"/>
        <v>-1.6042780748663145E-2</v>
      </c>
      <c r="H4912" s="2" t="s">
        <v>5</v>
      </c>
      <c r="I4912" s="6" t="s">
        <v>2300</v>
      </c>
      <c r="J4912" s="2" t="s">
        <v>5</v>
      </c>
      <c r="K4912" s="2" t="s">
        <v>5</v>
      </c>
      <c r="L4912" s="2" t="s">
        <v>5</v>
      </c>
      <c r="M4912" s="2" t="s">
        <v>5</v>
      </c>
      <c r="N4912" s="4">
        <v>0</v>
      </c>
    </row>
    <row r="4913" spans="1:14" x14ac:dyDescent="0.25">
      <c r="A4913" s="2" t="s">
        <v>418</v>
      </c>
      <c r="B4913" s="2" t="s">
        <v>419</v>
      </c>
      <c r="C4913" s="3">
        <v>14.585000000000001</v>
      </c>
      <c r="D4913" s="4">
        <v>136.36975000000001</v>
      </c>
      <c r="E4913" s="4">
        <v>138.5575</v>
      </c>
      <c r="F4913" s="4">
        <f t="shared" si="293"/>
        <v>-2.1877499999999941</v>
      </c>
      <c r="G4913" s="5">
        <f t="shared" si="294"/>
        <v>-1.6042780748663058E-2</v>
      </c>
      <c r="H4913" s="2" t="s">
        <v>5</v>
      </c>
      <c r="I4913" s="6" t="s">
        <v>2300</v>
      </c>
      <c r="J4913" s="2" t="s">
        <v>5</v>
      </c>
      <c r="K4913" s="2" t="s">
        <v>5</v>
      </c>
      <c r="L4913" s="2" t="s">
        <v>5</v>
      </c>
      <c r="M4913" s="2" t="s">
        <v>5</v>
      </c>
      <c r="N4913" s="4">
        <v>0</v>
      </c>
    </row>
    <row r="4914" spans="1:14" x14ac:dyDescent="0.25">
      <c r="A4914" s="2" t="s">
        <v>418</v>
      </c>
      <c r="B4914" s="2" t="s">
        <v>419</v>
      </c>
      <c r="C4914" s="3">
        <v>15.11</v>
      </c>
      <c r="D4914" s="4">
        <v>141.27850000000001</v>
      </c>
      <c r="E4914" s="4">
        <v>143.54499999999999</v>
      </c>
      <c r="F4914" s="4">
        <f t="shared" si="293"/>
        <v>-2.2664999999999793</v>
      </c>
      <c r="G4914" s="5">
        <f t="shared" si="294"/>
        <v>-1.6042780748662954E-2</v>
      </c>
      <c r="H4914" s="2" t="s">
        <v>5</v>
      </c>
      <c r="I4914" s="6" t="s">
        <v>2300</v>
      </c>
      <c r="J4914" s="2" t="s">
        <v>5</v>
      </c>
      <c r="K4914" s="2" t="s">
        <v>5</v>
      </c>
      <c r="L4914" s="2" t="s">
        <v>5</v>
      </c>
      <c r="M4914" s="2" t="s">
        <v>5</v>
      </c>
      <c r="N4914" s="4">
        <v>0</v>
      </c>
    </row>
    <row r="4915" spans="1:14" x14ac:dyDescent="0.25">
      <c r="A4915" s="2" t="s">
        <v>418</v>
      </c>
      <c r="B4915" s="2" t="s">
        <v>419</v>
      </c>
      <c r="C4915" s="3">
        <v>28.92</v>
      </c>
      <c r="D4915" s="4">
        <v>270.40199999999999</v>
      </c>
      <c r="E4915" s="4">
        <v>274.74</v>
      </c>
      <c r="F4915" s="4">
        <f t="shared" si="293"/>
        <v>-4.3380000000000223</v>
      </c>
      <c r="G4915" s="5">
        <f t="shared" si="294"/>
        <v>-1.6042780748663183E-2</v>
      </c>
      <c r="H4915" s="2" t="s">
        <v>5</v>
      </c>
      <c r="I4915" s="6" t="s">
        <v>2300</v>
      </c>
      <c r="J4915" s="2" t="s">
        <v>5</v>
      </c>
      <c r="K4915" s="2" t="s">
        <v>5</v>
      </c>
      <c r="L4915" s="2" t="s">
        <v>5</v>
      </c>
      <c r="M4915" s="2" t="s">
        <v>5</v>
      </c>
      <c r="N4915" s="4">
        <v>0</v>
      </c>
    </row>
    <row r="4916" spans="1:14" x14ac:dyDescent="0.25">
      <c r="A4916" s="2" t="s">
        <v>418</v>
      </c>
      <c r="B4916" s="2" t="s">
        <v>419</v>
      </c>
      <c r="C4916" s="3">
        <v>14.305</v>
      </c>
      <c r="D4916" s="4">
        <v>133.75174999999999</v>
      </c>
      <c r="E4916" s="4">
        <v>135.89750000000001</v>
      </c>
      <c r="F4916" s="4">
        <f t="shared" si="293"/>
        <v>-2.1457500000000209</v>
      </c>
      <c r="G4916" s="5">
        <f t="shared" si="294"/>
        <v>-1.6042780748663259E-2</v>
      </c>
      <c r="H4916" s="2" t="s">
        <v>5</v>
      </c>
      <c r="I4916" s="6" t="s">
        <v>2300</v>
      </c>
      <c r="J4916" s="2" t="s">
        <v>5</v>
      </c>
      <c r="K4916" s="2" t="s">
        <v>5</v>
      </c>
      <c r="L4916" s="2" t="s">
        <v>5</v>
      </c>
      <c r="M4916" s="2" t="s">
        <v>5</v>
      </c>
      <c r="N4916" s="4">
        <v>0</v>
      </c>
    </row>
    <row r="4917" spans="1:14" x14ac:dyDescent="0.25">
      <c r="A4917" s="2" t="s">
        <v>420</v>
      </c>
      <c r="B4917" s="2" t="s">
        <v>421</v>
      </c>
      <c r="C4917" s="3">
        <v>8</v>
      </c>
      <c r="D4917" s="4">
        <v>103.12</v>
      </c>
      <c r="E4917" s="4">
        <v>71.44</v>
      </c>
      <c r="F4917" s="4">
        <f t="shared" si="293"/>
        <v>31.680000000000007</v>
      </c>
      <c r="G4917" s="5">
        <f t="shared" si="294"/>
        <v>0.30721489526764939</v>
      </c>
      <c r="H4917" s="2" t="s">
        <v>5</v>
      </c>
      <c r="I4917" s="6" t="s">
        <v>2300</v>
      </c>
      <c r="J4917" s="2" t="s">
        <v>5</v>
      </c>
      <c r="K4917" s="2" t="s">
        <v>5</v>
      </c>
      <c r="L4917" s="2" t="s">
        <v>5</v>
      </c>
      <c r="M4917" s="2" t="s">
        <v>5</v>
      </c>
      <c r="N4917" s="4">
        <v>0</v>
      </c>
    </row>
    <row r="4918" spans="1:14" x14ac:dyDescent="0.25">
      <c r="A4918" s="2" t="s">
        <v>420</v>
      </c>
      <c r="B4918" s="2" t="s">
        <v>421</v>
      </c>
      <c r="C4918" s="3">
        <v>4</v>
      </c>
      <c r="D4918" s="4">
        <v>51.56</v>
      </c>
      <c r="E4918" s="4">
        <v>35.72</v>
      </c>
      <c r="F4918" s="4">
        <f t="shared" si="293"/>
        <v>15.840000000000003</v>
      </c>
      <c r="G4918" s="5">
        <f t="shared" si="294"/>
        <v>0.30721489526764939</v>
      </c>
      <c r="H4918" s="2" t="s">
        <v>5</v>
      </c>
      <c r="I4918" s="6" t="s">
        <v>2300</v>
      </c>
      <c r="J4918" s="2" t="s">
        <v>5</v>
      </c>
      <c r="K4918" s="2" t="s">
        <v>5</v>
      </c>
      <c r="L4918" s="2" t="s">
        <v>5</v>
      </c>
      <c r="M4918" s="2" t="s">
        <v>5</v>
      </c>
      <c r="N4918" s="4">
        <v>0</v>
      </c>
    </row>
    <row r="4919" spans="1:14" x14ac:dyDescent="0.25">
      <c r="A4919" s="2" t="s">
        <v>2228</v>
      </c>
      <c r="B4919" s="2" t="s">
        <v>2229</v>
      </c>
      <c r="C4919" s="3">
        <v>43.3</v>
      </c>
      <c r="D4919" s="4">
        <v>1082.5</v>
      </c>
      <c r="E4919" s="4">
        <v>887.65</v>
      </c>
      <c r="F4919" s="4">
        <f t="shared" si="293"/>
        <v>194.85000000000002</v>
      </c>
      <c r="G4919" s="5">
        <f t="shared" si="294"/>
        <v>0.18000000000000002</v>
      </c>
      <c r="H4919" s="2" t="s">
        <v>5</v>
      </c>
      <c r="I4919" s="6" t="s">
        <v>2300</v>
      </c>
      <c r="J4919" s="2" t="s">
        <v>5</v>
      </c>
      <c r="K4919" s="2" t="s">
        <v>5</v>
      </c>
      <c r="L4919" s="2" t="s">
        <v>5</v>
      </c>
      <c r="M4919" s="2" t="s">
        <v>5</v>
      </c>
      <c r="N4919" s="4">
        <v>0</v>
      </c>
    </row>
    <row r="4920" spans="1:14" x14ac:dyDescent="0.25">
      <c r="A4920" s="2" t="s">
        <v>2228</v>
      </c>
      <c r="B4920" s="2" t="s">
        <v>2229</v>
      </c>
      <c r="C4920" s="3">
        <v>64.635000000000005</v>
      </c>
      <c r="D4920" s="4">
        <v>1615.875</v>
      </c>
      <c r="E4920" s="4">
        <v>1325.0174999999999</v>
      </c>
      <c r="F4920" s="4">
        <f t="shared" si="293"/>
        <v>290.85750000000007</v>
      </c>
      <c r="G4920" s="5">
        <f t="shared" si="294"/>
        <v>0.18000000000000005</v>
      </c>
      <c r="H4920" s="2" t="s">
        <v>5</v>
      </c>
      <c r="I4920" s="6" t="s">
        <v>2300</v>
      </c>
      <c r="J4920" s="2" t="s">
        <v>5</v>
      </c>
      <c r="K4920" s="2" t="s">
        <v>5</v>
      </c>
      <c r="L4920" s="2" t="s">
        <v>5</v>
      </c>
      <c r="M4920" s="2" t="s">
        <v>5</v>
      </c>
      <c r="N4920" s="4">
        <v>0</v>
      </c>
    </row>
    <row r="4921" spans="1:14" x14ac:dyDescent="0.25">
      <c r="A4921" s="2" t="s">
        <v>326</v>
      </c>
      <c r="B4921" s="2" t="s">
        <v>327</v>
      </c>
      <c r="C4921" s="3">
        <v>15.3</v>
      </c>
      <c r="D4921" s="4">
        <v>250.30799999999999</v>
      </c>
      <c r="E4921" s="4">
        <v>81.396000000000001</v>
      </c>
      <c r="F4921" s="4">
        <f t="shared" si="293"/>
        <v>168.91199999999998</v>
      </c>
      <c r="G4921" s="5">
        <f t="shared" si="294"/>
        <v>0.67481662591687031</v>
      </c>
      <c r="H4921" s="2" t="s">
        <v>5</v>
      </c>
      <c r="I4921" s="6" t="s">
        <v>2300</v>
      </c>
      <c r="J4921" s="2" t="s">
        <v>5</v>
      </c>
      <c r="K4921" s="2" t="s">
        <v>5</v>
      </c>
      <c r="L4921" s="2" t="s">
        <v>5</v>
      </c>
      <c r="M4921" s="2" t="s">
        <v>5</v>
      </c>
      <c r="N4921" s="4">
        <v>0</v>
      </c>
    </row>
    <row r="4922" spans="1:14" x14ac:dyDescent="0.25">
      <c r="A4922" s="2" t="s">
        <v>1190</v>
      </c>
      <c r="B4922" s="2" t="s">
        <v>1191</v>
      </c>
      <c r="C4922" s="3">
        <v>1</v>
      </c>
      <c r="D4922" s="4">
        <v>18.98</v>
      </c>
      <c r="E4922" s="4">
        <v>8.36</v>
      </c>
      <c r="F4922" s="4">
        <f t="shared" si="293"/>
        <v>10.620000000000001</v>
      </c>
      <c r="G4922" s="5">
        <f t="shared" si="294"/>
        <v>0.55953635405690205</v>
      </c>
      <c r="H4922" s="2" t="s">
        <v>5</v>
      </c>
      <c r="I4922" s="6" t="s">
        <v>2300</v>
      </c>
      <c r="J4922" s="2" t="s">
        <v>5</v>
      </c>
      <c r="K4922" s="2" t="s">
        <v>5</v>
      </c>
      <c r="L4922" s="2" t="s">
        <v>5</v>
      </c>
      <c r="M4922" s="2" t="s">
        <v>5</v>
      </c>
      <c r="N4922" s="4">
        <v>0</v>
      </c>
    </row>
    <row r="4923" spans="1:14" x14ac:dyDescent="0.25">
      <c r="A4923" s="2" t="s">
        <v>1140</v>
      </c>
      <c r="B4923" s="2" t="s">
        <v>1141</v>
      </c>
      <c r="C4923" s="3">
        <v>1</v>
      </c>
      <c r="D4923" s="4">
        <v>5.89</v>
      </c>
      <c r="E4923" s="4">
        <v>3.97</v>
      </c>
      <c r="F4923" s="4">
        <f t="shared" si="293"/>
        <v>1.9199999999999995</v>
      </c>
      <c r="G4923" s="5">
        <f t="shared" si="294"/>
        <v>0.32597623089983013</v>
      </c>
      <c r="H4923" s="2" t="s">
        <v>5</v>
      </c>
      <c r="I4923" s="6" t="s">
        <v>2300</v>
      </c>
      <c r="J4923" s="2" t="s">
        <v>5</v>
      </c>
      <c r="K4923" s="2" t="s">
        <v>5</v>
      </c>
      <c r="L4923" s="2" t="s">
        <v>5</v>
      </c>
      <c r="M4923" s="2" t="s">
        <v>5</v>
      </c>
      <c r="N4923" s="4">
        <v>0</v>
      </c>
    </row>
    <row r="4924" spans="1:14" x14ac:dyDescent="0.25">
      <c r="A4924" s="2" t="s">
        <v>1099</v>
      </c>
      <c r="B4924" s="2" t="s">
        <v>1100</v>
      </c>
      <c r="C4924" s="3">
        <v>1</v>
      </c>
      <c r="D4924" s="4">
        <v>5.57</v>
      </c>
      <c r="E4924" s="4">
        <v>3.76</v>
      </c>
      <c r="F4924" s="4">
        <f t="shared" si="293"/>
        <v>1.8100000000000005</v>
      </c>
      <c r="G4924" s="5">
        <f t="shared" si="294"/>
        <v>0.32495511669658894</v>
      </c>
      <c r="H4924" s="2" t="s">
        <v>5</v>
      </c>
      <c r="I4924" s="6" t="s">
        <v>2300</v>
      </c>
      <c r="J4924" s="2" t="s">
        <v>5</v>
      </c>
      <c r="K4924" s="2" t="s">
        <v>5</v>
      </c>
      <c r="L4924" s="2" t="s">
        <v>5</v>
      </c>
      <c r="M4924" s="2" t="s">
        <v>5</v>
      </c>
      <c r="N4924" s="4">
        <v>0</v>
      </c>
    </row>
    <row r="4925" spans="1:14" x14ac:dyDescent="0.25">
      <c r="A4925" s="2" t="s">
        <v>1142</v>
      </c>
      <c r="B4925" s="2" t="s">
        <v>1143</v>
      </c>
      <c r="C4925" s="3">
        <v>1</v>
      </c>
      <c r="D4925" s="4">
        <v>5.57</v>
      </c>
      <c r="E4925" s="4">
        <v>5.5</v>
      </c>
      <c r="F4925" s="4">
        <f t="shared" si="293"/>
        <v>7.0000000000000284E-2</v>
      </c>
      <c r="G4925" s="5">
        <f t="shared" si="294"/>
        <v>1.2567324955116747E-2</v>
      </c>
      <c r="H4925" s="2" t="s">
        <v>5</v>
      </c>
      <c r="I4925" s="6" t="s">
        <v>2300</v>
      </c>
      <c r="J4925" s="2" t="s">
        <v>5</v>
      </c>
      <c r="K4925" s="2" t="s">
        <v>5</v>
      </c>
      <c r="L4925" s="2" t="s">
        <v>5</v>
      </c>
      <c r="M4925" s="2" t="s">
        <v>5</v>
      </c>
      <c r="N4925" s="4">
        <v>0</v>
      </c>
    </row>
    <row r="4926" spans="1:14" x14ac:dyDescent="0.25">
      <c r="A4926" s="2" t="s">
        <v>1142</v>
      </c>
      <c r="B4926" s="2" t="s">
        <v>1143</v>
      </c>
      <c r="C4926" s="3">
        <v>2</v>
      </c>
      <c r="D4926" s="4">
        <v>11.14</v>
      </c>
      <c r="E4926" s="4">
        <v>11</v>
      </c>
      <c r="F4926" s="4">
        <f t="shared" si="293"/>
        <v>0.14000000000000057</v>
      </c>
      <c r="G4926" s="5">
        <f t="shared" si="294"/>
        <v>1.2567324955116747E-2</v>
      </c>
      <c r="H4926" s="2" t="s">
        <v>5</v>
      </c>
      <c r="I4926" s="6" t="s">
        <v>2300</v>
      </c>
      <c r="J4926" s="2" t="s">
        <v>5</v>
      </c>
      <c r="K4926" s="2" t="s">
        <v>5</v>
      </c>
      <c r="L4926" s="2" t="s">
        <v>5</v>
      </c>
      <c r="M4926" s="2" t="s">
        <v>5</v>
      </c>
      <c r="N4926" s="4">
        <v>0</v>
      </c>
    </row>
    <row r="4927" spans="1:14" x14ac:dyDescent="0.25">
      <c r="A4927" s="2" t="s">
        <v>1142</v>
      </c>
      <c r="B4927" s="2" t="s">
        <v>1143</v>
      </c>
      <c r="C4927" s="3">
        <v>2</v>
      </c>
      <c r="D4927" s="4">
        <v>11.14</v>
      </c>
      <c r="E4927" s="4">
        <v>11</v>
      </c>
      <c r="F4927" s="4">
        <f t="shared" si="293"/>
        <v>0.14000000000000057</v>
      </c>
      <c r="G4927" s="5">
        <f t="shared" si="294"/>
        <v>1.2567324955116747E-2</v>
      </c>
      <c r="H4927" s="2" t="s">
        <v>5</v>
      </c>
      <c r="I4927" s="6" t="s">
        <v>2300</v>
      </c>
      <c r="J4927" s="2" t="s">
        <v>5</v>
      </c>
      <c r="K4927" s="2" t="s">
        <v>5</v>
      </c>
      <c r="L4927" s="2" t="s">
        <v>5</v>
      </c>
      <c r="M4927" s="2" t="s">
        <v>5</v>
      </c>
      <c r="N4927" s="4">
        <v>0</v>
      </c>
    </row>
    <row r="4928" spans="1:14" x14ac:dyDescent="0.25">
      <c r="A4928" s="2" t="s">
        <v>1101</v>
      </c>
      <c r="B4928" s="2" t="s">
        <v>1102</v>
      </c>
      <c r="C4928" s="3">
        <v>4</v>
      </c>
      <c r="D4928" s="4">
        <v>22.28</v>
      </c>
      <c r="E4928" s="4">
        <v>22</v>
      </c>
      <c r="F4928" s="4">
        <f t="shared" si="293"/>
        <v>0.28000000000000114</v>
      </c>
      <c r="G4928" s="5">
        <f t="shared" si="294"/>
        <v>1.2567324955116747E-2</v>
      </c>
      <c r="H4928" s="2" t="s">
        <v>5</v>
      </c>
      <c r="I4928" s="6" t="s">
        <v>2300</v>
      </c>
      <c r="J4928" s="2" t="s">
        <v>5</v>
      </c>
      <c r="K4928" s="2" t="s">
        <v>5</v>
      </c>
      <c r="L4928" s="2" t="s">
        <v>5</v>
      </c>
      <c r="M4928" s="2" t="s">
        <v>5</v>
      </c>
      <c r="N4928" s="4">
        <v>0</v>
      </c>
    </row>
    <row r="4929" spans="1:14" x14ac:dyDescent="0.25">
      <c r="A4929" s="2" t="s">
        <v>1101</v>
      </c>
      <c r="B4929" s="2" t="s">
        <v>1102</v>
      </c>
      <c r="C4929" s="3">
        <v>2</v>
      </c>
      <c r="D4929" s="4">
        <v>11.14</v>
      </c>
      <c r="E4929" s="4">
        <v>11</v>
      </c>
      <c r="F4929" s="4">
        <f t="shared" si="293"/>
        <v>0.14000000000000057</v>
      </c>
      <c r="G4929" s="5">
        <f t="shared" si="294"/>
        <v>1.2567324955116747E-2</v>
      </c>
      <c r="H4929" s="2" t="s">
        <v>5</v>
      </c>
      <c r="I4929" s="6" t="s">
        <v>2300</v>
      </c>
      <c r="J4929" s="2" t="s">
        <v>5</v>
      </c>
      <c r="K4929" s="2" t="s">
        <v>5</v>
      </c>
      <c r="L4929" s="2" t="s">
        <v>5</v>
      </c>
      <c r="M4929" s="2" t="s">
        <v>5</v>
      </c>
      <c r="N4929" s="4">
        <v>0</v>
      </c>
    </row>
    <row r="4930" spans="1:14" x14ac:dyDescent="0.25">
      <c r="A4930" s="2" t="s">
        <v>1101</v>
      </c>
      <c r="B4930" s="2" t="s">
        <v>1102</v>
      </c>
      <c r="C4930" s="3">
        <v>2</v>
      </c>
      <c r="D4930" s="4">
        <v>11.14</v>
      </c>
      <c r="E4930" s="4">
        <v>11</v>
      </c>
      <c r="F4930" s="4">
        <f t="shared" si="293"/>
        <v>0.14000000000000057</v>
      </c>
      <c r="G4930" s="5">
        <f t="shared" si="294"/>
        <v>1.2567324955116747E-2</v>
      </c>
      <c r="H4930" s="2" t="s">
        <v>5</v>
      </c>
      <c r="I4930" s="6" t="s">
        <v>2300</v>
      </c>
      <c r="J4930" s="2" t="s">
        <v>5</v>
      </c>
      <c r="K4930" s="2" t="s">
        <v>5</v>
      </c>
      <c r="L4930" s="2" t="s">
        <v>5</v>
      </c>
      <c r="M4930" s="2" t="s">
        <v>5</v>
      </c>
      <c r="N4930" s="4">
        <v>0</v>
      </c>
    </row>
    <row r="4931" spans="1:14" x14ac:dyDescent="0.25">
      <c r="A4931" s="2" t="s">
        <v>1101</v>
      </c>
      <c r="B4931" s="2" t="s">
        <v>1102</v>
      </c>
      <c r="C4931" s="3">
        <v>2</v>
      </c>
      <c r="D4931" s="4">
        <v>11.14</v>
      </c>
      <c r="E4931" s="4">
        <v>11</v>
      </c>
      <c r="F4931" s="4">
        <f t="shared" si="293"/>
        <v>0.14000000000000057</v>
      </c>
      <c r="G4931" s="5">
        <f t="shared" si="294"/>
        <v>1.2567324955116747E-2</v>
      </c>
      <c r="H4931" s="2" t="s">
        <v>5</v>
      </c>
      <c r="I4931" s="6" t="s">
        <v>2300</v>
      </c>
      <c r="J4931" s="2" t="s">
        <v>5</v>
      </c>
      <c r="K4931" s="2" t="s">
        <v>5</v>
      </c>
      <c r="L4931" s="2" t="s">
        <v>5</v>
      </c>
      <c r="M4931" s="2" t="s">
        <v>5</v>
      </c>
      <c r="N4931" s="4">
        <v>0</v>
      </c>
    </row>
    <row r="4932" spans="1:14" x14ac:dyDescent="0.25">
      <c r="A4932" s="2" t="s">
        <v>1101</v>
      </c>
      <c r="B4932" s="2" t="s">
        <v>1102</v>
      </c>
      <c r="C4932" s="3">
        <v>2</v>
      </c>
      <c r="D4932" s="4">
        <v>11.14</v>
      </c>
      <c r="E4932" s="4">
        <v>11</v>
      </c>
      <c r="F4932" s="4">
        <f t="shared" si="293"/>
        <v>0.14000000000000057</v>
      </c>
      <c r="G4932" s="5">
        <f t="shared" si="294"/>
        <v>1.2567324955116747E-2</v>
      </c>
      <c r="H4932" s="2" t="s">
        <v>5</v>
      </c>
      <c r="I4932" s="6" t="s">
        <v>2300</v>
      </c>
      <c r="J4932" s="2" t="s">
        <v>5</v>
      </c>
      <c r="K4932" s="2" t="s">
        <v>5</v>
      </c>
      <c r="L4932" s="2" t="s">
        <v>5</v>
      </c>
      <c r="M4932" s="2" t="s">
        <v>5</v>
      </c>
      <c r="N4932" s="4">
        <v>0</v>
      </c>
    </row>
    <row r="4933" spans="1:14" x14ac:dyDescent="0.25">
      <c r="A4933" s="2" t="s">
        <v>1101</v>
      </c>
      <c r="B4933" s="2" t="s">
        <v>1102</v>
      </c>
      <c r="C4933" s="3">
        <v>2</v>
      </c>
      <c r="D4933" s="4">
        <v>11.14</v>
      </c>
      <c r="E4933" s="4">
        <v>11</v>
      </c>
      <c r="F4933" s="4">
        <f t="shared" si="293"/>
        <v>0.14000000000000057</v>
      </c>
      <c r="G4933" s="5">
        <f t="shared" si="294"/>
        <v>1.2567324955116747E-2</v>
      </c>
      <c r="H4933" s="2" t="s">
        <v>5</v>
      </c>
      <c r="I4933" s="6" t="s">
        <v>2300</v>
      </c>
      <c r="J4933" s="2" t="s">
        <v>5</v>
      </c>
      <c r="K4933" s="2" t="s">
        <v>5</v>
      </c>
      <c r="L4933" s="2" t="s">
        <v>5</v>
      </c>
      <c r="M4933" s="2" t="s">
        <v>5</v>
      </c>
      <c r="N4933" s="4">
        <v>0</v>
      </c>
    </row>
    <row r="4934" spans="1:14" x14ac:dyDescent="0.25">
      <c r="A4934" s="2" t="s">
        <v>1101</v>
      </c>
      <c r="B4934" s="2" t="s">
        <v>1102</v>
      </c>
      <c r="C4934" s="3">
        <v>2</v>
      </c>
      <c r="D4934" s="4">
        <v>11.14</v>
      </c>
      <c r="E4934" s="4">
        <v>11</v>
      </c>
      <c r="F4934" s="4">
        <f t="shared" si="293"/>
        <v>0.14000000000000057</v>
      </c>
      <c r="G4934" s="5">
        <f t="shared" si="294"/>
        <v>1.2567324955116747E-2</v>
      </c>
      <c r="H4934" s="2" t="s">
        <v>5</v>
      </c>
      <c r="I4934" s="6" t="s">
        <v>2300</v>
      </c>
      <c r="J4934" s="2" t="s">
        <v>5</v>
      </c>
      <c r="K4934" s="2" t="s">
        <v>5</v>
      </c>
      <c r="L4934" s="2" t="s">
        <v>5</v>
      </c>
      <c r="M4934" s="2" t="s">
        <v>5</v>
      </c>
      <c r="N4934" s="4">
        <v>0</v>
      </c>
    </row>
    <row r="4935" spans="1:14" x14ac:dyDescent="0.25">
      <c r="A4935" s="2" t="s">
        <v>1101</v>
      </c>
      <c r="B4935" s="2" t="s">
        <v>1102</v>
      </c>
      <c r="C4935" s="3">
        <v>2</v>
      </c>
      <c r="D4935" s="4">
        <v>11.14</v>
      </c>
      <c r="E4935" s="4">
        <v>11</v>
      </c>
      <c r="F4935" s="4">
        <f t="shared" si="293"/>
        <v>0.14000000000000057</v>
      </c>
      <c r="G4935" s="5">
        <f t="shared" si="294"/>
        <v>1.2567324955116747E-2</v>
      </c>
      <c r="H4935" s="2" t="s">
        <v>5</v>
      </c>
      <c r="I4935" s="6" t="s">
        <v>2300</v>
      </c>
      <c r="J4935" s="2" t="s">
        <v>5</v>
      </c>
      <c r="K4935" s="2" t="s">
        <v>5</v>
      </c>
      <c r="L4935" s="2" t="s">
        <v>5</v>
      </c>
      <c r="M4935" s="2" t="s">
        <v>5</v>
      </c>
      <c r="N4935" s="4">
        <v>0</v>
      </c>
    </row>
    <row r="4936" spans="1:14" x14ac:dyDescent="0.25">
      <c r="A4936" s="2" t="s">
        <v>1584</v>
      </c>
      <c r="B4936" s="2" t="s">
        <v>1585</v>
      </c>
      <c r="C4936" s="3">
        <v>1</v>
      </c>
      <c r="D4936" s="4">
        <v>5.57</v>
      </c>
      <c r="E4936" s="4">
        <v>3.5</v>
      </c>
      <c r="F4936" s="4">
        <f t="shared" si="293"/>
        <v>2.0700000000000003</v>
      </c>
      <c r="G4936" s="5">
        <f t="shared" si="294"/>
        <v>0.37163375224416523</v>
      </c>
      <c r="H4936" s="2" t="s">
        <v>5</v>
      </c>
      <c r="I4936" s="6" t="s">
        <v>2300</v>
      </c>
      <c r="J4936" s="2" t="s">
        <v>5</v>
      </c>
      <c r="K4936" s="2" t="s">
        <v>5</v>
      </c>
      <c r="L4936" s="2" t="s">
        <v>5</v>
      </c>
      <c r="M4936" s="2" t="s">
        <v>5</v>
      </c>
      <c r="N4936" s="4">
        <v>0</v>
      </c>
    </row>
    <row r="4937" spans="1:14" x14ac:dyDescent="0.25">
      <c r="A4937" s="2" t="s">
        <v>1144</v>
      </c>
      <c r="B4937" s="2" t="s">
        <v>1145</v>
      </c>
      <c r="C4937" s="3">
        <v>1</v>
      </c>
      <c r="D4937" s="4">
        <v>17.79</v>
      </c>
      <c r="E4937" s="4">
        <v>12</v>
      </c>
      <c r="F4937" s="4">
        <f t="shared" si="293"/>
        <v>5.7899999999999991</v>
      </c>
      <c r="G4937" s="5">
        <f t="shared" si="294"/>
        <v>0.32546374367622255</v>
      </c>
      <c r="H4937" s="2" t="s">
        <v>5</v>
      </c>
      <c r="I4937" s="6" t="s">
        <v>2300</v>
      </c>
      <c r="J4937" s="2" t="s">
        <v>5</v>
      </c>
      <c r="K4937" s="2" t="s">
        <v>5</v>
      </c>
      <c r="L4937" s="2" t="s">
        <v>5</v>
      </c>
      <c r="M4937" s="2" t="s">
        <v>5</v>
      </c>
      <c r="N4937" s="4">
        <v>0</v>
      </c>
    </row>
    <row r="4938" spans="1:14" x14ac:dyDescent="0.25">
      <c r="A4938" s="2" t="s">
        <v>1144</v>
      </c>
      <c r="B4938" s="2" t="s">
        <v>1145</v>
      </c>
      <c r="C4938" s="3">
        <v>1</v>
      </c>
      <c r="D4938" s="4">
        <v>17.79</v>
      </c>
      <c r="E4938" s="4">
        <v>12</v>
      </c>
      <c r="F4938" s="4">
        <f t="shared" si="293"/>
        <v>5.7899999999999991</v>
      </c>
      <c r="G4938" s="5">
        <f t="shared" si="294"/>
        <v>0.32546374367622255</v>
      </c>
      <c r="H4938" s="2" t="s">
        <v>5</v>
      </c>
      <c r="I4938" s="6" t="s">
        <v>2300</v>
      </c>
      <c r="J4938" s="2" t="s">
        <v>5</v>
      </c>
      <c r="K4938" s="2" t="s">
        <v>5</v>
      </c>
      <c r="L4938" s="2" t="s">
        <v>5</v>
      </c>
      <c r="M4938" s="2" t="s">
        <v>5</v>
      </c>
      <c r="N4938" s="4">
        <v>0</v>
      </c>
    </row>
    <row r="4939" spans="1:14" x14ac:dyDescent="0.25">
      <c r="A4939" s="2" t="s">
        <v>1144</v>
      </c>
      <c r="B4939" s="2" t="s">
        <v>1145</v>
      </c>
      <c r="C4939" s="3">
        <v>1</v>
      </c>
      <c r="D4939" s="4">
        <v>17.79</v>
      </c>
      <c r="E4939" s="4">
        <v>12</v>
      </c>
      <c r="F4939" s="4">
        <f t="shared" si="293"/>
        <v>5.7899999999999991</v>
      </c>
      <c r="G4939" s="5">
        <f t="shared" si="294"/>
        <v>0.32546374367622255</v>
      </c>
      <c r="H4939" s="2" t="s">
        <v>5</v>
      </c>
      <c r="I4939" s="6" t="s">
        <v>2300</v>
      </c>
      <c r="J4939" s="2" t="s">
        <v>5</v>
      </c>
      <c r="K4939" s="2" t="s">
        <v>5</v>
      </c>
      <c r="L4939" s="2" t="s">
        <v>5</v>
      </c>
      <c r="M4939" s="2" t="s">
        <v>5</v>
      </c>
      <c r="N4939" s="4">
        <v>0</v>
      </c>
    </row>
    <row r="4940" spans="1:14" x14ac:dyDescent="0.25">
      <c r="A4940" s="2" t="s">
        <v>43</v>
      </c>
      <c r="B4940" s="2" t="s">
        <v>44</v>
      </c>
      <c r="C4940" s="3">
        <v>8.3149999999999995</v>
      </c>
      <c r="D4940" s="4">
        <v>80.655500000000004</v>
      </c>
      <c r="E4940" s="4">
        <v>44.901000000000003</v>
      </c>
      <c r="F4940" s="4">
        <f t="shared" si="293"/>
        <v>35.7545</v>
      </c>
      <c r="G4940" s="5">
        <f t="shared" si="294"/>
        <v>0.44329896907216493</v>
      </c>
      <c r="H4940" s="2" t="s">
        <v>5</v>
      </c>
      <c r="I4940" s="6" t="s">
        <v>2300</v>
      </c>
      <c r="J4940" s="2" t="s">
        <v>5</v>
      </c>
      <c r="K4940" s="2" t="s">
        <v>5</v>
      </c>
      <c r="L4940" s="2" t="s">
        <v>5</v>
      </c>
      <c r="M4940" s="2" t="s">
        <v>5</v>
      </c>
      <c r="N4940" s="4">
        <v>0</v>
      </c>
    </row>
    <row r="4941" spans="1:14" x14ac:dyDescent="0.25">
      <c r="A4941" s="2" t="s">
        <v>43</v>
      </c>
      <c r="B4941" s="2" t="s">
        <v>44</v>
      </c>
      <c r="C4941" s="3">
        <v>15.2</v>
      </c>
      <c r="D4941" s="4">
        <v>138.32</v>
      </c>
      <c r="E4941" s="4">
        <v>82.08</v>
      </c>
      <c r="F4941" s="4">
        <f t="shared" si="293"/>
        <v>56.239999999999995</v>
      </c>
      <c r="G4941" s="5">
        <f t="shared" si="294"/>
        <v>0.40659340659340659</v>
      </c>
      <c r="H4941" s="2" t="s">
        <v>5</v>
      </c>
      <c r="I4941" s="6" t="s">
        <v>2300</v>
      </c>
      <c r="J4941" s="2" t="s">
        <v>5</v>
      </c>
      <c r="K4941" s="2" t="s">
        <v>5</v>
      </c>
      <c r="L4941" s="2" t="s">
        <v>5</v>
      </c>
      <c r="M4941" s="2" t="s">
        <v>5</v>
      </c>
      <c r="N4941" s="4">
        <v>0</v>
      </c>
    </row>
    <row r="4942" spans="1:14" x14ac:dyDescent="0.25">
      <c r="A4942" s="2" t="s">
        <v>43</v>
      </c>
      <c r="B4942" s="2" t="s">
        <v>44</v>
      </c>
      <c r="C4942" s="3">
        <v>9.6300000000000008</v>
      </c>
      <c r="D4942" s="4">
        <v>101.8854</v>
      </c>
      <c r="E4942" s="4">
        <v>52.002000000000002</v>
      </c>
      <c r="F4942" s="4">
        <f t="shared" si="293"/>
        <v>49.883400000000002</v>
      </c>
      <c r="G4942" s="5">
        <f t="shared" si="294"/>
        <v>0.4896030245746692</v>
      </c>
      <c r="H4942" s="2" t="s">
        <v>5</v>
      </c>
      <c r="I4942" s="6" t="s">
        <v>2300</v>
      </c>
      <c r="J4942" s="2" t="s">
        <v>5</v>
      </c>
      <c r="K4942" s="2" t="s">
        <v>5</v>
      </c>
      <c r="L4942" s="2" t="s">
        <v>5</v>
      </c>
      <c r="M4942" s="2" t="s">
        <v>5</v>
      </c>
      <c r="N4942" s="4">
        <v>0</v>
      </c>
    </row>
    <row r="4943" spans="1:14" x14ac:dyDescent="0.25">
      <c r="A4943" s="2" t="s">
        <v>613</v>
      </c>
      <c r="B4943" s="2" t="s">
        <v>614</v>
      </c>
      <c r="C4943" s="3">
        <v>14.48</v>
      </c>
      <c r="D4943" s="4">
        <v>79.495199999999997</v>
      </c>
      <c r="E4943" s="4">
        <v>52.128</v>
      </c>
      <c r="F4943" s="4">
        <f t="shared" si="293"/>
        <v>27.367199999999997</v>
      </c>
      <c r="G4943" s="5">
        <f t="shared" si="294"/>
        <v>0.34426229508196721</v>
      </c>
      <c r="H4943" s="2" t="s">
        <v>5</v>
      </c>
      <c r="I4943" s="6" t="s">
        <v>2300</v>
      </c>
      <c r="J4943" s="2" t="s">
        <v>5</v>
      </c>
      <c r="K4943" s="2" t="s">
        <v>5</v>
      </c>
      <c r="L4943" s="2" t="s">
        <v>5</v>
      </c>
      <c r="M4943" s="2" t="s">
        <v>5</v>
      </c>
      <c r="N4943" s="4">
        <v>0</v>
      </c>
    </row>
    <row r="4944" spans="1:14" x14ac:dyDescent="0.25">
      <c r="A4944" s="2" t="s">
        <v>613</v>
      </c>
      <c r="B4944" s="2" t="s">
        <v>614</v>
      </c>
      <c r="C4944" s="3">
        <v>11.42</v>
      </c>
      <c r="D4944" s="4">
        <v>69.8904</v>
      </c>
      <c r="E4944" s="4">
        <v>41.112000000000002</v>
      </c>
      <c r="F4944" s="4">
        <f t="shared" si="293"/>
        <v>28.778399999999998</v>
      </c>
      <c r="G4944" s="5">
        <f t="shared" si="294"/>
        <v>0.41176470588235292</v>
      </c>
      <c r="H4944" s="2" t="s">
        <v>5</v>
      </c>
      <c r="I4944" s="6" t="s">
        <v>2300</v>
      </c>
      <c r="J4944" s="2" t="s">
        <v>5</v>
      </c>
      <c r="K4944" s="2" t="s">
        <v>5</v>
      </c>
      <c r="L4944" s="2" t="s">
        <v>5</v>
      </c>
      <c r="M4944" s="2" t="s">
        <v>5</v>
      </c>
      <c r="N4944" s="4">
        <v>0</v>
      </c>
    </row>
    <row r="4945" spans="1:14" x14ac:dyDescent="0.25">
      <c r="A4945" s="2" t="s">
        <v>613</v>
      </c>
      <c r="B4945" s="2" t="s">
        <v>614</v>
      </c>
      <c r="C4945" s="3">
        <v>30.456</v>
      </c>
      <c r="D4945" s="4">
        <v>161.41679999999999</v>
      </c>
      <c r="E4945" s="4">
        <v>109.6416</v>
      </c>
      <c r="F4945" s="4">
        <f t="shared" si="293"/>
        <v>51.775199999999998</v>
      </c>
      <c r="G4945" s="5">
        <f t="shared" si="294"/>
        <v>0.32075471698113206</v>
      </c>
      <c r="H4945" s="2" t="s">
        <v>5</v>
      </c>
      <c r="I4945" s="6" t="s">
        <v>2300</v>
      </c>
      <c r="J4945" s="2" t="s">
        <v>5</v>
      </c>
      <c r="K4945" s="2" t="s">
        <v>5</v>
      </c>
      <c r="L4945" s="2" t="s">
        <v>5</v>
      </c>
      <c r="M4945" s="2" t="s">
        <v>5</v>
      </c>
      <c r="N4945" s="4">
        <v>0</v>
      </c>
    </row>
    <row r="4946" spans="1:14" x14ac:dyDescent="0.25">
      <c r="A4946" s="2" t="s">
        <v>613</v>
      </c>
      <c r="B4946" s="2" t="s">
        <v>614</v>
      </c>
      <c r="C4946" s="3">
        <v>30.004999999999999</v>
      </c>
      <c r="D4946" s="4">
        <v>149.42490000000001</v>
      </c>
      <c r="E4946" s="4">
        <v>108.018</v>
      </c>
      <c r="F4946" s="4">
        <f t="shared" si="293"/>
        <v>41.406900000000007</v>
      </c>
      <c r="G4946" s="5">
        <f t="shared" si="294"/>
        <v>0.27710843373493982</v>
      </c>
      <c r="H4946" s="2" t="s">
        <v>5</v>
      </c>
      <c r="I4946" s="6" t="s">
        <v>2300</v>
      </c>
      <c r="J4946" s="2" t="s">
        <v>5</v>
      </c>
      <c r="K4946" s="2" t="s">
        <v>5</v>
      </c>
      <c r="L4946" s="2" t="s">
        <v>5</v>
      </c>
      <c r="M4946" s="2" t="s">
        <v>5</v>
      </c>
      <c r="N4946" s="4">
        <v>0</v>
      </c>
    </row>
    <row r="4947" spans="1:14" x14ac:dyDescent="0.25">
      <c r="A4947" s="2" t="s">
        <v>613</v>
      </c>
      <c r="B4947" s="2" t="s">
        <v>614</v>
      </c>
      <c r="C4947" s="3">
        <v>13.13</v>
      </c>
      <c r="D4947" s="4">
        <v>72.083699999999993</v>
      </c>
      <c r="E4947" s="4">
        <v>47.268000000000001</v>
      </c>
      <c r="F4947" s="4">
        <f t="shared" si="293"/>
        <v>24.815699999999993</v>
      </c>
      <c r="G4947" s="5">
        <f t="shared" si="294"/>
        <v>0.34426229508196715</v>
      </c>
      <c r="H4947" s="2" t="s">
        <v>5</v>
      </c>
      <c r="I4947" s="6" t="s">
        <v>2300</v>
      </c>
      <c r="J4947" s="2" t="s">
        <v>5</v>
      </c>
      <c r="K4947" s="2" t="s">
        <v>5</v>
      </c>
      <c r="L4947" s="2" t="s">
        <v>5</v>
      </c>
      <c r="M4947" s="2" t="s">
        <v>5</v>
      </c>
      <c r="N4947" s="4">
        <v>0</v>
      </c>
    </row>
    <row r="4948" spans="1:14" x14ac:dyDescent="0.25">
      <c r="A4948" s="2" t="s">
        <v>613</v>
      </c>
      <c r="B4948" s="2" t="s">
        <v>614</v>
      </c>
      <c r="C4948" s="3">
        <v>12</v>
      </c>
      <c r="D4948" s="4">
        <v>63.6</v>
      </c>
      <c r="E4948" s="4">
        <v>43.2</v>
      </c>
      <c r="F4948" s="4">
        <f t="shared" si="293"/>
        <v>20.399999999999999</v>
      </c>
      <c r="G4948" s="5">
        <f t="shared" si="294"/>
        <v>0.32075471698113206</v>
      </c>
      <c r="H4948" s="2" t="s">
        <v>5</v>
      </c>
      <c r="I4948" s="6" t="s">
        <v>2300</v>
      </c>
      <c r="J4948" s="2" t="s">
        <v>5</v>
      </c>
      <c r="K4948" s="2" t="s">
        <v>5</v>
      </c>
      <c r="L4948" s="2" t="s">
        <v>5</v>
      </c>
      <c r="M4948" s="2" t="s">
        <v>5</v>
      </c>
      <c r="N4948" s="4">
        <v>0</v>
      </c>
    </row>
    <row r="4949" spans="1:14" x14ac:dyDescent="0.25">
      <c r="A4949" s="2" t="s">
        <v>45</v>
      </c>
      <c r="B4949" s="2" t="s">
        <v>46</v>
      </c>
      <c r="C4949" s="3">
        <v>24</v>
      </c>
      <c r="D4949" s="4">
        <v>293.76</v>
      </c>
      <c r="E4949" s="4">
        <v>175.2</v>
      </c>
      <c r="F4949" s="4">
        <f t="shared" si="293"/>
        <v>118.56</v>
      </c>
      <c r="G4949" s="5">
        <f t="shared" si="294"/>
        <v>0.40359477124183007</v>
      </c>
      <c r="H4949" s="2" t="s">
        <v>5</v>
      </c>
      <c r="I4949" s="6" t="s">
        <v>2300</v>
      </c>
      <c r="J4949" s="2" t="s">
        <v>5</v>
      </c>
      <c r="K4949" s="2" t="s">
        <v>5</v>
      </c>
      <c r="L4949" s="2" t="s">
        <v>5</v>
      </c>
      <c r="M4949" s="2" t="s">
        <v>5</v>
      </c>
      <c r="N4949" s="4">
        <v>0</v>
      </c>
    </row>
    <row r="4950" spans="1:14" x14ac:dyDescent="0.25">
      <c r="A4950" s="2" t="s">
        <v>45</v>
      </c>
      <c r="B4950" s="2" t="s">
        <v>46</v>
      </c>
      <c r="C4950" s="3">
        <v>15.24</v>
      </c>
      <c r="D4950" s="4">
        <v>204.52080000000001</v>
      </c>
      <c r="E4950" s="4">
        <v>111.252</v>
      </c>
      <c r="F4950" s="4">
        <f t="shared" si="293"/>
        <v>93.268800000000013</v>
      </c>
      <c r="G4950" s="5">
        <f t="shared" si="294"/>
        <v>0.45603576751117741</v>
      </c>
      <c r="H4950" s="2" t="s">
        <v>5</v>
      </c>
      <c r="I4950" s="6" t="s">
        <v>2300</v>
      </c>
      <c r="J4950" s="2" t="s">
        <v>5</v>
      </c>
      <c r="K4950" s="2" t="s">
        <v>5</v>
      </c>
      <c r="L4950" s="2" t="s">
        <v>5</v>
      </c>
      <c r="M4950" s="2" t="s">
        <v>5</v>
      </c>
      <c r="N4950" s="4">
        <v>0</v>
      </c>
    </row>
    <row r="4951" spans="1:14" x14ac:dyDescent="0.25">
      <c r="A4951" s="2" t="s">
        <v>45</v>
      </c>
      <c r="B4951" s="2" t="s">
        <v>46</v>
      </c>
      <c r="C4951" s="3">
        <v>72.739999999999995</v>
      </c>
      <c r="D4951" s="4">
        <v>976.17079999999999</v>
      </c>
      <c r="E4951" s="4">
        <v>531.00199999999995</v>
      </c>
      <c r="F4951" s="4">
        <f t="shared" si="293"/>
        <v>445.16880000000003</v>
      </c>
      <c r="G4951" s="5">
        <f t="shared" si="294"/>
        <v>0.45603576751117741</v>
      </c>
      <c r="H4951" s="2" t="s">
        <v>5</v>
      </c>
      <c r="I4951" s="6" t="s">
        <v>2300</v>
      </c>
      <c r="J4951" s="2" t="s">
        <v>5</v>
      </c>
      <c r="K4951" s="2" t="s">
        <v>5</v>
      </c>
      <c r="L4951" s="2" t="s">
        <v>5</v>
      </c>
      <c r="M4951" s="2" t="s">
        <v>5</v>
      </c>
      <c r="N4951" s="4">
        <v>0</v>
      </c>
    </row>
    <row r="4952" spans="1:14" x14ac:dyDescent="0.25">
      <c r="A4952" s="2" t="s">
        <v>45</v>
      </c>
      <c r="B4952" s="2" t="s">
        <v>46</v>
      </c>
      <c r="C4952" s="3">
        <v>90.23</v>
      </c>
      <c r="D4952" s="4">
        <v>1124.2657999999999</v>
      </c>
      <c r="E4952" s="4">
        <v>658.67899999999997</v>
      </c>
      <c r="F4952" s="4">
        <f t="shared" si="293"/>
        <v>465.58679999999993</v>
      </c>
      <c r="G4952" s="5">
        <f t="shared" si="294"/>
        <v>0.41412520064205455</v>
      </c>
      <c r="H4952" s="2" t="s">
        <v>5</v>
      </c>
      <c r="I4952" s="6" t="s">
        <v>2300</v>
      </c>
      <c r="J4952" s="2" t="s">
        <v>5</v>
      </c>
      <c r="K4952" s="2" t="s">
        <v>5</v>
      </c>
      <c r="L4952" s="2" t="s">
        <v>5</v>
      </c>
      <c r="M4952" s="2" t="s">
        <v>5</v>
      </c>
      <c r="N4952" s="4">
        <v>0</v>
      </c>
    </row>
    <row r="4953" spans="1:14" x14ac:dyDescent="0.25">
      <c r="A4953" s="2" t="s">
        <v>45</v>
      </c>
      <c r="B4953" s="2" t="s">
        <v>46</v>
      </c>
      <c r="C4953" s="3">
        <v>15.55</v>
      </c>
      <c r="D4953" s="4">
        <v>192.19800000000001</v>
      </c>
      <c r="E4953" s="4">
        <v>113.515</v>
      </c>
      <c r="F4953" s="4">
        <f t="shared" si="293"/>
        <v>78.683000000000007</v>
      </c>
      <c r="G4953" s="5">
        <f t="shared" si="294"/>
        <v>0.40938511326860844</v>
      </c>
      <c r="H4953" s="2" t="s">
        <v>5</v>
      </c>
      <c r="I4953" s="6" t="s">
        <v>2300</v>
      </c>
      <c r="J4953" s="2" t="s">
        <v>5</v>
      </c>
      <c r="K4953" s="2" t="s">
        <v>5</v>
      </c>
      <c r="L4953" s="2" t="s">
        <v>5</v>
      </c>
      <c r="M4953" s="2" t="s">
        <v>5</v>
      </c>
      <c r="N4953" s="4">
        <v>0</v>
      </c>
    </row>
    <row r="4954" spans="1:14" x14ac:dyDescent="0.25">
      <c r="A4954" s="2" t="s">
        <v>45</v>
      </c>
      <c r="B4954" s="2" t="s">
        <v>46</v>
      </c>
      <c r="C4954" s="3">
        <v>19.3</v>
      </c>
      <c r="D4954" s="4">
        <v>238.548</v>
      </c>
      <c r="E4954" s="4">
        <v>140.88999999999999</v>
      </c>
      <c r="F4954" s="4">
        <f t="shared" si="293"/>
        <v>97.658000000000015</v>
      </c>
      <c r="G4954" s="5">
        <f t="shared" si="294"/>
        <v>0.40938511326860849</v>
      </c>
      <c r="H4954" s="2" t="s">
        <v>5</v>
      </c>
      <c r="I4954" s="6" t="s">
        <v>2300</v>
      </c>
      <c r="J4954" s="2" t="s">
        <v>5</v>
      </c>
      <c r="K4954" s="2" t="s">
        <v>5</v>
      </c>
      <c r="L4954" s="2" t="s">
        <v>5</v>
      </c>
      <c r="M4954" s="2" t="s">
        <v>5</v>
      </c>
      <c r="N4954" s="4">
        <v>0</v>
      </c>
    </row>
    <row r="4955" spans="1:14" x14ac:dyDescent="0.25">
      <c r="A4955" s="2" t="s">
        <v>45</v>
      </c>
      <c r="B4955" s="2" t="s">
        <v>46</v>
      </c>
      <c r="C4955" s="3">
        <v>75.311999999999998</v>
      </c>
      <c r="D4955" s="4">
        <v>938.38751999999999</v>
      </c>
      <c r="E4955" s="4">
        <v>549.77760000000001</v>
      </c>
      <c r="F4955" s="4">
        <f t="shared" si="293"/>
        <v>388.60991999999999</v>
      </c>
      <c r="G4955" s="5">
        <f t="shared" si="294"/>
        <v>0.41412520064205455</v>
      </c>
      <c r="H4955" s="2" t="s">
        <v>5</v>
      </c>
      <c r="I4955" s="6" t="s">
        <v>2300</v>
      </c>
      <c r="J4955" s="2" t="s">
        <v>5</v>
      </c>
      <c r="K4955" s="2" t="s">
        <v>5</v>
      </c>
      <c r="L4955" s="2" t="s">
        <v>5</v>
      </c>
      <c r="M4955" s="2" t="s">
        <v>5</v>
      </c>
      <c r="N4955" s="4">
        <v>0</v>
      </c>
    </row>
    <row r="4956" spans="1:14" x14ac:dyDescent="0.25">
      <c r="A4956" s="2" t="s">
        <v>45</v>
      </c>
      <c r="B4956" s="2" t="s">
        <v>46</v>
      </c>
      <c r="C4956" s="3">
        <v>57.86</v>
      </c>
      <c r="D4956" s="4">
        <v>715.14959999999996</v>
      </c>
      <c r="E4956" s="4">
        <v>422.37799999999999</v>
      </c>
      <c r="F4956" s="4">
        <f t="shared" si="293"/>
        <v>292.77159999999998</v>
      </c>
      <c r="G4956" s="5">
        <f t="shared" si="294"/>
        <v>0.40938511326860838</v>
      </c>
      <c r="H4956" s="2" t="s">
        <v>5</v>
      </c>
      <c r="I4956" s="6" t="s">
        <v>2300</v>
      </c>
      <c r="J4956" s="2" t="s">
        <v>5</v>
      </c>
      <c r="K4956" s="2" t="s">
        <v>5</v>
      </c>
      <c r="L4956" s="2" t="s">
        <v>5</v>
      </c>
      <c r="M4956" s="2" t="s">
        <v>5</v>
      </c>
      <c r="N4956" s="4">
        <v>0</v>
      </c>
    </row>
    <row r="4957" spans="1:14" x14ac:dyDescent="0.25">
      <c r="A4957" s="2" t="s">
        <v>45</v>
      </c>
      <c r="B4957" s="2" t="s">
        <v>46</v>
      </c>
      <c r="C4957" s="3">
        <v>30.68</v>
      </c>
      <c r="D4957" s="4">
        <v>382.27280000000002</v>
      </c>
      <c r="E4957" s="4">
        <v>223.964</v>
      </c>
      <c r="F4957" s="4">
        <f t="shared" si="293"/>
        <v>158.30880000000002</v>
      </c>
      <c r="G4957" s="5">
        <f t="shared" si="294"/>
        <v>0.4141252006420546</v>
      </c>
      <c r="H4957" s="2" t="s">
        <v>5</v>
      </c>
      <c r="I4957" s="6" t="s">
        <v>2300</v>
      </c>
      <c r="J4957" s="2" t="s">
        <v>5</v>
      </c>
      <c r="K4957" s="2" t="s">
        <v>5</v>
      </c>
      <c r="L4957" s="2" t="s">
        <v>5</v>
      </c>
      <c r="M4957" s="2" t="s">
        <v>5</v>
      </c>
      <c r="N4957" s="4">
        <v>0</v>
      </c>
    </row>
    <row r="4958" spans="1:14" x14ac:dyDescent="0.25">
      <c r="A4958" s="2" t="s">
        <v>45</v>
      </c>
      <c r="B4958" s="2" t="s">
        <v>46</v>
      </c>
      <c r="C4958" s="3">
        <v>70.540000000000006</v>
      </c>
      <c r="D4958" s="4">
        <v>946.64679999999998</v>
      </c>
      <c r="E4958" s="4">
        <v>514.94200000000001</v>
      </c>
      <c r="F4958" s="4">
        <f t="shared" si="293"/>
        <v>431.70479999999998</v>
      </c>
      <c r="G4958" s="5">
        <f t="shared" si="294"/>
        <v>0.4560357675111773</v>
      </c>
      <c r="H4958" s="2" t="s">
        <v>5</v>
      </c>
      <c r="I4958" s="6" t="s">
        <v>2300</v>
      </c>
      <c r="J4958" s="2" t="s">
        <v>5</v>
      </c>
      <c r="K4958" s="2" t="s">
        <v>5</v>
      </c>
      <c r="L4958" s="2" t="s">
        <v>5</v>
      </c>
      <c r="M4958" s="2" t="s">
        <v>5</v>
      </c>
      <c r="N4958" s="4">
        <v>0</v>
      </c>
    </row>
    <row r="4959" spans="1:14" x14ac:dyDescent="0.25">
      <c r="A4959" s="2" t="s">
        <v>45</v>
      </c>
      <c r="B4959" s="2" t="s">
        <v>46</v>
      </c>
      <c r="C4959" s="3">
        <v>48.41</v>
      </c>
      <c r="D4959" s="4">
        <v>592.53840000000002</v>
      </c>
      <c r="E4959" s="4">
        <v>353.39299999999997</v>
      </c>
      <c r="F4959" s="4">
        <f t="shared" si="293"/>
        <v>239.14540000000005</v>
      </c>
      <c r="G4959" s="5">
        <f t="shared" si="294"/>
        <v>0.40359477124183013</v>
      </c>
      <c r="H4959" s="2" t="s">
        <v>5</v>
      </c>
      <c r="I4959" s="6" t="s">
        <v>2300</v>
      </c>
      <c r="J4959" s="2" t="s">
        <v>5</v>
      </c>
      <c r="K4959" s="2" t="s">
        <v>5</v>
      </c>
      <c r="L4959" s="2" t="s">
        <v>5</v>
      </c>
      <c r="M4959" s="2" t="s">
        <v>5</v>
      </c>
      <c r="N4959" s="4">
        <v>0</v>
      </c>
    </row>
    <row r="4960" spans="1:14" x14ac:dyDescent="0.25">
      <c r="A4960" s="2" t="s">
        <v>45</v>
      </c>
      <c r="B4960" s="2" t="s">
        <v>46</v>
      </c>
      <c r="C4960" s="3">
        <v>15.31</v>
      </c>
      <c r="D4960" s="4">
        <v>189.23159999999999</v>
      </c>
      <c r="E4960" s="4">
        <v>111.76300000000001</v>
      </c>
      <c r="F4960" s="4">
        <f t="shared" si="293"/>
        <v>77.468599999999981</v>
      </c>
      <c r="G4960" s="5">
        <f t="shared" si="294"/>
        <v>0.40938511326860832</v>
      </c>
      <c r="H4960" s="2" t="s">
        <v>5</v>
      </c>
      <c r="I4960" s="6" t="s">
        <v>2300</v>
      </c>
      <c r="J4960" s="2" t="s">
        <v>5</v>
      </c>
      <c r="K4960" s="2" t="s">
        <v>5</v>
      </c>
      <c r="L4960" s="2" t="s">
        <v>5</v>
      </c>
      <c r="M4960" s="2" t="s">
        <v>5</v>
      </c>
      <c r="N4960" s="4">
        <v>0</v>
      </c>
    </row>
    <row r="4961" spans="1:14" x14ac:dyDescent="0.25">
      <c r="A4961" s="2" t="s">
        <v>45</v>
      </c>
      <c r="B4961" s="2" t="s">
        <v>46</v>
      </c>
      <c r="C4961" s="3">
        <v>51.661000000000001</v>
      </c>
      <c r="D4961" s="4">
        <v>643.69605999999999</v>
      </c>
      <c r="E4961" s="4">
        <v>377.12529999999998</v>
      </c>
      <c r="F4961" s="4">
        <f t="shared" ref="F4961:F5024" si="295">D4961-E4961</f>
        <v>266.57076000000001</v>
      </c>
      <c r="G4961" s="5">
        <f t="shared" ref="G4961:G5024" si="296">IF(((D4961)=0),0,(D4961-E4961)/ D4961)</f>
        <v>0.4141252006420546</v>
      </c>
      <c r="H4961" s="2" t="s">
        <v>5</v>
      </c>
      <c r="I4961" s="6" t="s">
        <v>2300</v>
      </c>
      <c r="J4961" s="2" t="s">
        <v>5</v>
      </c>
      <c r="K4961" s="2" t="s">
        <v>5</v>
      </c>
      <c r="L4961" s="2" t="s">
        <v>5</v>
      </c>
      <c r="M4961" s="2" t="s">
        <v>5</v>
      </c>
      <c r="N4961" s="4">
        <v>0</v>
      </c>
    </row>
    <row r="4962" spans="1:14" x14ac:dyDescent="0.25">
      <c r="A4962" s="2" t="s">
        <v>45</v>
      </c>
      <c r="B4962" s="2" t="s">
        <v>46</v>
      </c>
      <c r="C4962" s="3">
        <v>30.76</v>
      </c>
      <c r="D4962" s="4">
        <v>412.79919999999998</v>
      </c>
      <c r="E4962" s="4">
        <v>224.548</v>
      </c>
      <c r="F4962" s="4">
        <f t="shared" si="295"/>
        <v>188.25119999999998</v>
      </c>
      <c r="G4962" s="5">
        <f t="shared" si="296"/>
        <v>0.4560357675111773</v>
      </c>
      <c r="H4962" s="2" t="s">
        <v>5</v>
      </c>
      <c r="I4962" s="6" t="s">
        <v>2300</v>
      </c>
      <c r="J4962" s="2" t="s">
        <v>5</v>
      </c>
      <c r="K4962" s="2" t="s">
        <v>5</v>
      </c>
      <c r="L4962" s="2" t="s">
        <v>5</v>
      </c>
      <c r="M4962" s="2" t="s">
        <v>5</v>
      </c>
      <c r="N4962" s="4">
        <v>0</v>
      </c>
    </row>
    <row r="4963" spans="1:14" x14ac:dyDescent="0.25">
      <c r="A4963" s="2" t="s">
        <v>45</v>
      </c>
      <c r="B4963" s="2" t="s">
        <v>46</v>
      </c>
      <c r="C4963" s="3">
        <v>30.02</v>
      </c>
      <c r="D4963" s="4">
        <v>371.04719999999998</v>
      </c>
      <c r="E4963" s="4">
        <v>219.14599999999999</v>
      </c>
      <c r="F4963" s="4">
        <f t="shared" si="295"/>
        <v>151.90119999999999</v>
      </c>
      <c r="G4963" s="5">
        <f t="shared" si="296"/>
        <v>0.40938511326860844</v>
      </c>
      <c r="H4963" s="2" t="s">
        <v>5</v>
      </c>
      <c r="I4963" s="6" t="s">
        <v>2300</v>
      </c>
      <c r="J4963" s="2" t="s">
        <v>5</v>
      </c>
      <c r="K4963" s="2" t="s">
        <v>5</v>
      </c>
      <c r="L4963" s="2" t="s">
        <v>5</v>
      </c>
      <c r="M4963" s="2" t="s">
        <v>5</v>
      </c>
      <c r="N4963" s="4">
        <v>0</v>
      </c>
    </row>
    <row r="4964" spans="1:14" x14ac:dyDescent="0.25">
      <c r="A4964" s="2" t="s">
        <v>45</v>
      </c>
      <c r="B4964" s="2" t="s">
        <v>46</v>
      </c>
      <c r="C4964" s="3">
        <v>20.738</v>
      </c>
      <c r="D4964" s="4">
        <v>256.32168000000001</v>
      </c>
      <c r="E4964" s="4">
        <v>151.38740000000001</v>
      </c>
      <c r="F4964" s="4">
        <f t="shared" si="295"/>
        <v>104.93428</v>
      </c>
      <c r="G4964" s="5">
        <f t="shared" si="296"/>
        <v>0.40938511326860838</v>
      </c>
      <c r="H4964" s="2" t="s">
        <v>5</v>
      </c>
      <c r="I4964" s="6" t="s">
        <v>2300</v>
      </c>
      <c r="J4964" s="2" t="s">
        <v>5</v>
      </c>
      <c r="K4964" s="2" t="s">
        <v>5</v>
      </c>
      <c r="L4964" s="2" t="s">
        <v>5</v>
      </c>
      <c r="M4964" s="2" t="s">
        <v>5</v>
      </c>
      <c r="N4964" s="4">
        <v>0</v>
      </c>
    </row>
    <row r="4965" spans="1:14" x14ac:dyDescent="0.25">
      <c r="A4965" s="2" t="s">
        <v>45</v>
      </c>
      <c r="B4965" s="2" t="s">
        <v>46</v>
      </c>
      <c r="C4965" s="3">
        <v>30.19</v>
      </c>
      <c r="D4965" s="4">
        <v>376.16739999999999</v>
      </c>
      <c r="E4965" s="4">
        <v>220.387</v>
      </c>
      <c r="F4965" s="4">
        <f t="shared" si="295"/>
        <v>155.78039999999999</v>
      </c>
      <c r="G4965" s="5">
        <f t="shared" si="296"/>
        <v>0.41412520064205455</v>
      </c>
      <c r="H4965" s="2" t="s">
        <v>5</v>
      </c>
      <c r="I4965" s="6" t="s">
        <v>2300</v>
      </c>
      <c r="J4965" s="2" t="s">
        <v>5</v>
      </c>
      <c r="K4965" s="2" t="s">
        <v>5</v>
      </c>
      <c r="L4965" s="2" t="s">
        <v>5</v>
      </c>
      <c r="M4965" s="2" t="s">
        <v>5</v>
      </c>
      <c r="N4965" s="4">
        <v>0</v>
      </c>
    </row>
    <row r="4966" spans="1:14" x14ac:dyDescent="0.25">
      <c r="A4966" s="2" t="s">
        <v>45</v>
      </c>
      <c r="B4966" s="2" t="s">
        <v>46</v>
      </c>
      <c r="C4966" s="3">
        <v>15.85</v>
      </c>
      <c r="D4966" s="4">
        <v>197.49100000000001</v>
      </c>
      <c r="E4966" s="4">
        <v>115.705</v>
      </c>
      <c r="F4966" s="4">
        <f t="shared" si="295"/>
        <v>81.786000000000016</v>
      </c>
      <c r="G4966" s="5">
        <f t="shared" si="296"/>
        <v>0.4141252006420546</v>
      </c>
      <c r="H4966" s="2" t="s">
        <v>5</v>
      </c>
      <c r="I4966" s="6" t="s">
        <v>2300</v>
      </c>
      <c r="J4966" s="2" t="s">
        <v>5</v>
      </c>
      <c r="K4966" s="2" t="s">
        <v>5</v>
      </c>
      <c r="L4966" s="2" t="s">
        <v>5</v>
      </c>
      <c r="M4966" s="2" t="s">
        <v>5</v>
      </c>
      <c r="N4966" s="4">
        <v>0</v>
      </c>
    </row>
    <row r="4967" spans="1:14" x14ac:dyDescent="0.25">
      <c r="A4967" s="2" t="s">
        <v>45</v>
      </c>
      <c r="B4967" s="2" t="s">
        <v>46</v>
      </c>
      <c r="C4967" s="3">
        <v>20.968</v>
      </c>
      <c r="D4967" s="4">
        <v>259.16448000000003</v>
      </c>
      <c r="E4967" s="4">
        <v>153.06639999999999</v>
      </c>
      <c r="F4967" s="4">
        <f t="shared" si="295"/>
        <v>106.09808000000004</v>
      </c>
      <c r="G4967" s="5">
        <f t="shared" si="296"/>
        <v>0.40938511326860855</v>
      </c>
      <c r="H4967" s="2" t="s">
        <v>5</v>
      </c>
      <c r="I4967" s="6" t="s">
        <v>2300</v>
      </c>
      <c r="J4967" s="2" t="s">
        <v>5</v>
      </c>
      <c r="K4967" s="2" t="s">
        <v>5</v>
      </c>
      <c r="L4967" s="2" t="s">
        <v>5</v>
      </c>
      <c r="M4967" s="2" t="s">
        <v>5</v>
      </c>
      <c r="N4967" s="4">
        <v>0</v>
      </c>
    </row>
    <row r="4968" spans="1:14" x14ac:dyDescent="0.25">
      <c r="A4968" s="2" t="s">
        <v>45</v>
      </c>
      <c r="B4968" s="2" t="s">
        <v>46</v>
      </c>
      <c r="C4968" s="3">
        <v>24</v>
      </c>
      <c r="D4968" s="4">
        <v>293.76</v>
      </c>
      <c r="E4968" s="4">
        <v>175.2</v>
      </c>
      <c r="F4968" s="4">
        <f t="shared" si="295"/>
        <v>118.56</v>
      </c>
      <c r="G4968" s="5">
        <f t="shared" si="296"/>
        <v>0.40359477124183007</v>
      </c>
      <c r="H4968" s="2" t="s">
        <v>5</v>
      </c>
      <c r="I4968" s="6" t="s">
        <v>2300</v>
      </c>
      <c r="J4968" s="2" t="s">
        <v>5</v>
      </c>
      <c r="K4968" s="2" t="s">
        <v>5</v>
      </c>
      <c r="L4968" s="2" t="s">
        <v>5</v>
      </c>
      <c r="M4968" s="2" t="s">
        <v>5</v>
      </c>
      <c r="N4968" s="4">
        <v>0</v>
      </c>
    </row>
    <row r="4969" spans="1:14" x14ac:dyDescent="0.25">
      <c r="A4969" s="2" t="s">
        <v>45</v>
      </c>
      <c r="B4969" s="2" t="s">
        <v>46</v>
      </c>
      <c r="C4969" s="3">
        <v>21.234000000000002</v>
      </c>
      <c r="D4969" s="4">
        <v>262.45224000000002</v>
      </c>
      <c r="E4969" s="4">
        <v>155.00819999999999</v>
      </c>
      <c r="F4969" s="4">
        <f t="shared" si="295"/>
        <v>107.44404000000003</v>
      </c>
      <c r="G4969" s="5">
        <f t="shared" si="296"/>
        <v>0.40938511326860849</v>
      </c>
      <c r="H4969" s="2" t="s">
        <v>5</v>
      </c>
      <c r="I4969" s="6" t="s">
        <v>2300</v>
      </c>
      <c r="J4969" s="2" t="s">
        <v>5</v>
      </c>
      <c r="K4969" s="2" t="s">
        <v>5</v>
      </c>
      <c r="L4969" s="2" t="s">
        <v>5</v>
      </c>
      <c r="M4969" s="2" t="s">
        <v>5</v>
      </c>
      <c r="N4969" s="4">
        <v>0</v>
      </c>
    </row>
    <row r="4970" spans="1:14" x14ac:dyDescent="0.25">
      <c r="A4970" s="2" t="s">
        <v>45</v>
      </c>
      <c r="B4970" s="2" t="s">
        <v>46</v>
      </c>
      <c r="C4970" s="3">
        <v>9.84</v>
      </c>
      <c r="D4970" s="4">
        <v>121.6224</v>
      </c>
      <c r="E4970" s="4">
        <v>71.831999999999994</v>
      </c>
      <c r="F4970" s="4">
        <f t="shared" si="295"/>
        <v>49.790400000000005</v>
      </c>
      <c r="G4970" s="5">
        <f t="shared" si="296"/>
        <v>0.40938511326860844</v>
      </c>
      <c r="H4970" s="2" t="s">
        <v>5</v>
      </c>
      <c r="I4970" s="6" t="s">
        <v>2300</v>
      </c>
      <c r="J4970" s="2" t="s">
        <v>5</v>
      </c>
      <c r="K4970" s="2" t="s">
        <v>5</v>
      </c>
      <c r="L4970" s="2" t="s">
        <v>5</v>
      </c>
      <c r="M4970" s="2" t="s">
        <v>5</v>
      </c>
      <c r="N4970" s="4">
        <v>0</v>
      </c>
    </row>
    <row r="4971" spans="1:14" x14ac:dyDescent="0.25">
      <c r="A4971" s="2" t="s">
        <v>45</v>
      </c>
      <c r="B4971" s="2" t="s">
        <v>46</v>
      </c>
      <c r="C4971" s="3">
        <v>84</v>
      </c>
      <c r="D4971" s="4">
        <v>1037.4000000000001</v>
      </c>
      <c r="E4971" s="4">
        <v>613.20000000000005</v>
      </c>
      <c r="F4971" s="4">
        <f t="shared" si="295"/>
        <v>424.20000000000005</v>
      </c>
      <c r="G4971" s="5">
        <f t="shared" si="296"/>
        <v>0.40890688259109315</v>
      </c>
      <c r="H4971" s="2" t="s">
        <v>5</v>
      </c>
      <c r="I4971" s="6" t="s">
        <v>2300</v>
      </c>
      <c r="J4971" s="2" t="s">
        <v>5</v>
      </c>
      <c r="K4971" s="2" t="s">
        <v>5</v>
      </c>
      <c r="L4971" s="2" t="s">
        <v>5</v>
      </c>
      <c r="M4971" s="2" t="s">
        <v>5</v>
      </c>
      <c r="N4971" s="4">
        <v>0</v>
      </c>
    </row>
    <row r="4972" spans="1:14" x14ac:dyDescent="0.25">
      <c r="A4972" s="2" t="s">
        <v>45</v>
      </c>
      <c r="B4972" s="2" t="s">
        <v>46</v>
      </c>
      <c r="C4972" s="3">
        <v>76.599999999999994</v>
      </c>
      <c r="D4972" s="4">
        <v>954.43600000000004</v>
      </c>
      <c r="E4972" s="4">
        <v>559.17999999999995</v>
      </c>
      <c r="F4972" s="4">
        <f t="shared" si="295"/>
        <v>395.25600000000009</v>
      </c>
      <c r="G4972" s="5">
        <f t="shared" si="296"/>
        <v>0.41412520064205466</v>
      </c>
      <c r="H4972" s="2" t="s">
        <v>5</v>
      </c>
      <c r="I4972" s="6" t="s">
        <v>2300</v>
      </c>
      <c r="J4972" s="2" t="s">
        <v>5</v>
      </c>
      <c r="K4972" s="2" t="s">
        <v>5</v>
      </c>
      <c r="L4972" s="2" t="s">
        <v>5</v>
      </c>
      <c r="M4972" s="2" t="s">
        <v>5</v>
      </c>
      <c r="N4972" s="4">
        <v>0</v>
      </c>
    </row>
    <row r="4973" spans="1:14" x14ac:dyDescent="0.25">
      <c r="A4973" s="2" t="s">
        <v>45</v>
      </c>
      <c r="B4973" s="2" t="s">
        <v>46</v>
      </c>
      <c r="C4973" s="3">
        <v>11.78</v>
      </c>
      <c r="D4973" s="4">
        <v>145.60079999999999</v>
      </c>
      <c r="E4973" s="4">
        <v>85.994</v>
      </c>
      <c r="F4973" s="4">
        <f t="shared" si="295"/>
        <v>59.606799999999993</v>
      </c>
      <c r="G4973" s="5">
        <f t="shared" si="296"/>
        <v>0.40938511326860838</v>
      </c>
      <c r="H4973" s="2" t="s">
        <v>5</v>
      </c>
      <c r="I4973" s="6" t="s">
        <v>2300</v>
      </c>
      <c r="J4973" s="2" t="s">
        <v>5</v>
      </c>
      <c r="K4973" s="2" t="s">
        <v>5</v>
      </c>
      <c r="L4973" s="2" t="s">
        <v>5</v>
      </c>
      <c r="M4973" s="2" t="s">
        <v>5</v>
      </c>
      <c r="N4973" s="4">
        <v>0</v>
      </c>
    </row>
    <row r="4974" spans="1:14" x14ac:dyDescent="0.25">
      <c r="A4974" s="2" t="s">
        <v>45</v>
      </c>
      <c r="B4974" s="2" t="s">
        <v>46</v>
      </c>
      <c r="C4974" s="3">
        <v>38.97</v>
      </c>
      <c r="D4974" s="4">
        <v>481.66919999999999</v>
      </c>
      <c r="E4974" s="4">
        <v>284.48099999999999</v>
      </c>
      <c r="F4974" s="4">
        <f t="shared" si="295"/>
        <v>197.18819999999999</v>
      </c>
      <c r="G4974" s="5">
        <f t="shared" si="296"/>
        <v>0.40938511326860844</v>
      </c>
      <c r="H4974" s="2" t="s">
        <v>5</v>
      </c>
      <c r="I4974" s="6" t="s">
        <v>2300</v>
      </c>
      <c r="J4974" s="2" t="s">
        <v>5</v>
      </c>
      <c r="K4974" s="2" t="s">
        <v>5</v>
      </c>
      <c r="L4974" s="2" t="s">
        <v>5</v>
      </c>
      <c r="M4974" s="2" t="s">
        <v>5</v>
      </c>
      <c r="N4974" s="4">
        <v>0</v>
      </c>
    </row>
    <row r="4975" spans="1:14" x14ac:dyDescent="0.25">
      <c r="A4975" s="2" t="s">
        <v>45</v>
      </c>
      <c r="B4975" s="2" t="s">
        <v>46</v>
      </c>
      <c r="C4975" s="3">
        <v>15</v>
      </c>
      <c r="D4975" s="4">
        <v>201.3</v>
      </c>
      <c r="E4975" s="4">
        <v>109.5</v>
      </c>
      <c r="F4975" s="4">
        <f t="shared" si="295"/>
        <v>91.800000000000011</v>
      </c>
      <c r="G4975" s="5">
        <f t="shared" si="296"/>
        <v>0.45603576751117736</v>
      </c>
      <c r="H4975" s="2" t="s">
        <v>5</v>
      </c>
      <c r="I4975" s="6" t="s">
        <v>2300</v>
      </c>
      <c r="J4975" s="2" t="s">
        <v>5</v>
      </c>
      <c r="K4975" s="2" t="s">
        <v>5</v>
      </c>
      <c r="L4975" s="2" t="s">
        <v>5</v>
      </c>
      <c r="M4975" s="2" t="s">
        <v>5</v>
      </c>
      <c r="N4975" s="4">
        <v>0</v>
      </c>
    </row>
    <row r="4976" spans="1:14" x14ac:dyDescent="0.25">
      <c r="A4976" s="2" t="s">
        <v>237</v>
      </c>
      <c r="B4976" s="2" t="s">
        <v>238</v>
      </c>
      <c r="C4976" s="3">
        <v>4</v>
      </c>
      <c r="D4976" s="4">
        <v>147.56</v>
      </c>
      <c r="E4976" s="4">
        <v>76.8</v>
      </c>
      <c r="F4976" s="4">
        <f t="shared" si="295"/>
        <v>70.760000000000005</v>
      </c>
      <c r="G4976" s="5">
        <f t="shared" si="296"/>
        <v>0.4795337489834644</v>
      </c>
      <c r="H4976" s="2" t="s">
        <v>5</v>
      </c>
      <c r="I4976" s="6" t="s">
        <v>2300</v>
      </c>
      <c r="J4976" s="2" t="s">
        <v>5</v>
      </c>
      <c r="K4976" s="2" t="s">
        <v>5</v>
      </c>
      <c r="L4976" s="2" t="s">
        <v>5</v>
      </c>
      <c r="M4976" s="2" t="s">
        <v>5</v>
      </c>
      <c r="N4976" s="4">
        <v>0</v>
      </c>
    </row>
    <row r="4977" spans="1:14" x14ac:dyDescent="0.25">
      <c r="A4977" s="2" t="s">
        <v>2253</v>
      </c>
      <c r="B4977" s="2" t="s">
        <v>2254</v>
      </c>
      <c r="C4977" s="3">
        <v>1350</v>
      </c>
      <c r="D4977" s="4">
        <v>-1350</v>
      </c>
      <c r="E4977" s="4">
        <v>-1350</v>
      </c>
      <c r="F4977" s="4">
        <f t="shared" si="295"/>
        <v>0</v>
      </c>
      <c r="G4977" s="5">
        <f t="shared" si="296"/>
        <v>0</v>
      </c>
      <c r="H4977" s="2" t="s">
        <v>5</v>
      </c>
      <c r="I4977" s="6" t="s">
        <v>2300</v>
      </c>
      <c r="J4977" s="2" t="s">
        <v>5</v>
      </c>
      <c r="K4977" s="2" t="s">
        <v>5</v>
      </c>
      <c r="L4977" s="2" t="s">
        <v>5</v>
      </c>
      <c r="M4977" s="2" t="s">
        <v>5</v>
      </c>
      <c r="N4977" s="4">
        <v>0</v>
      </c>
    </row>
    <row r="4978" spans="1:14" x14ac:dyDescent="0.25">
      <c r="A4978" s="2" t="s">
        <v>2253</v>
      </c>
      <c r="B4978" s="2" t="s">
        <v>2254</v>
      </c>
      <c r="C4978" s="3">
        <v>2728</v>
      </c>
      <c r="D4978" s="4">
        <v>12751.66</v>
      </c>
      <c r="E4978" s="4">
        <v>26243.360000000001</v>
      </c>
      <c r="F4978" s="4">
        <f t="shared" si="295"/>
        <v>-13491.7</v>
      </c>
      <c r="G4978" s="5">
        <f t="shared" si="296"/>
        <v>-1.0580347970381896</v>
      </c>
      <c r="H4978" s="2" t="s">
        <v>5</v>
      </c>
      <c r="I4978" s="6" t="s">
        <v>2300</v>
      </c>
      <c r="J4978" s="2" t="s">
        <v>5</v>
      </c>
      <c r="K4978" s="2" t="s">
        <v>5</v>
      </c>
      <c r="L4978" s="2" t="s">
        <v>5</v>
      </c>
      <c r="M4978" s="2" t="s">
        <v>5</v>
      </c>
      <c r="N4978" s="4">
        <v>0</v>
      </c>
    </row>
    <row r="4979" spans="1:14" x14ac:dyDescent="0.25">
      <c r="A4979" s="2" t="s">
        <v>2253</v>
      </c>
      <c r="B4979" s="2" t="s">
        <v>2254</v>
      </c>
      <c r="C4979" s="3">
        <v>1280</v>
      </c>
      <c r="D4979" s="4">
        <v>6596.6</v>
      </c>
      <c r="E4979" s="4">
        <v>11648</v>
      </c>
      <c r="F4979" s="4">
        <f t="shared" si="295"/>
        <v>-5051.3999999999996</v>
      </c>
      <c r="G4979" s="5">
        <f t="shared" si="296"/>
        <v>-0.76575811781826997</v>
      </c>
      <c r="H4979" s="2" t="s">
        <v>5</v>
      </c>
      <c r="I4979" s="6" t="s">
        <v>2300</v>
      </c>
      <c r="J4979" s="2" t="s">
        <v>5</v>
      </c>
      <c r="K4979" s="2" t="s">
        <v>5</v>
      </c>
      <c r="L4979" s="2" t="s">
        <v>5</v>
      </c>
      <c r="M4979" s="2" t="s">
        <v>5</v>
      </c>
      <c r="N4979" s="4">
        <v>0</v>
      </c>
    </row>
    <row r="4980" spans="1:14" x14ac:dyDescent="0.25">
      <c r="A4980" s="2" t="s">
        <v>2260</v>
      </c>
      <c r="B4980" s="2" t="s">
        <v>2261</v>
      </c>
      <c r="C4980" s="3">
        <v>1</v>
      </c>
      <c r="D4980" s="4">
        <v>4292</v>
      </c>
      <c r="E4980" s="4">
        <v>4292</v>
      </c>
      <c r="F4980" s="4">
        <f t="shared" si="295"/>
        <v>0</v>
      </c>
      <c r="G4980" s="5">
        <f t="shared" si="296"/>
        <v>0</v>
      </c>
      <c r="H4980" s="2" t="s">
        <v>5</v>
      </c>
      <c r="I4980" s="6" t="s">
        <v>2300</v>
      </c>
      <c r="J4980" s="2" t="s">
        <v>5</v>
      </c>
      <c r="K4980" s="2" t="s">
        <v>5</v>
      </c>
      <c r="L4980" s="2" t="s">
        <v>5</v>
      </c>
      <c r="M4980" s="2" t="s">
        <v>5</v>
      </c>
      <c r="N4980" s="4">
        <v>0</v>
      </c>
    </row>
    <row r="4981" spans="1:14" x14ac:dyDescent="0.25">
      <c r="A4981" s="2" t="s">
        <v>1146</v>
      </c>
      <c r="B4981" s="2" t="s">
        <v>1147</v>
      </c>
      <c r="C4981" s="3">
        <v>1</v>
      </c>
      <c r="D4981" s="4">
        <v>11.83</v>
      </c>
      <c r="E4981" s="4">
        <v>7.98</v>
      </c>
      <c r="F4981" s="4">
        <f t="shared" si="295"/>
        <v>3.8499999999999996</v>
      </c>
      <c r="G4981" s="5">
        <f t="shared" si="296"/>
        <v>0.32544378698224846</v>
      </c>
      <c r="H4981" s="2" t="s">
        <v>5</v>
      </c>
      <c r="I4981" s="6" t="s">
        <v>2300</v>
      </c>
      <c r="J4981" s="2" t="s">
        <v>5</v>
      </c>
      <c r="K4981" s="2" t="s">
        <v>5</v>
      </c>
      <c r="L4981" s="2" t="s">
        <v>5</v>
      </c>
      <c r="M4981" s="2" t="s">
        <v>5</v>
      </c>
      <c r="N4981" s="4">
        <v>0</v>
      </c>
    </row>
    <row r="4982" spans="1:14" x14ac:dyDescent="0.25">
      <c r="A4982" s="2" t="s">
        <v>1146</v>
      </c>
      <c r="B4982" s="2" t="s">
        <v>1147</v>
      </c>
      <c r="C4982" s="3">
        <v>1</v>
      </c>
      <c r="D4982" s="4">
        <v>11.83</v>
      </c>
      <c r="E4982" s="4">
        <v>7.98</v>
      </c>
      <c r="F4982" s="4">
        <f t="shared" si="295"/>
        <v>3.8499999999999996</v>
      </c>
      <c r="G4982" s="5">
        <f t="shared" si="296"/>
        <v>0.32544378698224846</v>
      </c>
      <c r="H4982" s="2" t="s">
        <v>5</v>
      </c>
      <c r="I4982" s="6" t="s">
        <v>2300</v>
      </c>
      <c r="J4982" s="2" t="s">
        <v>5</v>
      </c>
      <c r="K4982" s="2" t="s">
        <v>5</v>
      </c>
      <c r="L4982" s="2" t="s">
        <v>5</v>
      </c>
      <c r="M4982" s="2" t="s">
        <v>5</v>
      </c>
      <c r="N4982" s="4">
        <v>0</v>
      </c>
    </row>
    <row r="4983" spans="1:14" x14ac:dyDescent="0.25">
      <c r="A4983" s="2" t="s">
        <v>1148</v>
      </c>
      <c r="B4983" s="2" t="s">
        <v>1149</v>
      </c>
      <c r="C4983" s="3">
        <v>1</v>
      </c>
      <c r="D4983" s="4">
        <v>48.85</v>
      </c>
      <c r="E4983" s="4">
        <v>32.950000000000003</v>
      </c>
      <c r="F4983" s="4">
        <f t="shared" si="295"/>
        <v>15.899999999999999</v>
      </c>
      <c r="G4983" s="5">
        <f t="shared" si="296"/>
        <v>0.32548618219037867</v>
      </c>
      <c r="H4983" s="2" t="s">
        <v>5</v>
      </c>
      <c r="I4983" s="6" t="s">
        <v>2300</v>
      </c>
      <c r="J4983" s="2" t="s">
        <v>5</v>
      </c>
      <c r="K4983" s="2" t="s">
        <v>5</v>
      </c>
      <c r="L4983" s="2" t="s">
        <v>5</v>
      </c>
      <c r="M4983" s="2" t="s">
        <v>5</v>
      </c>
      <c r="N4983" s="4">
        <v>0</v>
      </c>
    </row>
    <row r="4984" spans="1:14" x14ac:dyDescent="0.25">
      <c r="A4984" s="2" t="s">
        <v>705</v>
      </c>
      <c r="B4984" s="2" t="s">
        <v>706</v>
      </c>
      <c r="C4984" s="3">
        <v>30</v>
      </c>
      <c r="D4984" s="4">
        <v>382.8</v>
      </c>
      <c r="E4984" s="4">
        <v>225</v>
      </c>
      <c r="F4984" s="4">
        <f t="shared" si="295"/>
        <v>157.80000000000001</v>
      </c>
      <c r="G4984" s="5">
        <f t="shared" si="296"/>
        <v>0.41222570532915365</v>
      </c>
      <c r="H4984" s="2" t="s">
        <v>5</v>
      </c>
      <c r="I4984" s="6" t="s">
        <v>2300</v>
      </c>
      <c r="J4984" s="2" t="s">
        <v>5</v>
      </c>
      <c r="K4984" s="2" t="s">
        <v>5</v>
      </c>
      <c r="L4984" s="2" t="s">
        <v>5</v>
      </c>
      <c r="M4984" s="2" t="s">
        <v>5</v>
      </c>
      <c r="N4984" s="4">
        <v>0</v>
      </c>
    </row>
    <row r="4985" spans="1:14" x14ac:dyDescent="0.25">
      <c r="A4985" s="2" t="s">
        <v>705</v>
      </c>
      <c r="B4985" s="2" t="s">
        <v>706</v>
      </c>
      <c r="C4985" s="3">
        <v>60</v>
      </c>
      <c r="D4985" s="4">
        <v>765.6</v>
      </c>
      <c r="E4985" s="4">
        <v>450</v>
      </c>
      <c r="F4985" s="4">
        <f t="shared" si="295"/>
        <v>315.60000000000002</v>
      </c>
      <c r="G4985" s="5">
        <f t="shared" si="296"/>
        <v>0.41222570532915365</v>
      </c>
      <c r="H4985" s="2" t="s">
        <v>5</v>
      </c>
      <c r="I4985" s="6" t="s">
        <v>2300</v>
      </c>
      <c r="J4985" s="2" t="s">
        <v>5</v>
      </c>
      <c r="K4985" s="2" t="s">
        <v>5</v>
      </c>
      <c r="L4985" s="2" t="s">
        <v>5</v>
      </c>
      <c r="M4985" s="2" t="s">
        <v>5</v>
      </c>
      <c r="N4985" s="4">
        <v>0</v>
      </c>
    </row>
    <row r="4986" spans="1:14" x14ac:dyDescent="0.25">
      <c r="A4986" s="2" t="s">
        <v>705</v>
      </c>
      <c r="B4986" s="2" t="s">
        <v>706</v>
      </c>
      <c r="C4986" s="3">
        <v>20</v>
      </c>
      <c r="D4986" s="4">
        <v>259.8</v>
      </c>
      <c r="E4986" s="4">
        <v>150</v>
      </c>
      <c r="F4986" s="4">
        <f t="shared" si="295"/>
        <v>109.80000000000001</v>
      </c>
      <c r="G4986" s="5">
        <f t="shared" si="296"/>
        <v>0.42263279445727486</v>
      </c>
      <c r="H4986" s="2" t="s">
        <v>5</v>
      </c>
      <c r="I4986" s="6" t="s">
        <v>2300</v>
      </c>
      <c r="J4986" s="2" t="s">
        <v>5</v>
      </c>
      <c r="K4986" s="2" t="s">
        <v>5</v>
      </c>
      <c r="L4986" s="2" t="s">
        <v>5</v>
      </c>
      <c r="M4986" s="2" t="s">
        <v>5</v>
      </c>
      <c r="N4986" s="4">
        <v>0</v>
      </c>
    </row>
    <row r="4987" spans="1:14" x14ac:dyDescent="0.25">
      <c r="A4987" s="2" t="s">
        <v>705</v>
      </c>
      <c r="B4987" s="2" t="s">
        <v>706</v>
      </c>
      <c r="C4987" s="3">
        <v>40</v>
      </c>
      <c r="D4987" s="4">
        <v>519.6</v>
      </c>
      <c r="E4987" s="4">
        <v>300</v>
      </c>
      <c r="F4987" s="4">
        <f t="shared" si="295"/>
        <v>219.60000000000002</v>
      </c>
      <c r="G4987" s="5">
        <f t="shared" si="296"/>
        <v>0.42263279445727486</v>
      </c>
      <c r="H4987" s="2" t="s">
        <v>5</v>
      </c>
      <c r="I4987" s="6" t="s">
        <v>2300</v>
      </c>
      <c r="J4987" s="2" t="s">
        <v>5</v>
      </c>
      <c r="K4987" s="2" t="s">
        <v>5</v>
      </c>
      <c r="L4987" s="2" t="s">
        <v>5</v>
      </c>
      <c r="M4987" s="2" t="s">
        <v>5</v>
      </c>
      <c r="N4987" s="4">
        <v>0</v>
      </c>
    </row>
    <row r="4988" spans="1:14" x14ac:dyDescent="0.25">
      <c r="A4988" s="2" t="s">
        <v>705</v>
      </c>
      <c r="B4988" s="2" t="s">
        <v>706</v>
      </c>
      <c r="C4988" s="3">
        <v>20</v>
      </c>
      <c r="D4988" s="4">
        <v>262.8</v>
      </c>
      <c r="E4988" s="4">
        <v>150</v>
      </c>
      <c r="F4988" s="4">
        <f t="shared" si="295"/>
        <v>112.80000000000001</v>
      </c>
      <c r="G4988" s="5">
        <f t="shared" si="296"/>
        <v>0.42922374429223747</v>
      </c>
      <c r="H4988" s="2" t="s">
        <v>5</v>
      </c>
      <c r="I4988" s="6" t="s">
        <v>2300</v>
      </c>
      <c r="J4988" s="2" t="s">
        <v>5</v>
      </c>
      <c r="K4988" s="2" t="s">
        <v>5</v>
      </c>
      <c r="L4988" s="2" t="s">
        <v>5</v>
      </c>
      <c r="M4988" s="2" t="s">
        <v>5</v>
      </c>
      <c r="N4988" s="4">
        <v>0</v>
      </c>
    </row>
    <row r="4989" spans="1:14" x14ac:dyDescent="0.25">
      <c r="A4989" s="2" t="s">
        <v>705</v>
      </c>
      <c r="B4989" s="2" t="s">
        <v>706</v>
      </c>
      <c r="C4989" s="3">
        <v>20</v>
      </c>
      <c r="D4989" s="4">
        <v>262.8</v>
      </c>
      <c r="E4989" s="4">
        <v>150</v>
      </c>
      <c r="F4989" s="4">
        <f t="shared" si="295"/>
        <v>112.80000000000001</v>
      </c>
      <c r="G4989" s="5">
        <f t="shared" si="296"/>
        <v>0.42922374429223747</v>
      </c>
      <c r="H4989" s="2" t="s">
        <v>5</v>
      </c>
      <c r="I4989" s="6" t="s">
        <v>2300</v>
      </c>
      <c r="J4989" s="2" t="s">
        <v>5</v>
      </c>
      <c r="K4989" s="2" t="s">
        <v>5</v>
      </c>
      <c r="L4989" s="2" t="s">
        <v>5</v>
      </c>
      <c r="M4989" s="2" t="s">
        <v>5</v>
      </c>
      <c r="N4989" s="4">
        <v>0</v>
      </c>
    </row>
    <row r="4990" spans="1:14" x14ac:dyDescent="0.25">
      <c r="A4990" s="2" t="s">
        <v>152</v>
      </c>
      <c r="B4990" s="2" t="s">
        <v>153</v>
      </c>
      <c r="C4990" s="3">
        <v>15.53</v>
      </c>
      <c r="D4990" s="4">
        <v>251.7413</v>
      </c>
      <c r="E4990" s="4">
        <v>107.157</v>
      </c>
      <c r="F4990" s="4">
        <f t="shared" si="295"/>
        <v>144.58429999999998</v>
      </c>
      <c r="G4990" s="5">
        <f t="shared" si="296"/>
        <v>0.57433682911782846</v>
      </c>
      <c r="H4990" s="2" t="s">
        <v>5</v>
      </c>
      <c r="I4990" s="6" t="s">
        <v>2300</v>
      </c>
      <c r="J4990" s="2" t="s">
        <v>5</v>
      </c>
      <c r="K4990" s="2" t="s">
        <v>5</v>
      </c>
      <c r="L4990" s="2" t="s">
        <v>5</v>
      </c>
      <c r="M4990" s="2" t="s">
        <v>5</v>
      </c>
      <c r="N4990" s="4">
        <v>0</v>
      </c>
    </row>
    <row r="4991" spans="1:14" x14ac:dyDescent="0.25">
      <c r="A4991" s="2" t="s">
        <v>152</v>
      </c>
      <c r="B4991" s="2" t="s">
        <v>153</v>
      </c>
      <c r="C4991" s="3">
        <v>45.95</v>
      </c>
      <c r="D4991" s="4">
        <v>754.49900000000002</v>
      </c>
      <c r="E4991" s="4">
        <v>317.05500000000001</v>
      </c>
      <c r="F4991" s="4">
        <f t="shared" si="295"/>
        <v>437.44400000000002</v>
      </c>
      <c r="G4991" s="5">
        <f t="shared" si="296"/>
        <v>0.57978075517661387</v>
      </c>
      <c r="H4991" s="2" t="s">
        <v>5</v>
      </c>
      <c r="I4991" s="6" t="s">
        <v>2300</v>
      </c>
      <c r="J4991" s="2" t="s">
        <v>5</v>
      </c>
      <c r="K4991" s="2" t="s">
        <v>5</v>
      </c>
      <c r="L4991" s="2" t="s">
        <v>5</v>
      </c>
      <c r="M4991" s="2" t="s">
        <v>5</v>
      </c>
      <c r="N4991" s="4">
        <v>0</v>
      </c>
    </row>
    <row r="4992" spans="1:14" x14ac:dyDescent="0.25">
      <c r="A4992" s="2" t="s">
        <v>152</v>
      </c>
      <c r="B4992" s="2" t="s">
        <v>153</v>
      </c>
      <c r="C4992" s="3">
        <v>5.7080000000000002</v>
      </c>
      <c r="D4992" s="4">
        <v>93.725359999999995</v>
      </c>
      <c r="E4992" s="4">
        <v>39.385199999999998</v>
      </c>
      <c r="F4992" s="4">
        <f t="shared" si="295"/>
        <v>54.340159999999997</v>
      </c>
      <c r="G4992" s="5">
        <f t="shared" si="296"/>
        <v>0.57978075517661387</v>
      </c>
      <c r="H4992" s="2" t="s">
        <v>5</v>
      </c>
      <c r="I4992" s="6" t="s">
        <v>2300</v>
      </c>
      <c r="J4992" s="2" t="s">
        <v>5</v>
      </c>
      <c r="K4992" s="2" t="s">
        <v>5</v>
      </c>
      <c r="L4992" s="2" t="s">
        <v>5</v>
      </c>
      <c r="M4992" s="2" t="s">
        <v>5</v>
      </c>
      <c r="N4992" s="4">
        <v>0</v>
      </c>
    </row>
    <row r="4993" spans="1:14" x14ac:dyDescent="0.25">
      <c r="A4993" s="2" t="s">
        <v>152</v>
      </c>
      <c r="B4993" s="2" t="s">
        <v>153</v>
      </c>
      <c r="C4993" s="3">
        <v>7.6849999999999996</v>
      </c>
      <c r="D4993" s="4">
        <v>126.18770000000001</v>
      </c>
      <c r="E4993" s="4">
        <v>53.026499999999999</v>
      </c>
      <c r="F4993" s="4">
        <f t="shared" si="295"/>
        <v>73.161200000000008</v>
      </c>
      <c r="G4993" s="5">
        <f t="shared" si="296"/>
        <v>0.57978075517661387</v>
      </c>
      <c r="H4993" s="2" t="s">
        <v>5</v>
      </c>
      <c r="I4993" s="6" t="s">
        <v>2300</v>
      </c>
      <c r="J4993" s="2" t="s">
        <v>5</v>
      </c>
      <c r="K4993" s="2" t="s">
        <v>5</v>
      </c>
      <c r="L4993" s="2" t="s">
        <v>5</v>
      </c>
      <c r="M4993" s="2" t="s">
        <v>5</v>
      </c>
      <c r="N4993" s="4">
        <v>0</v>
      </c>
    </row>
    <row r="4994" spans="1:14" x14ac:dyDescent="0.25">
      <c r="A4994" s="2" t="s">
        <v>152</v>
      </c>
      <c r="B4994" s="2" t="s">
        <v>153</v>
      </c>
      <c r="C4994" s="3">
        <v>11.69</v>
      </c>
      <c r="D4994" s="4">
        <v>185.4034</v>
      </c>
      <c r="E4994" s="4">
        <v>80.661000000000001</v>
      </c>
      <c r="F4994" s="4">
        <f t="shared" si="295"/>
        <v>104.7424</v>
      </c>
      <c r="G4994" s="5">
        <f t="shared" si="296"/>
        <v>0.56494325346784369</v>
      </c>
      <c r="H4994" s="2" t="s">
        <v>5</v>
      </c>
      <c r="I4994" s="6" t="s">
        <v>2300</v>
      </c>
      <c r="J4994" s="2" t="s">
        <v>5</v>
      </c>
      <c r="K4994" s="2" t="s">
        <v>5</v>
      </c>
      <c r="L4994" s="2" t="s">
        <v>5</v>
      </c>
      <c r="M4994" s="2" t="s">
        <v>5</v>
      </c>
      <c r="N4994" s="4">
        <v>0</v>
      </c>
    </row>
    <row r="4995" spans="1:14" x14ac:dyDescent="0.25">
      <c r="A4995" s="2" t="s">
        <v>152</v>
      </c>
      <c r="B4995" s="2" t="s">
        <v>153</v>
      </c>
      <c r="C4995" s="3">
        <v>9.5399999999999991</v>
      </c>
      <c r="D4995" s="4">
        <v>156.64680000000001</v>
      </c>
      <c r="E4995" s="4">
        <v>65.825999999999993</v>
      </c>
      <c r="F4995" s="4">
        <f t="shared" si="295"/>
        <v>90.82080000000002</v>
      </c>
      <c r="G4995" s="5">
        <f t="shared" si="296"/>
        <v>0.57978075517661398</v>
      </c>
      <c r="H4995" s="2" t="s">
        <v>5</v>
      </c>
      <c r="I4995" s="6" t="s">
        <v>2300</v>
      </c>
      <c r="J4995" s="2" t="s">
        <v>5</v>
      </c>
      <c r="K4995" s="2" t="s">
        <v>5</v>
      </c>
      <c r="L4995" s="2" t="s">
        <v>5</v>
      </c>
      <c r="M4995" s="2" t="s">
        <v>5</v>
      </c>
      <c r="N4995" s="4">
        <v>0</v>
      </c>
    </row>
    <row r="4996" spans="1:14" x14ac:dyDescent="0.25">
      <c r="A4996" s="2" t="s">
        <v>152</v>
      </c>
      <c r="B4996" s="2" t="s">
        <v>153</v>
      </c>
      <c r="C4996" s="3">
        <v>15.67</v>
      </c>
      <c r="D4996" s="4">
        <v>218.28309999999999</v>
      </c>
      <c r="E4996" s="4">
        <v>108.123</v>
      </c>
      <c r="F4996" s="4">
        <f t="shared" si="295"/>
        <v>110.16009999999999</v>
      </c>
      <c r="G4996" s="5">
        <f t="shared" si="296"/>
        <v>0.50466618808327346</v>
      </c>
      <c r="H4996" s="2" t="s">
        <v>5</v>
      </c>
      <c r="I4996" s="6" t="s">
        <v>2300</v>
      </c>
      <c r="J4996" s="2" t="s">
        <v>5</v>
      </c>
      <c r="K4996" s="2" t="s">
        <v>5</v>
      </c>
      <c r="L4996" s="2" t="s">
        <v>5</v>
      </c>
      <c r="M4996" s="2" t="s">
        <v>5</v>
      </c>
      <c r="N4996" s="4">
        <v>0</v>
      </c>
    </row>
    <row r="4997" spans="1:14" x14ac:dyDescent="0.25">
      <c r="A4997" s="2" t="s">
        <v>152</v>
      </c>
      <c r="B4997" s="2" t="s">
        <v>153</v>
      </c>
      <c r="C4997" s="3">
        <v>11.62</v>
      </c>
      <c r="D4997" s="4">
        <v>190.8004</v>
      </c>
      <c r="E4997" s="4">
        <v>80.177999999999997</v>
      </c>
      <c r="F4997" s="4">
        <f t="shared" si="295"/>
        <v>110.6224</v>
      </c>
      <c r="G4997" s="5">
        <f t="shared" si="296"/>
        <v>0.57978075517661387</v>
      </c>
      <c r="H4997" s="2" t="s">
        <v>5</v>
      </c>
      <c r="I4997" s="6" t="s">
        <v>2300</v>
      </c>
      <c r="J4997" s="2" t="s">
        <v>5</v>
      </c>
      <c r="K4997" s="2" t="s">
        <v>5</v>
      </c>
      <c r="L4997" s="2" t="s">
        <v>5</v>
      </c>
      <c r="M4997" s="2" t="s">
        <v>5</v>
      </c>
      <c r="N4997" s="4">
        <v>0</v>
      </c>
    </row>
    <row r="4998" spans="1:14" x14ac:dyDescent="0.25">
      <c r="A4998" s="2" t="s">
        <v>152</v>
      </c>
      <c r="B4998" s="2" t="s">
        <v>153</v>
      </c>
      <c r="C4998" s="3">
        <v>2.02</v>
      </c>
      <c r="D4998" s="4">
        <v>33.168399999999998</v>
      </c>
      <c r="E4998" s="4">
        <v>13.938000000000001</v>
      </c>
      <c r="F4998" s="4">
        <f t="shared" si="295"/>
        <v>19.230399999999996</v>
      </c>
      <c r="G4998" s="5">
        <f t="shared" si="296"/>
        <v>0.57978075517661376</v>
      </c>
      <c r="H4998" s="2" t="s">
        <v>5</v>
      </c>
      <c r="I4998" s="6" t="s">
        <v>2300</v>
      </c>
      <c r="J4998" s="2" t="s">
        <v>5</v>
      </c>
      <c r="K4998" s="2" t="s">
        <v>5</v>
      </c>
      <c r="L4998" s="2" t="s">
        <v>5</v>
      </c>
      <c r="M4998" s="2" t="s">
        <v>5</v>
      </c>
      <c r="N4998" s="4">
        <v>0</v>
      </c>
    </row>
    <row r="4999" spans="1:14" x14ac:dyDescent="0.25">
      <c r="A4999" s="2" t="s">
        <v>152</v>
      </c>
      <c r="B4999" s="2" t="s">
        <v>153</v>
      </c>
      <c r="C4999" s="3">
        <v>15.26</v>
      </c>
      <c r="D4999" s="4">
        <v>250.5692</v>
      </c>
      <c r="E4999" s="4">
        <v>105.294</v>
      </c>
      <c r="F4999" s="4">
        <f t="shared" si="295"/>
        <v>145.27519999999998</v>
      </c>
      <c r="G4999" s="5">
        <f t="shared" si="296"/>
        <v>0.57978075517661387</v>
      </c>
      <c r="H4999" s="2" t="s">
        <v>5</v>
      </c>
      <c r="I4999" s="6" t="s">
        <v>2300</v>
      </c>
      <c r="J4999" s="2" t="s">
        <v>5</v>
      </c>
      <c r="K4999" s="2" t="s">
        <v>5</v>
      </c>
      <c r="L4999" s="2" t="s">
        <v>5</v>
      </c>
      <c r="M4999" s="2" t="s">
        <v>5</v>
      </c>
      <c r="N4999" s="4">
        <v>0</v>
      </c>
    </row>
    <row r="5000" spans="1:14" x14ac:dyDescent="0.25">
      <c r="A5000" s="2" t="s">
        <v>152</v>
      </c>
      <c r="B5000" s="2" t="s">
        <v>153</v>
      </c>
      <c r="C5000" s="3">
        <v>6.7</v>
      </c>
      <c r="D5000" s="4">
        <v>105.25700000000001</v>
      </c>
      <c r="E5000" s="4">
        <v>46.23</v>
      </c>
      <c r="F5000" s="4">
        <f t="shared" si="295"/>
        <v>59.027000000000008</v>
      </c>
      <c r="G5000" s="5">
        <f t="shared" si="296"/>
        <v>0.56078930617441125</v>
      </c>
      <c r="H5000" s="2" t="s">
        <v>5</v>
      </c>
      <c r="I5000" s="6" t="s">
        <v>2300</v>
      </c>
      <c r="J5000" s="2" t="s">
        <v>5</v>
      </c>
      <c r="K5000" s="2" t="s">
        <v>5</v>
      </c>
      <c r="L5000" s="2" t="s">
        <v>5</v>
      </c>
      <c r="M5000" s="2" t="s">
        <v>5</v>
      </c>
      <c r="N5000" s="4">
        <v>0</v>
      </c>
    </row>
    <row r="5001" spans="1:14" x14ac:dyDescent="0.25">
      <c r="A5001" s="2" t="s">
        <v>152</v>
      </c>
      <c r="B5001" s="2" t="s">
        <v>153</v>
      </c>
      <c r="C5001" s="3">
        <v>35</v>
      </c>
      <c r="D5001" s="4">
        <v>574.70000000000005</v>
      </c>
      <c r="E5001" s="4">
        <v>241.5</v>
      </c>
      <c r="F5001" s="4">
        <f t="shared" si="295"/>
        <v>333.20000000000005</v>
      </c>
      <c r="G5001" s="5">
        <f t="shared" si="296"/>
        <v>0.57978075517661387</v>
      </c>
      <c r="H5001" s="2" t="s">
        <v>5</v>
      </c>
      <c r="I5001" s="6" t="s">
        <v>2300</v>
      </c>
      <c r="J5001" s="2" t="s">
        <v>5</v>
      </c>
      <c r="K5001" s="2" t="s">
        <v>5</v>
      </c>
      <c r="L5001" s="2" t="s">
        <v>5</v>
      </c>
      <c r="M5001" s="2" t="s">
        <v>5</v>
      </c>
      <c r="N5001" s="4">
        <v>0</v>
      </c>
    </row>
    <row r="5002" spans="1:14" x14ac:dyDescent="0.25">
      <c r="A5002" s="2" t="s">
        <v>152</v>
      </c>
      <c r="B5002" s="2" t="s">
        <v>153</v>
      </c>
      <c r="C5002" s="3">
        <v>15.88</v>
      </c>
      <c r="D5002" s="4">
        <v>150.86000000000001</v>
      </c>
      <c r="E5002" s="4">
        <v>109.572</v>
      </c>
      <c r="F5002" s="4">
        <f t="shared" si="295"/>
        <v>41.288000000000011</v>
      </c>
      <c r="G5002" s="5">
        <f t="shared" si="296"/>
        <v>0.27368421052631586</v>
      </c>
      <c r="H5002" s="2" t="s">
        <v>5</v>
      </c>
      <c r="I5002" s="6" t="s">
        <v>2300</v>
      </c>
      <c r="J5002" s="2" t="s">
        <v>5</v>
      </c>
      <c r="K5002" s="2" t="s">
        <v>5</v>
      </c>
      <c r="L5002" s="2" t="s">
        <v>5</v>
      </c>
      <c r="M5002" s="2" t="s">
        <v>5</v>
      </c>
      <c r="N5002" s="4">
        <v>0</v>
      </c>
    </row>
    <row r="5003" spans="1:14" x14ac:dyDescent="0.25">
      <c r="A5003" s="2" t="s">
        <v>152</v>
      </c>
      <c r="B5003" s="2" t="s">
        <v>153</v>
      </c>
      <c r="C5003" s="3">
        <v>19.16</v>
      </c>
      <c r="D5003" s="4">
        <v>314.60719999999998</v>
      </c>
      <c r="E5003" s="4">
        <v>132.20400000000001</v>
      </c>
      <c r="F5003" s="4">
        <f t="shared" si="295"/>
        <v>182.40319999999997</v>
      </c>
      <c r="G5003" s="5">
        <f t="shared" si="296"/>
        <v>0.57978075517661387</v>
      </c>
      <c r="H5003" s="2" t="s">
        <v>5</v>
      </c>
      <c r="I5003" s="6" t="s">
        <v>2300</v>
      </c>
      <c r="J5003" s="2" t="s">
        <v>5</v>
      </c>
      <c r="K5003" s="2" t="s">
        <v>5</v>
      </c>
      <c r="L5003" s="2" t="s">
        <v>5</v>
      </c>
      <c r="M5003" s="2" t="s">
        <v>5</v>
      </c>
      <c r="N5003" s="4">
        <v>0</v>
      </c>
    </row>
    <row r="5004" spans="1:14" x14ac:dyDescent="0.25">
      <c r="A5004" s="2" t="s">
        <v>152</v>
      </c>
      <c r="B5004" s="2" t="s">
        <v>153</v>
      </c>
      <c r="C5004" s="3">
        <v>15.03</v>
      </c>
      <c r="D5004" s="4">
        <v>209.36789999999999</v>
      </c>
      <c r="E5004" s="4">
        <v>103.70699999999999</v>
      </c>
      <c r="F5004" s="4">
        <f t="shared" si="295"/>
        <v>105.6609</v>
      </c>
      <c r="G5004" s="5">
        <f t="shared" si="296"/>
        <v>0.50466618808327357</v>
      </c>
      <c r="H5004" s="2" t="s">
        <v>5</v>
      </c>
      <c r="I5004" s="6" t="s">
        <v>2300</v>
      </c>
      <c r="J5004" s="2" t="s">
        <v>5</v>
      </c>
      <c r="K5004" s="2" t="s">
        <v>5</v>
      </c>
      <c r="L5004" s="2" t="s">
        <v>5</v>
      </c>
      <c r="M5004" s="2" t="s">
        <v>5</v>
      </c>
      <c r="N5004" s="4">
        <v>0</v>
      </c>
    </row>
    <row r="5005" spans="1:14" x14ac:dyDescent="0.25">
      <c r="A5005" s="2" t="s">
        <v>152</v>
      </c>
      <c r="B5005" s="2" t="s">
        <v>153</v>
      </c>
      <c r="C5005" s="3">
        <v>3.944</v>
      </c>
      <c r="D5005" s="4">
        <v>64.760480000000001</v>
      </c>
      <c r="E5005" s="4">
        <v>27.2136</v>
      </c>
      <c r="F5005" s="4">
        <f t="shared" si="295"/>
        <v>37.546880000000002</v>
      </c>
      <c r="G5005" s="5">
        <f t="shared" si="296"/>
        <v>0.57978075517661387</v>
      </c>
      <c r="H5005" s="2" t="s">
        <v>5</v>
      </c>
      <c r="I5005" s="6" t="s">
        <v>2300</v>
      </c>
      <c r="J5005" s="2" t="s">
        <v>5</v>
      </c>
      <c r="K5005" s="2" t="s">
        <v>5</v>
      </c>
      <c r="L5005" s="2" t="s">
        <v>5</v>
      </c>
      <c r="M5005" s="2" t="s">
        <v>5</v>
      </c>
      <c r="N5005" s="4">
        <v>0</v>
      </c>
    </row>
    <row r="5006" spans="1:14" x14ac:dyDescent="0.25">
      <c r="A5006" s="2" t="s">
        <v>152</v>
      </c>
      <c r="B5006" s="2" t="s">
        <v>153</v>
      </c>
      <c r="C5006" s="3">
        <v>5.74</v>
      </c>
      <c r="D5006" s="4">
        <v>94.250799999999998</v>
      </c>
      <c r="E5006" s="4">
        <v>39.606000000000002</v>
      </c>
      <c r="F5006" s="4">
        <f t="shared" si="295"/>
        <v>54.644799999999996</v>
      </c>
      <c r="G5006" s="5">
        <f t="shared" si="296"/>
        <v>0.57978075517661387</v>
      </c>
      <c r="H5006" s="2" t="s">
        <v>5</v>
      </c>
      <c r="I5006" s="6" t="s">
        <v>2300</v>
      </c>
      <c r="J5006" s="2" t="s">
        <v>5</v>
      </c>
      <c r="K5006" s="2" t="s">
        <v>5</v>
      </c>
      <c r="L5006" s="2" t="s">
        <v>5</v>
      </c>
      <c r="M5006" s="2" t="s">
        <v>5</v>
      </c>
      <c r="N5006" s="4">
        <v>0</v>
      </c>
    </row>
    <row r="5007" spans="1:14" x14ac:dyDescent="0.25">
      <c r="A5007" s="2" t="s">
        <v>152</v>
      </c>
      <c r="B5007" s="2" t="s">
        <v>153</v>
      </c>
      <c r="C5007" s="3">
        <v>15.68</v>
      </c>
      <c r="D5007" s="4">
        <v>254.1728</v>
      </c>
      <c r="E5007" s="4">
        <v>108.19199999999999</v>
      </c>
      <c r="F5007" s="4">
        <f t="shared" si="295"/>
        <v>145.98079999999999</v>
      </c>
      <c r="G5007" s="5">
        <f t="shared" si="296"/>
        <v>0.57433682911782846</v>
      </c>
      <c r="H5007" s="2" t="s">
        <v>5</v>
      </c>
      <c r="I5007" s="6" t="s">
        <v>2300</v>
      </c>
      <c r="J5007" s="2" t="s">
        <v>5</v>
      </c>
      <c r="K5007" s="2" t="s">
        <v>5</v>
      </c>
      <c r="L5007" s="2" t="s">
        <v>5</v>
      </c>
      <c r="M5007" s="2" t="s">
        <v>5</v>
      </c>
      <c r="N5007" s="4">
        <v>0</v>
      </c>
    </row>
    <row r="5008" spans="1:14" x14ac:dyDescent="0.25">
      <c r="A5008" s="2" t="s">
        <v>152</v>
      </c>
      <c r="B5008" s="2" t="s">
        <v>153</v>
      </c>
      <c r="C5008" s="3">
        <v>31.68</v>
      </c>
      <c r="D5008" s="4">
        <v>441.30239999999998</v>
      </c>
      <c r="E5008" s="4">
        <v>218.59200000000001</v>
      </c>
      <c r="F5008" s="4">
        <f t="shared" si="295"/>
        <v>222.71039999999996</v>
      </c>
      <c r="G5008" s="5">
        <f t="shared" si="296"/>
        <v>0.50466618808327346</v>
      </c>
      <c r="H5008" s="2" t="s">
        <v>5</v>
      </c>
      <c r="I5008" s="6" t="s">
        <v>2300</v>
      </c>
      <c r="J5008" s="2" t="s">
        <v>5</v>
      </c>
      <c r="K5008" s="2" t="s">
        <v>5</v>
      </c>
      <c r="L5008" s="2" t="s">
        <v>5</v>
      </c>
      <c r="M5008" s="2" t="s">
        <v>5</v>
      </c>
      <c r="N5008" s="4">
        <v>0</v>
      </c>
    </row>
    <row r="5009" spans="1:14" x14ac:dyDescent="0.25">
      <c r="A5009" s="2" t="s">
        <v>152</v>
      </c>
      <c r="B5009" s="2" t="s">
        <v>153</v>
      </c>
      <c r="C5009" s="3">
        <v>7.9649999999999999</v>
      </c>
      <c r="D5009" s="4">
        <v>130.78530000000001</v>
      </c>
      <c r="E5009" s="4">
        <v>54.958500000000001</v>
      </c>
      <c r="F5009" s="4">
        <f t="shared" si="295"/>
        <v>75.826800000000006</v>
      </c>
      <c r="G5009" s="5">
        <f t="shared" si="296"/>
        <v>0.57978075517661387</v>
      </c>
      <c r="H5009" s="2" t="s">
        <v>5</v>
      </c>
      <c r="I5009" s="6" t="s">
        <v>2300</v>
      </c>
      <c r="J5009" s="2" t="s">
        <v>5</v>
      </c>
      <c r="K5009" s="2" t="s">
        <v>5</v>
      </c>
      <c r="L5009" s="2" t="s">
        <v>5</v>
      </c>
      <c r="M5009" s="2" t="s">
        <v>5</v>
      </c>
      <c r="N5009" s="4">
        <v>0</v>
      </c>
    </row>
    <row r="5010" spans="1:14" x14ac:dyDescent="0.25">
      <c r="A5010" s="2" t="s">
        <v>152</v>
      </c>
      <c r="B5010" s="2" t="s">
        <v>153</v>
      </c>
      <c r="C5010" s="3">
        <v>7.98</v>
      </c>
      <c r="D5010" s="4">
        <v>131.0316</v>
      </c>
      <c r="E5010" s="4">
        <v>55.061999999999998</v>
      </c>
      <c r="F5010" s="4">
        <f t="shared" si="295"/>
        <v>75.9696</v>
      </c>
      <c r="G5010" s="5">
        <f t="shared" si="296"/>
        <v>0.57978075517661387</v>
      </c>
      <c r="H5010" s="2" t="s">
        <v>5</v>
      </c>
      <c r="I5010" s="6" t="s">
        <v>2300</v>
      </c>
      <c r="J5010" s="2" t="s">
        <v>5</v>
      </c>
      <c r="K5010" s="2" t="s">
        <v>5</v>
      </c>
      <c r="L5010" s="2" t="s">
        <v>5</v>
      </c>
      <c r="M5010" s="2" t="s">
        <v>5</v>
      </c>
      <c r="N5010" s="4">
        <v>0</v>
      </c>
    </row>
    <row r="5011" spans="1:14" x14ac:dyDescent="0.25">
      <c r="A5011" s="2" t="s">
        <v>152</v>
      </c>
      <c r="B5011" s="2" t="s">
        <v>153</v>
      </c>
      <c r="C5011" s="3">
        <v>31.13</v>
      </c>
      <c r="D5011" s="4">
        <v>511.15460000000002</v>
      </c>
      <c r="E5011" s="4">
        <v>214.797</v>
      </c>
      <c r="F5011" s="4">
        <f t="shared" si="295"/>
        <v>296.35760000000005</v>
      </c>
      <c r="G5011" s="5">
        <f t="shared" si="296"/>
        <v>0.57978075517661398</v>
      </c>
      <c r="H5011" s="2" t="s">
        <v>5</v>
      </c>
      <c r="I5011" s="6" t="s">
        <v>2300</v>
      </c>
      <c r="J5011" s="2" t="s">
        <v>5</v>
      </c>
      <c r="K5011" s="2" t="s">
        <v>5</v>
      </c>
      <c r="L5011" s="2" t="s">
        <v>5</v>
      </c>
      <c r="M5011" s="2" t="s">
        <v>5</v>
      </c>
      <c r="N5011" s="4">
        <v>0</v>
      </c>
    </row>
    <row r="5012" spans="1:14" x14ac:dyDescent="0.25">
      <c r="A5012" s="2" t="s">
        <v>152</v>
      </c>
      <c r="B5012" s="2" t="s">
        <v>153</v>
      </c>
      <c r="C5012" s="3">
        <v>45.73</v>
      </c>
      <c r="D5012" s="4">
        <v>743.11249999999995</v>
      </c>
      <c r="E5012" s="4">
        <v>315.53699999999998</v>
      </c>
      <c r="F5012" s="4">
        <f t="shared" si="295"/>
        <v>427.57549999999998</v>
      </c>
      <c r="G5012" s="5">
        <f t="shared" si="296"/>
        <v>0.57538461538461538</v>
      </c>
      <c r="H5012" s="2" t="s">
        <v>5</v>
      </c>
      <c r="I5012" s="6" t="s">
        <v>2300</v>
      </c>
      <c r="J5012" s="2" t="s">
        <v>5</v>
      </c>
      <c r="K5012" s="2" t="s">
        <v>5</v>
      </c>
      <c r="L5012" s="2" t="s">
        <v>5</v>
      </c>
      <c r="M5012" s="2" t="s">
        <v>5</v>
      </c>
      <c r="N5012" s="4">
        <v>0</v>
      </c>
    </row>
    <row r="5013" spans="1:14" x14ac:dyDescent="0.25">
      <c r="A5013" s="2" t="s">
        <v>152</v>
      </c>
      <c r="B5013" s="2" t="s">
        <v>153</v>
      </c>
      <c r="C5013" s="3">
        <v>15.38</v>
      </c>
      <c r="D5013" s="4">
        <v>252.53960000000001</v>
      </c>
      <c r="E5013" s="4">
        <v>106.122</v>
      </c>
      <c r="F5013" s="4">
        <f t="shared" si="295"/>
        <v>146.41759999999999</v>
      </c>
      <c r="G5013" s="5">
        <f t="shared" si="296"/>
        <v>0.57978075517661387</v>
      </c>
      <c r="H5013" s="2" t="s">
        <v>5</v>
      </c>
      <c r="I5013" s="6" t="s">
        <v>2300</v>
      </c>
      <c r="J5013" s="2" t="s">
        <v>5</v>
      </c>
      <c r="K5013" s="2" t="s">
        <v>5</v>
      </c>
      <c r="L5013" s="2" t="s">
        <v>5</v>
      </c>
      <c r="M5013" s="2" t="s">
        <v>5</v>
      </c>
      <c r="N5013" s="4">
        <v>0</v>
      </c>
    </row>
    <row r="5014" spans="1:14" x14ac:dyDescent="0.25">
      <c r="A5014" s="2" t="s">
        <v>152</v>
      </c>
      <c r="B5014" s="2" t="s">
        <v>153</v>
      </c>
      <c r="C5014" s="3">
        <v>30.99</v>
      </c>
      <c r="D5014" s="4">
        <v>431.69069999999999</v>
      </c>
      <c r="E5014" s="4">
        <v>213.83099999999999</v>
      </c>
      <c r="F5014" s="4">
        <f t="shared" si="295"/>
        <v>217.8597</v>
      </c>
      <c r="G5014" s="5">
        <f t="shared" si="296"/>
        <v>0.50466618808327357</v>
      </c>
      <c r="H5014" s="2" t="s">
        <v>5</v>
      </c>
      <c r="I5014" s="6" t="s">
        <v>2300</v>
      </c>
      <c r="J5014" s="2" t="s">
        <v>5</v>
      </c>
      <c r="K5014" s="2" t="s">
        <v>5</v>
      </c>
      <c r="L5014" s="2" t="s">
        <v>5</v>
      </c>
      <c r="M5014" s="2" t="s">
        <v>5</v>
      </c>
      <c r="N5014" s="4">
        <v>0</v>
      </c>
    </row>
    <row r="5015" spans="1:14" x14ac:dyDescent="0.25">
      <c r="A5015" s="2" t="s">
        <v>152</v>
      </c>
      <c r="B5015" s="2" t="s">
        <v>153</v>
      </c>
      <c r="C5015" s="3">
        <v>11.515000000000001</v>
      </c>
      <c r="D5015" s="4">
        <v>109.3925</v>
      </c>
      <c r="E5015" s="4">
        <v>79.453500000000005</v>
      </c>
      <c r="F5015" s="4">
        <f t="shared" si="295"/>
        <v>29.938999999999993</v>
      </c>
      <c r="G5015" s="5">
        <f t="shared" si="296"/>
        <v>0.27368421052631575</v>
      </c>
      <c r="H5015" s="2" t="s">
        <v>5</v>
      </c>
      <c r="I5015" s="6" t="s">
        <v>2300</v>
      </c>
      <c r="J5015" s="2" t="s">
        <v>5</v>
      </c>
      <c r="K5015" s="2" t="s">
        <v>5</v>
      </c>
      <c r="L5015" s="2" t="s">
        <v>5</v>
      </c>
      <c r="M5015" s="2" t="s">
        <v>5</v>
      </c>
      <c r="N5015" s="4">
        <v>0</v>
      </c>
    </row>
    <row r="5016" spans="1:14" x14ac:dyDescent="0.25">
      <c r="A5016" s="2" t="s">
        <v>152</v>
      </c>
      <c r="B5016" s="2" t="s">
        <v>153</v>
      </c>
      <c r="C5016" s="3">
        <v>5.7919999999999998</v>
      </c>
      <c r="D5016" s="4">
        <v>95.104640000000003</v>
      </c>
      <c r="E5016" s="4">
        <v>39.964799999999997</v>
      </c>
      <c r="F5016" s="4">
        <f t="shared" si="295"/>
        <v>55.139840000000007</v>
      </c>
      <c r="G5016" s="5">
        <f t="shared" si="296"/>
        <v>0.57978075517661398</v>
      </c>
      <c r="H5016" s="2" t="s">
        <v>5</v>
      </c>
      <c r="I5016" s="6" t="s">
        <v>2300</v>
      </c>
      <c r="J5016" s="2" t="s">
        <v>5</v>
      </c>
      <c r="K5016" s="2" t="s">
        <v>5</v>
      </c>
      <c r="L5016" s="2" t="s">
        <v>5</v>
      </c>
      <c r="M5016" s="2" t="s">
        <v>5</v>
      </c>
      <c r="N5016" s="4">
        <v>0</v>
      </c>
    </row>
    <row r="5017" spans="1:14" x14ac:dyDescent="0.25">
      <c r="A5017" s="2" t="s">
        <v>152</v>
      </c>
      <c r="B5017" s="2" t="s">
        <v>153</v>
      </c>
      <c r="C5017" s="3">
        <v>-46.16</v>
      </c>
      <c r="D5017" s="4">
        <v>-750.1</v>
      </c>
      <c r="E5017" s="4">
        <v>-318.50400000000002</v>
      </c>
      <c r="F5017" s="4">
        <f t="shared" si="295"/>
        <v>-431.596</v>
      </c>
      <c r="G5017" s="5">
        <f t="shared" si="296"/>
        <v>0.57538461538461538</v>
      </c>
      <c r="H5017" s="2" t="s">
        <v>5</v>
      </c>
      <c r="I5017" s="6" t="s">
        <v>2300</v>
      </c>
      <c r="J5017" s="2" t="s">
        <v>5</v>
      </c>
      <c r="K5017" s="2" t="s">
        <v>5</v>
      </c>
      <c r="L5017" s="2" t="s">
        <v>5</v>
      </c>
      <c r="M5017" s="2" t="s">
        <v>5</v>
      </c>
      <c r="N5017" s="4">
        <v>0</v>
      </c>
    </row>
    <row r="5018" spans="1:14" x14ac:dyDescent="0.25">
      <c r="A5018" s="2" t="s">
        <v>152</v>
      </c>
      <c r="B5018" s="2" t="s">
        <v>153</v>
      </c>
      <c r="C5018" s="3">
        <v>30.44</v>
      </c>
      <c r="D5018" s="4">
        <v>424.0292</v>
      </c>
      <c r="E5018" s="4">
        <v>210.036</v>
      </c>
      <c r="F5018" s="4">
        <f t="shared" si="295"/>
        <v>213.9932</v>
      </c>
      <c r="G5018" s="5">
        <f t="shared" si="296"/>
        <v>0.50466618808327346</v>
      </c>
      <c r="H5018" s="2" t="s">
        <v>5</v>
      </c>
      <c r="I5018" s="6" t="s">
        <v>2300</v>
      </c>
      <c r="J5018" s="2" t="s">
        <v>5</v>
      </c>
      <c r="K5018" s="2" t="s">
        <v>5</v>
      </c>
      <c r="L5018" s="2" t="s">
        <v>5</v>
      </c>
      <c r="M5018" s="2" t="s">
        <v>5</v>
      </c>
      <c r="N5018" s="4">
        <v>0</v>
      </c>
    </row>
    <row r="5019" spans="1:14" x14ac:dyDescent="0.25">
      <c r="A5019" s="2" t="s">
        <v>556</v>
      </c>
      <c r="B5019" s="2" t="s">
        <v>557</v>
      </c>
      <c r="C5019" s="3">
        <v>22.55</v>
      </c>
      <c r="D5019" s="4">
        <v>394.85050000000001</v>
      </c>
      <c r="E5019" s="4">
        <v>208.58750000000001</v>
      </c>
      <c r="F5019" s="4">
        <f t="shared" si="295"/>
        <v>186.26300000000001</v>
      </c>
      <c r="G5019" s="5">
        <f t="shared" si="296"/>
        <v>0.47173043974871504</v>
      </c>
      <c r="H5019" s="2" t="s">
        <v>5</v>
      </c>
      <c r="I5019" s="6" t="s">
        <v>2300</v>
      </c>
      <c r="J5019" s="2" t="s">
        <v>5</v>
      </c>
      <c r="K5019" s="2" t="s">
        <v>5</v>
      </c>
      <c r="L5019" s="2" t="s">
        <v>5</v>
      </c>
      <c r="M5019" s="2" t="s">
        <v>5</v>
      </c>
      <c r="N5019" s="4">
        <v>0</v>
      </c>
    </row>
    <row r="5020" spans="1:14" x14ac:dyDescent="0.25">
      <c r="A5020" s="2" t="s">
        <v>556</v>
      </c>
      <c r="B5020" s="2" t="s">
        <v>557</v>
      </c>
      <c r="C5020" s="3">
        <v>6.77</v>
      </c>
      <c r="D5020" s="4">
        <v>108.3877</v>
      </c>
      <c r="E5020" s="4">
        <v>62.622500000000002</v>
      </c>
      <c r="F5020" s="4">
        <f t="shared" si="295"/>
        <v>45.765199999999993</v>
      </c>
      <c r="G5020" s="5">
        <f t="shared" si="296"/>
        <v>0.42223610243597748</v>
      </c>
      <c r="H5020" s="2" t="s">
        <v>5</v>
      </c>
      <c r="I5020" s="6" t="s">
        <v>2300</v>
      </c>
      <c r="J5020" s="2" t="s">
        <v>5</v>
      </c>
      <c r="K5020" s="2" t="s">
        <v>5</v>
      </c>
      <c r="L5020" s="2" t="s">
        <v>5</v>
      </c>
      <c r="M5020" s="2" t="s">
        <v>5</v>
      </c>
      <c r="N5020" s="4">
        <v>0</v>
      </c>
    </row>
    <row r="5021" spans="1:14" x14ac:dyDescent="0.25">
      <c r="A5021" s="2" t="s">
        <v>556</v>
      </c>
      <c r="B5021" s="2" t="s">
        <v>557</v>
      </c>
      <c r="C5021" s="3">
        <v>5.234</v>
      </c>
      <c r="D5021" s="4">
        <v>91.64734</v>
      </c>
      <c r="E5021" s="4">
        <v>48.414499999999997</v>
      </c>
      <c r="F5021" s="4">
        <f t="shared" si="295"/>
        <v>43.232840000000003</v>
      </c>
      <c r="G5021" s="5">
        <f t="shared" si="296"/>
        <v>0.47173043974871504</v>
      </c>
      <c r="H5021" s="2" t="s">
        <v>5</v>
      </c>
      <c r="I5021" s="6" t="s">
        <v>2300</v>
      </c>
      <c r="J5021" s="2" t="s">
        <v>5</v>
      </c>
      <c r="K5021" s="2" t="s">
        <v>5</v>
      </c>
      <c r="L5021" s="2" t="s">
        <v>5</v>
      </c>
      <c r="M5021" s="2" t="s">
        <v>5</v>
      </c>
      <c r="N5021" s="4">
        <v>0</v>
      </c>
    </row>
    <row r="5022" spans="1:14" x14ac:dyDescent="0.25">
      <c r="A5022" s="2" t="s">
        <v>556</v>
      </c>
      <c r="B5022" s="2" t="s">
        <v>557</v>
      </c>
      <c r="C5022" s="3">
        <v>6.88</v>
      </c>
      <c r="D5022" s="4">
        <v>110.14879999999999</v>
      </c>
      <c r="E5022" s="4">
        <v>63.64</v>
      </c>
      <c r="F5022" s="4">
        <f t="shared" si="295"/>
        <v>46.508799999999994</v>
      </c>
      <c r="G5022" s="5">
        <f t="shared" si="296"/>
        <v>0.42223610243597748</v>
      </c>
      <c r="H5022" s="2" t="s">
        <v>5</v>
      </c>
      <c r="I5022" s="6" t="s">
        <v>2300</v>
      </c>
      <c r="J5022" s="2" t="s">
        <v>5</v>
      </c>
      <c r="K5022" s="2" t="s">
        <v>5</v>
      </c>
      <c r="L5022" s="2" t="s">
        <v>5</v>
      </c>
      <c r="M5022" s="2" t="s">
        <v>5</v>
      </c>
      <c r="N5022" s="4">
        <v>0</v>
      </c>
    </row>
    <row r="5023" spans="1:14" x14ac:dyDescent="0.25">
      <c r="A5023" s="2" t="s">
        <v>556</v>
      </c>
      <c r="B5023" s="2" t="s">
        <v>557</v>
      </c>
      <c r="C5023" s="3">
        <v>33.869999999999997</v>
      </c>
      <c r="D5023" s="4">
        <v>593.06370000000004</v>
      </c>
      <c r="E5023" s="4">
        <v>313.29750000000001</v>
      </c>
      <c r="F5023" s="4">
        <f t="shared" si="295"/>
        <v>279.76620000000003</v>
      </c>
      <c r="G5023" s="5">
        <f t="shared" si="296"/>
        <v>0.47173043974871504</v>
      </c>
      <c r="H5023" s="2" t="s">
        <v>5</v>
      </c>
      <c r="I5023" s="6" t="s">
        <v>2300</v>
      </c>
      <c r="J5023" s="2" t="s">
        <v>5</v>
      </c>
      <c r="K5023" s="2" t="s">
        <v>5</v>
      </c>
      <c r="L5023" s="2" t="s">
        <v>5</v>
      </c>
      <c r="M5023" s="2" t="s">
        <v>5</v>
      </c>
      <c r="N5023" s="4">
        <v>0</v>
      </c>
    </row>
    <row r="5024" spans="1:14" x14ac:dyDescent="0.25">
      <c r="A5024" s="2" t="s">
        <v>556</v>
      </c>
      <c r="B5024" s="2" t="s">
        <v>557</v>
      </c>
      <c r="C5024" s="3">
        <v>30.49</v>
      </c>
      <c r="D5024" s="4">
        <v>533.87990000000002</v>
      </c>
      <c r="E5024" s="4">
        <v>282.03250000000003</v>
      </c>
      <c r="F5024" s="4">
        <f t="shared" si="295"/>
        <v>251.84739999999999</v>
      </c>
      <c r="G5024" s="5">
        <f t="shared" si="296"/>
        <v>0.47173043974871498</v>
      </c>
      <c r="H5024" s="2" t="s">
        <v>5</v>
      </c>
      <c r="I5024" s="6" t="s">
        <v>2300</v>
      </c>
      <c r="J5024" s="2" t="s">
        <v>5</v>
      </c>
      <c r="K5024" s="2" t="s">
        <v>5</v>
      </c>
      <c r="L5024" s="2" t="s">
        <v>5</v>
      </c>
      <c r="M5024" s="2" t="s">
        <v>5</v>
      </c>
      <c r="N5024" s="4">
        <v>0</v>
      </c>
    </row>
    <row r="5025" spans="1:14" x14ac:dyDescent="0.25">
      <c r="A5025" s="2" t="s">
        <v>1103</v>
      </c>
      <c r="B5025" s="2" t="s">
        <v>1104</v>
      </c>
      <c r="C5025" s="3">
        <v>5</v>
      </c>
      <c r="D5025" s="4">
        <v>127.5</v>
      </c>
      <c r="E5025" s="4">
        <v>86</v>
      </c>
      <c r="F5025" s="4">
        <f t="shared" ref="F5025:F5088" si="297">D5025-E5025</f>
        <v>41.5</v>
      </c>
      <c r="G5025" s="5">
        <f t="shared" ref="G5025:G5088" si="298">IF(((D5025)=0),0,(D5025-E5025)/ D5025)</f>
        <v>0.32549019607843138</v>
      </c>
      <c r="H5025" s="2" t="s">
        <v>5</v>
      </c>
      <c r="I5025" s="6" t="s">
        <v>2300</v>
      </c>
      <c r="J5025" s="2" t="s">
        <v>5</v>
      </c>
      <c r="K5025" s="2" t="s">
        <v>5</v>
      </c>
      <c r="L5025" s="2" t="s">
        <v>5</v>
      </c>
      <c r="M5025" s="2" t="s">
        <v>5</v>
      </c>
      <c r="N5025" s="4">
        <v>0</v>
      </c>
    </row>
    <row r="5026" spans="1:14" x14ac:dyDescent="0.25">
      <c r="A5026" s="2" t="s">
        <v>1103</v>
      </c>
      <c r="B5026" s="2" t="s">
        <v>1104</v>
      </c>
      <c r="C5026" s="3">
        <v>5</v>
      </c>
      <c r="D5026" s="4">
        <v>127.5</v>
      </c>
      <c r="E5026" s="4">
        <v>86</v>
      </c>
      <c r="F5026" s="4">
        <f t="shared" si="297"/>
        <v>41.5</v>
      </c>
      <c r="G5026" s="5">
        <f t="shared" si="298"/>
        <v>0.32549019607843138</v>
      </c>
      <c r="H5026" s="2" t="s">
        <v>5</v>
      </c>
      <c r="I5026" s="6" t="s">
        <v>2300</v>
      </c>
      <c r="J5026" s="2" t="s">
        <v>5</v>
      </c>
      <c r="K5026" s="2" t="s">
        <v>5</v>
      </c>
      <c r="L5026" s="2" t="s">
        <v>5</v>
      </c>
      <c r="M5026" s="2" t="s">
        <v>5</v>
      </c>
      <c r="N5026" s="4">
        <v>0</v>
      </c>
    </row>
    <row r="5027" spans="1:14" x14ac:dyDescent="0.25">
      <c r="A5027" s="2" t="s">
        <v>1103</v>
      </c>
      <c r="B5027" s="2" t="s">
        <v>1104</v>
      </c>
      <c r="C5027" s="3">
        <v>5</v>
      </c>
      <c r="D5027" s="4">
        <v>127.5</v>
      </c>
      <c r="E5027" s="4">
        <v>86</v>
      </c>
      <c r="F5027" s="4">
        <f t="shared" si="297"/>
        <v>41.5</v>
      </c>
      <c r="G5027" s="5">
        <f t="shared" si="298"/>
        <v>0.32549019607843138</v>
      </c>
      <c r="H5027" s="2" t="s">
        <v>5</v>
      </c>
      <c r="I5027" s="6" t="s">
        <v>2300</v>
      </c>
      <c r="J5027" s="2" t="s">
        <v>5</v>
      </c>
      <c r="K5027" s="2" t="s">
        <v>5</v>
      </c>
      <c r="L5027" s="2" t="s">
        <v>5</v>
      </c>
      <c r="M5027" s="2" t="s">
        <v>5</v>
      </c>
      <c r="N5027" s="4">
        <v>0</v>
      </c>
    </row>
    <row r="5028" spans="1:14" x14ac:dyDescent="0.25">
      <c r="A5028" s="2" t="s">
        <v>1103</v>
      </c>
      <c r="B5028" s="2" t="s">
        <v>1104</v>
      </c>
      <c r="C5028" s="3">
        <v>5</v>
      </c>
      <c r="D5028" s="4">
        <v>127.5</v>
      </c>
      <c r="E5028" s="4">
        <v>86</v>
      </c>
      <c r="F5028" s="4">
        <f t="shared" si="297"/>
        <v>41.5</v>
      </c>
      <c r="G5028" s="5">
        <f t="shared" si="298"/>
        <v>0.32549019607843138</v>
      </c>
      <c r="H5028" s="2" t="s">
        <v>5</v>
      </c>
      <c r="I5028" s="6" t="s">
        <v>2300</v>
      </c>
      <c r="J5028" s="2" t="s">
        <v>5</v>
      </c>
      <c r="K5028" s="2" t="s">
        <v>5</v>
      </c>
      <c r="L5028" s="2" t="s">
        <v>5</v>
      </c>
      <c r="M5028" s="2" t="s">
        <v>5</v>
      </c>
      <c r="N5028" s="4">
        <v>0</v>
      </c>
    </row>
    <row r="5029" spans="1:14" x14ac:dyDescent="0.25">
      <c r="A5029" s="2" t="s">
        <v>1103</v>
      </c>
      <c r="B5029" s="2" t="s">
        <v>1104</v>
      </c>
      <c r="C5029" s="3">
        <v>5</v>
      </c>
      <c r="D5029" s="4">
        <v>127.5</v>
      </c>
      <c r="E5029" s="4">
        <v>86</v>
      </c>
      <c r="F5029" s="4">
        <f t="shared" si="297"/>
        <v>41.5</v>
      </c>
      <c r="G5029" s="5">
        <f t="shared" si="298"/>
        <v>0.32549019607843138</v>
      </c>
      <c r="H5029" s="2" t="s">
        <v>5</v>
      </c>
      <c r="I5029" s="6" t="s">
        <v>2300</v>
      </c>
      <c r="J5029" s="2" t="s">
        <v>5</v>
      </c>
      <c r="K5029" s="2" t="s">
        <v>5</v>
      </c>
      <c r="L5029" s="2" t="s">
        <v>5</v>
      </c>
      <c r="M5029" s="2" t="s">
        <v>5</v>
      </c>
      <c r="N5029" s="4">
        <v>0</v>
      </c>
    </row>
    <row r="5030" spans="1:14" x14ac:dyDescent="0.25">
      <c r="A5030" s="2" t="s">
        <v>47</v>
      </c>
      <c r="B5030" s="2" t="s">
        <v>48</v>
      </c>
      <c r="C5030" s="3">
        <v>18.239999999999998</v>
      </c>
      <c r="D5030" s="4">
        <v>314.45760000000001</v>
      </c>
      <c r="E5030" s="4">
        <v>142.27199999999999</v>
      </c>
      <c r="F5030" s="4">
        <f t="shared" si="297"/>
        <v>172.18560000000002</v>
      </c>
      <c r="G5030" s="5">
        <f t="shared" si="298"/>
        <v>0.54756380510440839</v>
      </c>
      <c r="H5030" s="2" t="s">
        <v>5</v>
      </c>
      <c r="I5030" s="6" t="s">
        <v>2300</v>
      </c>
      <c r="J5030" s="2" t="s">
        <v>5</v>
      </c>
      <c r="K5030" s="2" t="s">
        <v>5</v>
      </c>
      <c r="L5030" s="2" t="s">
        <v>5</v>
      </c>
      <c r="M5030" s="2" t="s">
        <v>5</v>
      </c>
      <c r="N5030" s="4">
        <v>0</v>
      </c>
    </row>
    <row r="5031" spans="1:14" x14ac:dyDescent="0.25">
      <c r="A5031" s="2" t="s">
        <v>312</v>
      </c>
      <c r="B5031" s="2" t="s">
        <v>313</v>
      </c>
      <c r="C5031" s="3">
        <v>5.1100000000000003</v>
      </c>
      <c r="D5031" s="4">
        <v>83.906199999999998</v>
      </c>
      <c r="E5031" s="4">
        <v>35.259</v>
      </c>
      <c r="F5031" s="4">
        <f t="shared" si="297"/>
        <v>48.647199999999998</v>
      </c>
      <c r="G5031" s="5">
        <f t="shared" si="298"/>
        <v>0.57978075517661387</v>
      </c>
      <c r="H5031" s="2" t="s">
        <v>5</v>
      </c>
      <c r="I5031" s="6" t="s">
        <v>2300</v>
      </c>
      <c r="J5031" s="2" t="s">
        <v>5</v>
      </c>
      <c r="K5031" s="2" t="s">
        <v>5</v>
      </c>
      <c r="L5031" s="2" t="s">
        <v>5</v>
      </c>
      <c r="M5031" s="2" t="s">
        <v>5</v>
      </c>
      <c r="N5031" s="4">
        <v>0</v>
      </c>
    </row>
    <row r="5032" spans="1:14" x14ac:dyDescent="0.25">
      <c r="A5032" s="2" t="s">
        <v>312</v>
      </c>
      <c r="B5032" s="2" t="s">
        <v>313</v>
      </c>
      <c r="C5032" s="3">
        <v>7.665</v>
      </c>
      <c r="D5032" s="4">
        <v>75.883499999999998</v>
      </c>
      <c r="E5032" s="4">
        <v>52.888500000000001</v>
      </c>
      <c r="F5032" s="4">
        <f t="shared" si="297"/>
        <v>22.994999999999997</v>
      </c>
      <c r="G5032" s="5">
        <f t="shared" si="298"/>
        <v>0.30303030303030298</v>
      </c>
      <c r="H5032" s="2" t="s">
        <v>5</v>
      </c>
      <c r="I5032" s="6" t="s">
        <v>2300</v>
      </c>
      <c r="J5032" s="2" t="s">
        <v>5</v>
      </c>
      <c r="K5032" s="2" t="s">
        <v>5</v>
      </c>
      <c r="L5032" s="2" t="s">
        <v>5</v>
      </c>
      <c r="M5032" s="2" t="s">
        <v>5</v>
      </c>
      <c r="N5032" s="4">
        <v>0</v>
      </c>
    </row>
    <row r="5033" spans="1:14" x14ac:dyDescent="0.25">
      <c r="A5033" s="2" t="s">
        <v>312</v>
      </c>
      <c r="B5033" s="2" t="s">
        <v>313</v>
      </c>
      <c r="C5033" s="3">
        <v>15</v>
      </c>
      <c r="D5033" s="4">
        <v>246.3</v>
      </c>
      <c r="E5033" s="4">
        <v>103.5</v>
      </c>
      <c r="F5033" s="4">
        <f t="shared" si="297"/>
        <v>142.80000000000001</v>
      </c>
      <c r="G5033" s="5">
        <f t="shared" si="298"/>
        <v>0.57978075517661387</v>
      </c>
      <c r="H5033" s="2" t="s">
        <v>5</v>
      </c>
      <c r="I5033" s="6" t="s">
        <v>2300</v>
      </c>
      <c r="J5033" s="2" t="s">
        <v>5</v>
      </c>
      <c r="K5033" s="2" t="s">
        <v>5</v>
      </c>
      <c r="L5033" s="2" t="s">
        <v>5</v>
      </c>
      <c r="M5033" s="2" t="s">
        <v>5</v>
      </c>
      <c r="N5033" s="4">
        <v>0</v>
      </c>
    </row>
    <row r="5034" spans="1:14" x14ac:dyDescent="0.25">
      <c r="A5034" s="2" t="s">
        <v>312</v>
      </c>
      <c r="B5034" s="2" t="s">
        <v>313</v>
      </c>
      <c r="C5034" s="3">
        <v>2.5099999999999998</v>
      </c>
      <c r="D5034" s="4">
        <v>41.214199999999998</v>
      </c>
      <c r="E5034" s="4">
        <v>17.318999999999999</v>
      </c>
      <c r="F5034" s="4">
        <f t="shared" si="297"/>
        <v>23.895199999999999</v>
      </c>
      <c r="G5034" s="5">
        <f t="shared" si="298"/>
        <v>0.57978075517661387</v>
      </c>
      <c r="H5034" s="2" t="s">
        <v>5</v>
      </c>
      <c r="I5034" s="6" t="s">
        <v>2300</v>
      </c>
      <c r="J5034" s="2" t="s">
        <v>5</v>
      </c>
      <c r="K5034" s="2" t="s">
        <v>5</v>
      </c>
      <c r="L5034" s="2" t="s">
        <v>5</v>
      </c>
      <c r="M5034" s="2" t="s">
        <v>5</v>
      </c>
      <c r="N5034" s="4">
        <v>0</v>
      </c>
    </row>
    <row r="5035" spans="1:14" x14ac:dyDescent="0.25">
      <c r="A5035" s="2" t="s">
        <v>312</v>
      </c>
      <c r="B5035" s="2" t="s">
        <v>313</v>
      </c>
      <c r="C5035" s="3">
        <v>5.0999999999999996</v>
      </c>
      <c r="D5035" s="4">
        <v>83.742000000000004</v>
      </c>
      <c r="E5035" s="4">
        <v>35.19</v>
      </c>
      <c r="F5035" s="4">
        <f t="shared" si="297"/>
        <v>48.552000000000007</v>
      </c>
      <c r="G5035" s="5">
        <f t="shared" si="298"/>
        <v>0.57978075517661398</v>
      </c>
      <c r="H5035" s="2" t="s">
        <v>5</v>
      </c>
      <c r="I5035" s="6" t="s">
        <v>2300</v>
      </c>
      <c r="J5035" s="2" t="s">
        <v>5</v>
      </c>
      <c r="K5035" s="2" t="s">
        <v>5</v>
      </c>
      <c r="L5035" s="2" t="s">
        <v>5</v>
      </c>
      <c r="M5035" s="2" t="s">
        <v>5</v>
      </c>
      <c r="N5035" s="4">
        <v>0</v>
      </c>
    </row>
    <row r="5036" spans="1:14" x14ac:dyDescent="0.25">
      <c r="A5036" s="2" t="s">
        <v>312</v>
      </c>
      <c r="B5036" s="2" t="s">
        <v>313</v>
      </c>
      <c r="C5036" s="3">
        <v>5.1360000000000001</v>
      </c>
      <c r="D5036" s="4">
        <v>84.333119999999994</v>
      </c>
      <c r="E5036" s="4">
        <v>35.438400000000001</v>
      </c>
      <c r="F5036" s="4">
        <f t="shared" si="297"/>
        <v>48.894719999999992</v>
      </c>
      <c r="G5036" s="5">
        <f t="shared" si="298"/>
        <v>0.57978075517661387</v>
      </c>
      <c r="H5036" s="2" t="s">
        <v>5</v>
      </c>
      <c r="I5036" s="6" t="s">
        <v>2300</v>
      </c>
      <c r="J5036" s="2" t="s">
        <v>5</v>
      </c>
      <c r="K5036" s="2" t="s">
        <v>5</v>
      </c>
      <c r="L5036" s="2" t="s">
        <v>5</v>
      </c>
      <c r="M5036" s="2" t="s">
        <v>5</v>
      </c>
      <c r="N5036" s="4">
        <v>0</v>
      </c>
    </row>
    <row r="5037" spans="1:14" x14ac:dyDescent="0.25">
      <c r="A5037" s="2" t="s">
        <v>312</v>
      </c>
      <c r="B5037" s="2" t="s">
        <v>313</v>
      </c>
      <c r="C5037" s="3">
        <v>15</v>
      </c>
      <c r="D5037" s="4">
        <v>246.3</v>
      </c>
      <c r="E5037" s="4">
        <v>103.5</v>
      </c>
      <c r="F5037" s="4">
        <f t="shared" si="297"/>
        <v>142.80000000000001</v>
      </c>
      <c r="G5037" s="5">
        <f t="shared" si="298"/>
        <v>0.57978075517661387</v>
      </c>
      <c r="H5037" s="2" t="s">
        <v>5</v>
      </c>
      <c r="I5037" s="6" t="s">
        <v>2300</v>
      </c>
      <c r="J5037" s="2" t="s">
        <v>5</v>
      </c>
      <c r="K5037" s="2" t="s">
        <v>5</v>
      </c>
      <c r="L5037" s="2" t="s">
        <v>5</v>
      </c>
      <c r="M5037" s="2" t="s">
        <v>5</v>
      </c>
      <c r="N5037" s="4">
        <v>0</v>
      </c>
    </row>
    <row r="5038" spans="1:14" x14ac:dyDescent="0.25">
      <c r="A5038" s="2" t="s">
        <v>1939</v>
      </c>
      <c r="B5038" s="2" t="s">
        <v>1940</v>
      </c>
      <c r="C5038" s="3">
        <v>56</v>
      </c>
      <c r="D5038" s="4">
        <v>10525.2</v>
      </c>
      <c r="E5038" s="4">
        <v>5796</v>
      </c>
      <c r="F5038" s="4">
        <f t="shared" si="297"/>
        <v>4729.2000000000007</v>
      </c>
      <c r="G5038" s="5">
        <f t="shared" si="298"/>
        <v>0.44932162809257786</v>
      </c>
      <c r="H5038" s="2" t="s">
        <v>5</v>
      </c>
      <c r="I5038" s="6" t="s">
        <v>2300</v>
      </c>
      <c r="J5038" s="2" t="s">
        <v>5</v>
      </c>
      <c r="K5038" s="2" t="s">
        <v>5</v>
      </c>
      <c r="L5038" s="2" t="s">
        <v>5</v>
      </c>
      <c r="M5038" s="2" t="s">
        <v>5</v>
      </c>
      <c r="N5038" s="4">
        <v>0</v>
      </c>
    </row>
    <row r="5039" spans="1:14" x14ac:dyDescent="0.25">
      <c r="A5039" s="2" t="s">
        <v>601</v>
      </c>
      <c r="B5039" s="2" t="s">
        <v>602</v>
      </c>
      <c r="C5039" s="3">
        <v>66.375</v>
      </c>
      <c r="D5039" s="4">
        <v>359.7525</v>
      </c>
      <c r="E5039" s="4">
        <v>238.95</v>
      </c>
      <c r="F5039" s="4">
        <f t="shared" si="297"/>
        <v>120.80250000000001</v>
      </c>
      <c r="G5039" s="5">
        <f t="shared" si="298"/>
        <v>0.33579335793357934</v>
      </c>
      <c r="H5039" s="2" t="s">
        <v>5</v>
      </c>
      <c r="I5039" s="6" t="s">
        <v>2300</v>
      </c>
      <c r="J5039" s="2" t="s">
        <v>5</v>
      </c>
      <c r="K5039" s="2" t="s">
        <v>5</v>
      </c>
      <c r="L5039" s="2" t="s">
        <v>5</v>
      </c>
      <c r="M5039" s="2" t="s">
        <v>5</v>
      </c>
      <c r="N5039" s="4">
        <v>0</v>
      </c>
    </row>
    <row r="5040" spans="1:14" x14ac:dyDescent="0.25">
      <c r="A5040" s="2" t="s">
        <v>601</v>
      </c>
      <c r="B5040" s="2" t="s">
        <v>602</v>
      </c>
      <c r="C5040" s="3">
        <v>103.8</v>
      </c>
      <c r="D5040" s="4">
        <v>562.596</v>
      </c>
      <c r="E5040" s="4">
        <v>373.68</v>
      </c>
      <c r="F5040" s="4">
        <f t="shared" si="297"/>
        <v>188.916</v>
      </c>
      <c r="G5040" s="5">
        <f t="shared" si="298"/>
        <v>0.33579335793357934</v>
      </c>
      <c r="H5040" s="2" t="s">
        <v>5</v>
      </c>
      <c r="I5040" s="6" t="s">
        <v>2300</v>
      </c>
      <c r="J5040" s="2" t="s">
        <v>5</v>
      </c>
      <c r="K5040" s="2" t="s">
        <v>5</v>
      </c>
      <c r="L5040" s="2" t="s">
        <v>5</v>
      </c>
      <c r="M5040" s="2" t="s">
        <v>5</v>
      </c>
      <c r="N5040" s="4">
        <v>0</v>
      </c>
    </row>
    <row r="5041" spans="1:14" x14ac:dyDescent="0.25">
      <c r="A5041" s="2" t="s">
        <v>601</v>
      </c>
      <c r="B5041" s="2" t="s">
        <v>602</v>
      </c>
      <c r="C5041" s="3">
        <v>23.66</v>
      </c>
      <c r="D5041" s="4">
        <v>129.89340000000001</v>
      </c>
      <c r="E5041" s="4">
        <v>85.176000000000002</v>
      </c>
      <c r="F5041" s="4">
        <f t="shared" si="297"/>
        <v>44.717400000000012</v>
      </c>
      <c r="G5041" s="5">
        <f t="shared" si="298"/>
        <v>0.34426229508196726</v>
      </c>
      <c r="H5041" s="2" t="s">
        <v>5</v>
      </c>
      <c r="I5041" s="6" t="s">
        <v>2300</v>
      </c>
      <c r="J5041" s="2" t="s">
        <v>5</v>
      </c>
      <c r="K5041" s="2" t="s">
        <v>5</v>
      </c>
      <c r="L5041" s="2" t="s">
        <v>5</v>
      </c>
      <c r="M5041" s="2" t="s">
        <v>5</v>
      </c>
      <c r="N5041" s="4">
        <v>0</v>
      </c>
    </row>
    <row r="5042" spans="1:14" x14ac:dyDescent="0.25">
      <c r="A5042" s="2" t="s">
        <v>601</v>
      </c>
      <c r="B5042" s="2" t="s">
        <v>602</v>
      </c>
      <c r="C5042" s="3">
        <v>11.21</v>
      </c>
      <c r="D5042" s="4">
        <v>67.484200000000001</v>
      </c>
      <c r="E5042" s="4">
        <v>40.356000000000002</v>
      </c>
      <c r="F5042" s="4">
        <f t="shared" si="297"/>
        <v>27.1282</v>
      </c>
      <c r="G5042" s="5">
        <f t="shared" si="298"/>
        <v>0.40199335548172754</v>
      </c>
      <c r="H5042" s="2" t="s">
        <v>5</v>
      </c>
      <c r="I5042" s="6" t="s">
        <v>2300</v>
      </c>
      <c r="J5042" s="2" t="s">
        <v>5</v>
      </c>
      <c r="K5042" s="2" t="s">
        <v>5</v>
      </c>
      <c r="L5042" s="2" t="s">
        <v>5</v>
      </c>
      <c r="M5042" s="2" t="s">
        <v>5</v>
      </c>
      <c r="N5042" s="4">
        <v>0</v>
      </c>
    </row>
    <row r="5043" spans="1:14" x14ac:dyDescent="0.25">
      <c r="A5043" s="2" t="s">
        <v>601</v>
      </c>
      <c r="B5043" s="2" t="s">
        <v>602</v>
      </c>
      <c r="C5043" s="3">
        <v>28.015000000000001</v>
      </c>
      <c r="D5043" s="4">
        <v>167.80985000000001</v>
      </c>
      <c r="E5043" s="4">
        <v>100.854</v>
      </c>
      <c r="F5043" s="4">
        <f t="shared" si="297"/>
        <v>66.955850000000012</v>
      </c>
      <c r="G5043" s="5">
        <f t="shared" si="298"/>
        <v>0.39899833055091827</v>
      </c>
      <c r="H5043" s="2" t="s">
        <v>5</v>
      </c>
      <c r="I5043" s="6" t="s">
        <v>2300</v>
      </c>
      <c r="J5043" s="2" t="s">
        <v>5</v>
      </c>
      <c r="K5043" s="2" t="s">
        <v>5</v>
      </c>
      <c r="L5043" s="2" t="s">
        <v>5</v>
      </c>
      <c r="M5043" s="2" t="s">
        <v>5</v>
      </c>
      <c r="N5043" s="4">
        <v>0</v>
      </c>
    </row>
    <row r="5044" spans="1:14" x14ac:dyDescent="0.25">
      <c r="A5044" s="2" t="s">
        <v>601</v>
      </c>
      <c r="B5044" s="2" t="s">
        <v>602</v>
      </c>
      <c r="C5044" s="3">
        <v>25.484999999999999</v>
      </c>
      <c r="D5044" s="4">
        <v>138.12870000000001</v>
      </c>
      <c r="E5044" s="4">
        <v>91.745999999999995</v>
      </c>
      <c r="F5044" s="4">
        <f t="shared" si="297"/>
        <v>46.382700000000014</v>
      </c>
      <c r="G5044" s="5">
        <f t="shared" si="298"/>
        <v>0.33579335793357939</v>
      </c>
      <c r="H5044" s="2" t="s">
        <v>5</v>
      </c>
      <c r="I5044" s="6" t="s">
        <v>2300</v>
      </c>
      <c r="J5044" s="2" t="s">
        <v>5</v>
      </c>
      <c r="K5044" s="2" t="s">
        <v>5</v>
      </c>
      <c r="L5044" s="2" t="s">
        <v>5</v>
      </c>
      <c r="M5044" s="2" t="s">
        <v>5</v>
      </c>
      <c r="N5044" s="4">
        <v>0</v>
      </c>
    </row>
    <row r="5045" spans="1:14" x14ac:dyDescent="0.25">
      <c r="A5045" s="2" t="s">
        <v>601</v>
      </c>
      <c r="B5045" s="2" t="s">
        <v>602</v>
      </c>
      <c r="C5045" s="3">
        <v>15.14</v>
      </c>
      <c r="D5045" s="4">
        <v>90.688599999999994</v>
      </c>
      <c r="E5045" s="4">
        <v>54.503999999999998</v>
      </c>
      <c r="F5045" s="4">
        <f t="shared" si="297"/>
        <v>36.184599999999996</v>
      </c>
      <c r="G5045" s="5">
        <f t="shared" si="298"/>
        <v>0.39899833055091816</v>
      </c>
      <c r="H5045" s="2" t="s">
        <v>5</v>
      </c>
      <c r="I5045" s="6" t="s">
        <v>2300</v>
      </c>
      <c r="J5045" s="2" t="s">
        <v>5</v>
      </c>
      <c r="K5045" s="2" t="s">
        <v>5</v>
      </c>
      <c r="L5045" s="2" t="s">
        <v>5</v>
      </c>
      <c r="M5045" s="2" t="s">
        <v>5</v>
      </c>
      <c r="N5045" s="4">
        <v>0</v>
      </c>
    </row>
    <row r="5046" spans="1:14" x14ac:dyDescent="0.25">
      <c r="A5046" s="2" t="s">
        <v>211</v>
      </c>
      <c r="B5046" s="2" t="s">
        <v>212</v>
      </c>
      <c r="C5046" s="3">
        <v>14.965</v>
      </c>
      <c r="D5046" s="4">
        <v>65.247399999999999</v>
      </c>
      <c r="E5046" s="4">
        <v>37.412500000000001</v>
      </c>
      <c r="F5046" s="4">
        <f t="shared" si="297"/>
        <v>27.834899999999998</v>
      </c>
      <c r="G5046" s="5">
        <f t="shared" si="298"/>
        <v>0.42660550458715596</v>
      </c>
      <c r="H5046" s="2" t="s">
        <v>5</v>
      </c>
      <c r="I5046" s="6" t="s">
        <v>2300</v>
      </c>
      <c r="J5046" s="2" t="s">
        <v>5</v>
      </c>
      <c r="K5046" s="2" t="s">
        <v>5</v>
      </c>
      <c r="L5046" s="2" t="s">
        <v>5</v>
      </c>
      <c r="M5046" s="2" t="s">
        <v>5</v>
      </c>
      <c r="N5046" s="4">
        <v>0</v>
      </c>
    </row>
    <row r="5047" spans="1:14" x14ac:dyDescent="0.25">
      <c r="A5047" s="2" t="s">
        <v>211</v>
      </c>
      <c r="B5047" s="2" t="s">
        <v>212</v>
      </c>
      <c r="C5047" s="3">
        <v>5.14</v>
      </c>
      <c r="D5047" s="4">
        <v>25.802800000000001</v>
      </c>
      <c r="E5047" s="4">
        <v>12.85</v>
      </c>
      <c r="F5047" s="4">
        <f t="shared" si="297"/>
        <v>12.952800000000002</v>
      </c>
      <c r="G5047" s="5">
        <f t="shared" si="298"/>
        <v>0.50199203187250996</v>
      </c>
      <c r="H5047" s="2" t="s">
        <v>5</v>
      </c>
      <c r="I5047" s="6" t="s">
        <v>2300</v>
      </c>
      <c r="J5047" s="2" t="s">
        <v>5</v>
      </c>
      <c r="K5047" s="2" t="s">
        <v>5</v>
      </c>
      <c r="L5047" s="2" t="s">
        <v>5</v>
      </c>
      <c r="M5047" s="2" t="s">
        <v>5</v>
      </c>
      <c r="N5047" s="4">
        <v>0</v>
      </c>
    </row>
    <row r="5048" spans="1:14" x14ac:dyDescent="0.25">
      <c r="A5048" s="2" t="s">
        <v>211</v>
      </c>
      <c r="B5048" s="2" t="s">
        <v>212</v>
      </c>
      <c r="C5048" s="3">
        <v>31.19</v>
      </c>
      <c r="D5048" s="4">
        <v>124.4481</v>
      </c>
      <c r="E5048" s="4">
        <v>77.974999999999994</v>
      </c>
      <c r="F5048" s="4">
        <f t="shared" si="297"/>
        <v>46.473100000000002</v>
      </c>
      <c r="G5048" s="5">
        <f t="shared" si="298"/>
        <v>0.37343358395989978</v>
      </c>
      <c r="H5048" s="2" t="s">
        <v>5</v>
      </c>
      <c r="I5048" s="6" t="s">
        <v>2300</v>
      </c>
      <c r="J5048" s="2" t="s">
        <v>5</v>
      </c>
      <c r="K5048" s="2" t="s">
        <v>5</v>
      </c>
      <c r="L5048" s="2" t="s">
        <v>5</v>
      </c>
      <c r="M5048" s="2" t="s">
        <v>5</v>
      </c>
      <c r="N5048" s="4">
        <v>0</v>
      </c>
    </row>
    <row r="5049" spans="1:14" x14ac:dyDescent="0.25">
      <c r="A5049" s="2" t="s">
        <v>211</v>
      </c>
      <c r="B5049" s="2" t="s">
        <v>212</v>
      </c>
      <c r="C5049" s="3">
        <v>53.43</v>
      </c>
      <c r="D5049" s="4">
        <v>238.8321</v>
      </c>
      <c r="E5049" s="4">
        <v>133.57499999999999</v>
      </c>
      <c r="F5049" s="4">
        <f t="shared" si="297"/>
        <v>105.25710000000001</v>
      </c>
      <c r="G5049" s="5">
        <f t="shared" si="298"/>
        <v>0.44071588366890385</v>
      </c>
      <c r="H5049" s="2" t="s">
        <v>5</v>
      </c>
      <c r="I5049" s="6" t="s">
        <v>2300</v>
      </c>
      <c r="J5049" s="2" t="s">
        <v>5</v>
      </c>
      <c r="K5049" s="2" t="s">
        <v>5</v>
      </c>
      <c r="L5049" s="2" t="s">
        <v>5</v>
      </c>
      <c r="M5049" s="2" t="s">
        <v>5</v>
      </c>
      <c r="N5049" s="4">
        <v>0</v>
      </c>
    </row>
    <row r="5050" spans="1:14" x14ac:dyDescent="0.25">
      <c r="A5050" s="2" t="s">
        <v>211</v>
      </c>
      <c r="B5050" s="2" t="s">
        <v>212</v>
      </c>
      <c r="C5050" s="3">
        <v>44.67</v>
      </c>
      <c r="D5050" s="4">
        <v>178.23330000000001</v>
      </c>
      <c r="E5050" s="4">
        <v>111.675</v>
      </c>
      <c r="F5050" s="4">
        <f t="shared" si="297"/>
        <v>66.558300000000017</v>
      </c>
      <c r="G5050" s="5">
        <f t="shared" si="298"/>
        <v>0.37343358395989984</v>
      </c>
      <c r="H5050" s="2" t="s">
        <v>5</v>
      </c>
      <c r="I5050" s="6" t="s">
        <v>2300</v>
      </c>
      <c r="J5050" s="2" t="s">
        <v>5</v>
      </c>
      <c r="K5050" s="2" t="s">
        <v>5</v>
      </c>
      <c r="L5050" s="2" t="s">
        <v>5</v>
      </c>
      <c r="M5050" s="2" t="s">
        <v>5</v>
      </c>
      <c r="N5050" s="4">
        <v>0</v>
      </c>
    </row>
    <row r="5051" spans="1:14" x14ac:dyDescent="0.25">
      <c r="A5051" s="2" t="s">
        <v>211</v>
      </c>
      <c r="B5051" s="2" t="s">
        <v>212</v>
      </c>
      <c r="C5051" s="3">
        <v>14.1</v>
      </c>
      <c r="D5051" s="4">
        <v>63.027000000000001</v>
      </c>
      <c r="E5051" s="4">
        <v>35.25</v>
      </c>
      <c r="F5051" s="4">
        <f t="shared" si="297"/>
        <v>27.777000000000001</v>
      </c>
      <c r="G5051" s="5">
        <f t="shared" si="298"/>
        <v>0.4407158836689038</v>
      </c>
      <c r="H5051" s="2" t="s">
        <v>5</v>
      </c>
      <c r="I5051" s="6" t="s">
        <v>2300</v>
      </c>
      <c r="J5051" s="2" t="s">
        <v>5</v>
      </c>
      <c r="K5051" s="2" t="s">
        <v>5</v>
      </c>
      <c r="L5051" s="2" t="s">
        <v>5</v>
      </c>
      <c r="M5051" s="2" t="s">
        <v>5</v>
      </c>
      <c r="N5051" s="4">
        <v>0</v>
      </c>
    </row>
    <row r="5052" spans="1:14" x14ac:dyDescent="0.25">
      <c r="A5052" s="2" t="s">
        <v>211</v>
      </c>
      <c r="B5052" s="2" t="s">
        <v>212</v>
      </c>
      <c r="C5052" s="3">
        <v>14.984999999999999</v>
      </c>
      <c r="D5052" s="4">
        <v>75.224699999999999</v>
      </c>
      <c r="E5052" s="4">
        <v>37.462499999999999</v>
      </c>
      <c r="F5052" s="4">
        <f t="shared" si="297"/>
        <v>37.7622</v>
      </c>
      <c r="G5052" s="5">
        <f t="shared" si="298"/>
        <v>0.50199203187250996</v>
      </c>
      <c r="H5052" s="2" t="s">
        <v>5</v>
      </c>
      <c r="I5052" s="6" t="s">
        <v>2300</v>
      </c>
      <c r="J5052" s="2" t="s">
        <v>5</v>
      </c>
      <c r="K5052" s="2" t="s">
        <v>5</v>
      </c>
      <c r="L5052" s="2" t="s">
        <v>5</v>
      </c>
      <c r="M5052" s="2" t="s">
        <v>5</v>
      </c>
      <c r="N5052" s="4">
        <v>0</v>
      </c>
    </row>
    <row r="5053" spans="1:14" x14ac:dyDescent="0.25">
      <c r="A5053" s="2" t="s">
        <v>211</v>
      </c>
      <c r="B5053" s="2" t="s">
        <v>212</v>
      </c>
      <c r="C5053" s="3">
        <v>29.39</v>
      </c>
      <c r="D5053" s="4">
        <v>135.19399999999999</v>
      </c>
      <c r="E5053" s="4">
        <v>73.474999999999994</v>
      </c>
      <c r="F5053" s="4">
        <f t="shared" si="297"/>
        <v>61.718999999999994</v>
      </c>
      <c r="G5053" s="5">
        <f t="shared" si="298"/>
        <v>0.45652173913043476</v>
      </c>
      <c r="H5053" s="2" t="s">
        <v>5</v>
      </c>
      <c r="I5053" s="6" t="s">
        <v>2300</v>
      </c>
      <c r="J5053" s="2" t="s">
        <v>5</v>
      </c>
      <c r="K5053" s="2" t="s">
        <v>5</v>
      </c>
      <c r="L5053" s="2" t="s">
        <v>5</v>
      </c>
      <c r="M5053" s="2" t="s">
        <v>5</v>
      </c>
      <c r="N5053" s="4">
        <v>0</v>
      </c>
    </row>
    <row r="5054" spans="1:14" x14ac:dyDescent="0.25">
      <c r="A5054" s="2" t="s">
        <v>211</v>
      </c>
      <c r="B5054" s="2" t="s">
        <v>212</v>
      </c>
      <c r="C5054" s="3">
        <v>14.92</v>
      </c>
      <c r="D5054" s="4">
        <v>56.397599999999997</v>
      </c>
      <c r="E5054" s="4">
        <v>37.299999999999997</v>
      </c>
      <c r="F5054" s="4">
        <f t="shared" si="297"/>
        <v>19.0976</v>
      </c>
      <c r="G5054" s="5">
        <f t="shared" si="298"/>
        <v>0.33862433862433866</v>
      </c>
      <c r="H5054" s="2" t="s">
        <v>5</v>
      </c>
      <c r="I5054" s="6" t="s">
        <v>2300</v>
      </c>
      <c r="J5054" s="2" t="s">
        <v>5</v>
      </c>
      <c r="K5054" s="2" t="s">
        <v>5</v>
      </c>
      <c r="L5054" s="2" t="s">
        <v>5</v>
      </c>
      <c r="M5054" s="2" t="s">
        <v>5</v>
      </c>
      <c r="N5054" s="4">
        <v>0</v>
      </c>
    </row>
    <row r="5055" spans="1:14" x14ac:dyDescent="0.25">
      <c r="A5055" s="2" t="s">
        <v>211</v>
      </c>
      <c r="B5055" s="2" t="s">
        <v>212</v>
      </c>
      <c r="C5055" s="3">
        <v>5.2039999999999997</v>
      </c>
      <c r="D5055" s="4">
        <v>25.083279999999998</v>
      </c>
      <c r="E5055" s="4">
        <v>13.01</v>
      </c>
      <c r="F5055" s="4">
        <f t="shared" si="297"/>
        <v>12.073279999999999</v>
      </c>
      <c r="G5055" s="5">
        <f t="shared" si="298"/>
        <v>0.48132780082987547</v>
      </c>
      <c r="H5055" s="2" t="s">
        <v>5</v>
      </c>
      <c r="I5055" s="6" t="s">
        <v>2300</v>
      </c>
      <c r="J5055" s="2" t="s">
        <v>5</v>
      </c>
      <c r="K5055" s="2" t="s">
        <v>5</v>
      </c>
      <c r="L5055" s="2" t="s">
        <v>5</v>
      </c>
      <c r="M5055" s="2" t="s">
        <v>5</v>
      </c>
      <c r="N5055" s="4">
        <v>0</v>
      </c>
    </row>
    <row r="5056" spans="1:14" x14ac:dyDescent="0.25">
      <c r="A5056" s="2" t="s">
        <v>211</v>
      </c>
      <c r="B5056" s="2" t="s">
        <v>212</v>
      </c>
      <c r="C5056" s="3">
        <v>24.695</v>
      </c>
      <c r="D5056" s="4">
        <v>98.533050000000003</v>
      </c>
      <c r="E5056" s="4">
        <v>61.737499999999997</v>
      </c>
      <c r="F5056" s="4">
        <f t="shared" si="297"/>
        <v>36.795550000000006</v>
      </c>
      <c r="G5056" s="5">
        <f t="shared" si="298"/>
        <v>0.37343358395989978</v>
      </c>
      <c r="H5056" s="2" t="s">
        <v>5</v>
      </c>
      <c r="I5056" s="6" t="s">
        <v>2300</v>
      </c>
      <c r="J5056" s="2" t="s">
        <v>5</v>
      </c>
      <c r="K5056" s="2" t="s">
        <v>5</v>
      </c>
      <c r="L5056" s="2" t="s">
        <v>5</v>
      </c>
      <c r="M5056" s="2" t="s">
        <v>5</v>
      </c>
      <c r="N5056" s="4">
        <v>0</v>
      </c>
    </row>
    <row r="5057" spans="1:14" x14ac:dyDescent="0.25">
      <c r="A5057" s="2" t="s">
        <v>211</v>
      </c>
      <c r="B5057" s="2" t="s">
        <v>212</v>
      </c>
      <c r="C5057" s="3">
        <v>5.29</v>
      </c>
      <c r="D5057" s="4">
        <v>26.555800000000001</v>
      </c>
      <c r="E5057" s="4">
        <v>13.225</v>
      </c>
      <c r="F5057" s="4">
        <f t="shared" si="297"/>
        <v>13.330800000000002</v>
      </c>
      <c r="G5057" s="5">
        <f t="shared" si="298"/>
        <v>0.50199203187250996</v>
      </c>
      <c r="H5057" s="2" t="s">
        <v>5</v>
      </c>
      <c r="I5057" s="6" t="s">
        <v>2300</v>
      </c>
      <c r="J5057" s="2" t="s">
        <v>5</v>
      </c>
      <c r="K5057" s="2" t="s">
        <v>5</v>
      </c>
      <c r="L5057" s="2" t="s">
        <v>5</v>
      </c>
      <c r="M5057" s="2" t="s">
        <v>5</v>
      </c>
      <c r="N5057" s="4">
        <v>0</v>
      </c>
    </row>
    <row r="5058" spans="1:14" x14ac:dyDescent="0.25">
      <c r="A5058" s="2" t="s">
        <v>211</v>
      </c>
      <c r="B5058" s="2" t="s">
        <v>212</v>
      </c>
      <c r="C5058" s="3">
        <v>14.99</v>
      </c>
      <c r="D5058" s="4">
        <v>75.249799999999993</v>
      </c>
      <c r="E5058" s="4">
        <v>37.475000000000001</v>
      </c>
      <c r="F5058" s="4">
        <f t="shared" si="297"/>
        <v>37.774799999999992</v>
      </c>
      <c r="G5058" s="5">
        <f t="shared" si="298"/>
        <v>0.50199203187250985</v>
      </c>
      <c r="H5058" s="2" t="s">
        <v>5</v>
      </c>
      <c r="I5058" s="6" t="s">
        <v>2300</v>
      </c>
      <c r="J5058" s="2" t="s">
        <v>5</v>
      </c>
      <c r="K5058" s="2" t="s">
        <v>5</v>
      </c>
      <c r="L5058" s="2" t="s">
        <v>5</v>
      </c>
      <c r="M5058" s="2" t="s">
        <v>5</v>
      </c>
      <c r="N5058" s="4">
        <v>0</v>
      </c>
    </row>
    <row r="5059" spans="1:14" x14ac:dyDescent="0.25">
      <c r="A5059" s="2" t="s">
        <v>211</v>
      </c>
      <c r="B5059" s="2" t="s">
        <v>212</v>
      </c>
      <c r="C5059" s="3">
        <v>10.37</v>
      </c>
      <c r="D5059" s="4">
        <v>52.057400000000001</v>
      </c>
      <c r="E5059" s="4">
        <v>25.925000000000001</v>
      </c>
      <c r="F5059" s="4">
        <f t="shared" si="297"/>
        <v>26.132400000000001</v>
      </c>
      <c r="G5059" s="5">
        <f t="shared" si="298"/>
        <v>0.50199203187250996</v>
      </c>
      <c r="H5059" s="2" t="s">
        <v>5</v>
      </c>
      <c r="I5059" s="6" t="s">
        <v>2300</v>
      </c>
      <c r="J5059" s="2" t="s">
        <v>5</v>
      </c>
      <c r="K5059" s="2" t="s">
        <v>5</v>
      </c>
      <c r="L5059" s="2" t="s">
        <v>5</v>
      </c>
      <c r="M5059" s="2" t="s">
        <v>5</v>
      </c>
      <c r="N5059" s="4">
        <v>0</v>
      </c>
    </row>
    <row r="5060" spans="1:14" x14ac:dyDescent="0.25">
      <c r="A5060" s="2" t="s">
        <v>211</v>
      </c>
      <c r="B5060" s="2" t="s">
        <v>212</v>
      </c>
      <c r="C5060" s="3">
        <v>5.79</v>
      </c>
      <c r="D5060" s="4">
        <v>29.065799999999999</v>
      </c>
      <c r="E5060" s="4">
        <v>14.475</v>
      </c>
      <c r="F5060" s="4">
        <f t="shared" si="297"/>
        <v>14.5908</v>
      </c>
      <c r="G5060" s="5">
        <f t="shared" si="298"/>
        <v>0.50199203187250996</v>
      </c>
      <c r="H5060" s="2" t="s">
        <v>5</v>
      </c>
      <c r="I5060" s="6" t="s">
        <v>2300</v>
      </c>
      <c r="J5060" s="2" t="s">
        <v>5</v>
      </c>
      <c r="K5060" s="2" t="s">
        <v>5</v>
      </c>
      <c r="L5060" s="2" t="s">
        <v>5</v>
      </c>
      <c r="M5060" s="2" t="s">
        <v>5</v>
      </c>
      <c r="N5060" s="4">
        <v>0</v>
      </c>
    </row>
    <row r="5061" spans="1:14" x14ac:dyDescent="0.25">
      <c r="A5061" s="2" t="s">
        <v>211</v>
      </c>
      <c r="B5061" s="2" t="s">
        <v>212</v>
      </c>
      <c r="C5061" s="3">
        <v>44.16</v>
      </c>
      <c r="D5061" s="4">
        <v>176.19839999999999</v>
      </c>
      <c r="E5061" s="4">
        <v>110.4</v>
      </c>
      <c r="F5061" s="4">
        <f t="shared" si="297"/>
        <v>65.798399999999987</v>
      </c>
      <c r="G5061" s="5">
        <f t="shared" si="298"/>
        <v>0.37343358395989967</v>
      </c>
      <c r="H5061" s="2" t="s">
        <v>5</v>
      </c>
      <c r="I5061" s="6" t="s">
        <v>2300</v>
      </c>
      <c r="J5061" s="2" t="s">
        <v>5</v>
      </c>
      <c r="K5061" s="2" t="s">
        <v>5</v>
      </c>
      <c r="L5061" s="2" t="s">
        <v>5</v>
      </c>
      <c r="M5061" s="2" t="s">
        <v>5</v>
      </c>
      <c r="N5061" s="4">
        <v>0</v>
      </c>
    </row>
    <row r="5062" spans="1:14" x14ac:dyDescent="0.25">
      <c r="A5062" s="2" t="s">
        <v>211</v>
      </c>
      <c r="B5062" s="2" t="s">
        <v>212</v>
      </c>
      <c r="C5062" s="3">
        <v>43.6</v>
      </c>
      <c r="D5062" s="4">
        <v>138.648</v>
      </c>
      <c r="E5062" s="4">
        <v>109</v>
      </c>
      <c r="F5062" s="4">
        <f t="shared" si="297"/>
        <v>29.647999999999996</v>
      </c>
      <c r="G5062" s="5">
        <f t="shared" si="298"/>
        <v>0.21383647798742136</v>
      </c>
      <c r="H5062" s="2" t="s">
        <v>5</v>
      </c>
      <c r="I5062" s="6" t="s">
        <v>2300</v>
      </c>
      <c r="J5062" s="2" t="s">
        <v>5</v>
      </c>
      <c r="K5062" s="2" t="s">
        <v>5</v>
      </c>
      <c r="L5062" s="2" t="s">
        <v>5</v>
      </c>
      <c r="M5062" s="2" t="s">
        <v>5</v>
      </c>
      <c r="N5062" s="4">
        <v>0</v>
      </c>
    </row>
    <row r="5063" spans="1:14" x14ac:dyDescent="0.25">
      <c r="A5063" s="2" t="s">
        <v>1586</v>
      </c>
      <c r="B5063" s="2" t="s">
        <v>1587</v>
      </c>
      <c r="C5063" s="3">
        <v>1</v>
      </c>
      <c r="D5063" s="4">
        <v>13.4</v>
      </c>
      <c r="E5063" s="4">
        <v>9.0399999999999991</v>
      </c>
      <c r="F5063" s="4">
        <f t="shared" si="297"/>
        <v>4.3600000000000012</v>
      </c>
      <c r="G5063" s="5">
        <f t="shared" si="298"/>
        <v>0.32537313432835829</v>
      </c>
      <c r="H5063" s="2" t="s">
        <v>5</v>
      </c>
      <c r="I5063" s="6" t="s">
        <v>2300</v>
      </c>
      <c r="J5063" s="2" t="s">
        <v>5</v>
      </c>
      <c r="K5063" s="2" t="s">
        <v>5</v>
      </c>
      <c r="L5063" s="2" t="s">
        <v>5</v>
      </c>
      <c r="M5063" s="2" t="s">
        <v>5</v>
      </c>
      <c r="N5063" s="4">
        <v>0</v>
      </c>
    </row>
    <row r="5064" spans="1:14" x14ac:dyDescent="0.25">
      <c r="A5064" s="2" t="s">
        <v>1150</v>
      </c>
      <c r="B5064" s="2" t="s">
        <v>1151</v>
      </c>
      <c r="C5064" s="3">
        <v>1</v>
      </c>
      <c r="D5064" s="4">
        <v>5.89</v>
      </c>
      <c r="E5064" s="4">
        <v>4.25</v>
      </c>
      <c r="F5064" s="4">
        <f t="shared" si="297"/>
        <v>1.6399999999999997</v>
      </c>
      <c r="G5064" s="5">
        <f t="shared" si="298"/>
        <v>0.27843803056027161</v>
      </c>
      <c r="H5064" s="2" t="s">
        <v>5</v>
      </c>
      <c r="I5064" s="6" t="s">
        <v>2300</v>
      </c>
      <c r="J5064" s="2" t="s">
        <v>5</v>
      </c>
      <c r="K5064" s="2" t="s">
        <v>5</v>
      </c>
      <c r="L5064" s="2" t="s">
        <v>5</v>
      </c>
      <c r="M5064" s="2" t="s">
        <v>5</v>
      </c>
      <c r="N5064" s="4">
        <v>0</v>
      </c>
    </row>
    <row r="5065" spans="1:14" x14ac:dyDescent="0.25">
      <c r="A5065" s="2" t="s">
        <v>1232</v>
      </c>
      <c r="B5065" s="2" t="s">
        <v>1233</v>
      </c>
      <c r="C5065" s="3">
        <v>6</v>
      </c>
      <c r="D5065" s="4">
        <v>54.42</v>
      </c>
      <c r="E5065" s="4">
        <v>36.06</v>
      </c>
      <c r="F5065" s="4">
        <f t="shared" si="297"/>
        <v>18.36</v>
      </c>
      <c r="G5065" s="5">
        <f t="shared" si="298"/>
        <v>0.33737596471885334</v>
      </c>
      <c r="H5065" s="2" t="s">
        <v>5</v>
      </c>
      <c r="I5065" s="6" t="s">
        <v>2300</v>
      </c>
      <c r="J5065" s="2" t="s">
        <v>5</v>
      </c>
      <c r="K5065" s="2" t="s">
        <v>5</v>
      </c>
      <c r="L5065" s="2" t="s">
        <v>5</v>
      </c>
      <c r="M5065" s="2" t="s">
        <v>5</v>
      </c>
      <c r="N5065" s="4">
        <v>0</v>
      </c>
    </row>
    <row r="5066" spans="1:14" x14ac:dyDescent="0.25">
      <c r="A5066" s="2" t="s">
        <v>1152</v>
      </c>
      <c r="B5066" s="2" t="s">
        <v>1153</v>
      </c>
      <c r="C5066" s="3">
        <v>1</v>
      </c>
      <c r="D5066" s="4">
        <v>134.26</v>
      </c>
      <c r="E5066" s="4">
        <v>90.56</v>
      </c>
      <c r="F5066" s="4">
        <f t="shared" si="297"/>
        <v>43.699999999999989</v>
      </c>
      <c r="G5066" s="5">
        <f t="shared" si="298"/>
        <v>0.32548785937732749</v>
      </c>
      <c r="H5066" s="2" t="s">
        <v>5</v>
      </c>
      <c r="I5066" s="6" t="s">
        <v>2300</v>
      </c>
      <c r="J5066" s="2" t="s">
        <v>5</v>
      </c>
      <c r="K5066" s="2" t="s">
        <v>5</v>
      </c>
      <c r="L5066" s="2" t="s">
        <v>5</v>
      </c>
      <c r="M5066" s="2" t="s">
        <v>5</v>
      </c>
      <c r="N5066" s="4">
        <v>0</v>
      </c>
    </row>
    <row r="5067" spans="1:14" x14ac:dyDescent="0.25">
      <c r="A5067" s="2" t="s">
        <v>1105</v>
      </c>
      <c r="B5067" s="2" t="s">
        <v>1106</v>
      </c>
      <c r="C5067" s="3">
        <v>4</v>
      </c>
      <c r="D5067" s="4">
        <v>25.28</v>
      </c>
      <c r="E5067" s="4">
        <v>16.36</v>
      </c>
      <c r="F5067" s="4">
        <f t="shared" si="297"/>
        <v>8.9200000000000017</v>
      </c>
      <c r="G5067" s="5">
        <f t="shared" si="298"/>
        <v>0.35284810126582283</v>
      </c>
      <c r="H5067" s="2" t="s">
        <v>5</v>
      </c>
      <c r="I5067" s="6" t="s">
        <v>2300</v>
      </c>
      <c r="J5067" s="2" t="s">
        <v>5</v>
      </c>
      <c r="K5067" s="2" t="s">
        <v>5</v>
      </c>
      <c r="L5067" s="2" t="s">
        <v>5</v>
      </c>
      <c r="M5067" s="2" t="s">
        <v>5</v>
      </c>
      <c r="N5067" s="4">
        <v>0</v>
      </c>
    </row>
    <row r="5068" spans="1:14" x14ac:dyDescent="0.25">
      <c r="A5068" s="2" t="s">
        <v>1105</v>
      </c>
      <c r="B5068" s="2" t="s">
        <v>1106</v>
      </c>
      <c r="C5068" s="3">
        <v>2</v>
      </c>
      <c r="D5068" s="4">
        <v>12.64</v>
      </c>
      <c r="E5068" s="4">
        <v>8.18</v>
      </c>
      <c r="F5068" s="4">
        <f t="shared" si="297"/>
        <v>4.4600000000000009</v>
      </c>
      <c r="G5068" s="5">
        <f t="shared" si="298"/>
        <v>0.35284810126582283</v>
      </c>
      <c r="H5068" s="2" t="s">
        <v>5</v>
      </c>
      <c r="I5068" s="6" t="s">
        <v>2300</v>
      </c>
      <c r="J5068" s="2" t="s">
        <v>5</v>
      </c>
      <c r="K5068" s="2" t="s">
        <v>5</v>
      </c>
      <c r="L5068" s="2" t="s">
        <v>5</v>
      </c>
      <c r="M5068" s="2" t="s">
        <v>5</v>
      </c>
      <c r="N5068" s="4">
        <v>0</v>
      </c>
    </row>
    <row r="5069" spans="1:14" x14ac:dyDescent="0.25">
      <c r="A5069" s="2" t="s">
        <v>1105</v>
      </c>
      <c r="B5069" s="2" t="s">
        <v>1106</v>
      </c>
      <c r="C5069" s="3">
        <v>3</v>
      </c>
      <c r="D5069" s="4">
        <v>18.96</v>
      </c>
      <c r="E5069" s="4">
        <v>12.27</v>
      </c>
      <c r="F5069" s="4">
        <f t="shared" si="297"/>
        <v>6.6900000000000013</v>
      </c>
      <c r="G5069" s="5">
        <f t="shared" si="298"/>
        <v>0.35284810126582283</v>
      </c>
      <c r="H5069" s="2" t="s">
        <v>5</v>
      </c>
      <c r="I5069" s="6" t="s">
        <v>2300</v>
      </c>
      <c r="J5069" s="2" t="s">
        <v>5</v>
      </c>
      <c r="K5069" s="2" t="s">
        <v>5</v>
      </c>
      <c r="L5069" s="2" t="s">
        <v>5</v>
      </c>
      <c r="M5069" s="2" t="s">
        <v>5</v>
      </c>
      <c r="N5069" s="4">
        <v>0</v>
      </c>
    </row>
    <row r="5070" spans="1:14" x14ac:dyDescent="0.25">
      <c r="A5070" s="2" t="s">
        <v>1105</v>
      </c>
      <c r="B5070" s="2" t="s">
        <v>1106</v>
      </c>
      <c r="C5070" s="3">
        <v>2</v>
      </c>
      <c r="D5070" s="4">
        <v>12.64</v>
      </c>
      <c r="E5070" s="4">
        <v>8.18</v>
      </c>
      <c r="F5070" s="4">
        <f t="shared" si="297"/>
        <v>4.4600000000000009</v>
      </c>
      <c r="G5070" s="5">
        <f t="shared" si="298"/>
        <v>0.35284810126582283</v>
      </c>
      <c r="H5070" s="2" t="s">
        <v>5</v>
      </c>
      <c r="I5070" s="6" t="s">
        <v>2300</v>
      </c>
      <c r="J5070" s="2" t="s">
        <v>5</v>
      </c>
      <c r="K5070" s="2" t="s">
        <v>5</v>
      </c>
      <c r="L5070" s="2" t="s">
        <v>5</v>
      </c>
      <c r="M5070" s="2" t="s">
        <v>5</v>
      </c>
      <c r="N5070" s="4">
        <v>0</v>
      </c>
    </row>
    <row r="5071" spans="1:14" x14ac:dyDescent="0.25">
      <c r="A5071" s="2" t="s">
        <v>1105</v>
      </c>
      <c r="B5071" s="2" t="s">
        <v>1106</v>
      </c>
      <c r="C5071" s="3">
        <v>2</v>
      </c>
      <c r="D5071" s="4">
        <v>12.64</v>
      </c>
      <c r="E5071" s="4">
        <v>8.18</v>
      </c>
      <c r="F5071" s="4">
        <f t="shared" si="297"/>
        <v>4.4600000000000009</v>
      </c>
      <c r="G5071" s="5">
        <f t="shared" si="298"/>
        <v>0.35284810126582283</v>
      </c>
      <c r="H5071" s="2" t="s">
        <v>5</v>
      </c>
      <c r="I5071" s="6" t="s">
        <v>2300</v>
      </c>
      <c r="J5071" s="2" t="s">
        <v>5</v>
      </c>
      <c r="K5071" s="2" t="s">
        <v>5</v>
      </c>
      <c r="L5071" s="2" t="s">
        <v>5</v>
      </c>
      <c r="M5071" s="2" t="s">
        <v>5</v>
      </c>
      <c r="N5071" s="4">
        <v>0</v>
      </c>
    </row>
    <row r="5072" spans="1:14" x14ac:dyDescent="0.25">
      <c r="A5072" s="2" t="s">
        <v>1105</v>
      </c>
      <c r="B5072" s="2" t="s">
        <v>1106</v>
      </c>
      <c r="C5072" s="3">
        <v>2</v>
      </c>
      <c r="D5072" s="4">
        <v>12.64</v>
      </c>
      <c r="E5072" s="4">
        <v>8.18</v>
      </c>
      <c r="F5072" s="4">
        <f t="shared" si="297"/>
        <v>4.4600000000000009</v>
      </c>
      <c r="G5072" s="5">
        <f t="shared" si="298"/>
        <v>0.35284810126582283</v>
      </c>
      <c r="H5072" s="2" t="s">
        <v>5</v>
      </c>
      <c r="I5072" s="6" t="s">
        <v>2300</v>
      </c>
      <c r="J5072" s="2" t="s">
        <v>5</v>
      </c>
      <c r="K5072" s="2" t="s">
        <v>5</v>
      </c>
      <c r="L5072" s="2" t="s">
        <v>5</v>
      </c>
      <c r="M5072" s="2" t="s">
        <v>5</v>
      </c>
      <c r="N5072" s="4">
        <v>0</v>
      </c>
    </row>
    <row r="5073" spans="1:14" x14ac:dyDescent="0.25">
      <c r="A5073" s="2" t="s">
        <v>495</v>
      </c>
      <c r="B5073" s="2" t="s">
        <v>496</v>
      </c>
      <c r="C5073" s="3">
        <v>13.23</v>
      </c>
      <c r="D5073" s="4">
        <v>291.06</v>
      </c>
      <c r="E5073" s="4">
        <v>262.74779999999998</v>
      </c>
      <c r="F5073" s="4">
        <f t="shared" si="297"/>
        <v>28.312200000000018</v>
      </c>
      <c r="G5073" s="5">
        <f t="shared" si="298"/>
        <v>9.727272727272733E-2</v>
      </c>
      <c r="H5073" s="2" t="s">
        <v>5</v>
      </c>
      <c r="I5073" s="6" t="s">
        <v>2300</v>
      </c>
      <c r="J5073" s="2" t="s">
        <v>5</v>
      </c>
      <c r="K5073" s="2" t="s">
        <v>5</v>
      </c>
      <c r="L5073" s="2" t="s">
        <v>5</v>
      </c>
      <c r="M5073" s="2" t="s">
        <v>5</v>
      </c>
      <c r="N5073" s="4">
        <v>0</v>
      </c>
    </row>
    <row r="5074" spans="1:14" x14ac:dyDescent="0.25">
      <c r="A5074" s="2" t="s">
        <v>154</v>
      </c>
      <c r="B5074" s="2" t="s">
        <v>155</v>
      </c>
      <c r="C5074" s="3">
        <v>4.16</v>
      </c>
      <c r="D5074" s="4">
        <v>154.04480000000001</v>
      </c>
      <c r="E5074" s="4">
        <v>116.48</v>
      </c>
      <c r="F5074" s="4">
        <f t="shared" si="297"/>
        <v>37.564800000000005</v>
      </c>
      <c r="G5074" s="5">
        <f t="shared" si="298"/>
        <v>0.24385633270321364</v>
      </c>
      <c r="H5074" s="2" t="s">
        <v>5</v>
      </c>
      <c r="I5074" s="6" t="s">
        <v>2300</v>
      </c>
      <c r="J5074" s="2" t="s">
        <v>5</v>
      </c>
      <c r="K5074" s="2" t="s">
        <v>5</v>
      </c>
      <c r="L5074" s="2" t="s">
        <v>5</v>
      </c>
      <c r="M5074" s="2" t="s">
        <v>5</v>
      </c>
      <c r="N5074" s="4">
        <v>0</v>
      </c>
    </row>
    <row r="5075" spans="1:14" x14ac:dyDescent="0.25">
      <c r="A5075" s="2" t="s">
        <v>154</v>
      </c>
      <c r="B5075" s="2" t="s">
        <v>155</v>
      </c>
      <c r="C5075" s="3">
        <v>4.0819999999999999</v>
      </c>
      <c r="D5075" s="4">
        <v>172.95434</v>
      </c>
      <c r="E5075" s="4">
        <v>114.29600000000001</v>
      </c>
      <c r="F5075" s="4">
        <f t="shared" si="297"/>
        <v>58.658339999999995</v>
      </c>
      <c r="G5075" s="5">
        <f t="shared" si="298"/>
        <v>0.33915506254425298</v>
      </c>
      <c r="H5075" s="2" t="s">
        <v>5</v>
      </c>
      <c r="I5075" s="6" t="s">
        <v>2300</v>
      </c>
      <c r="J5075" s="2" t="s">
        <v>5</v>
      </c>
      <c r="K5075" s="2" t="s">
        <v>5</v>
      </c>
      <c r="L5075" s="2" t="s">
        <v>5</v>
      </c>
      <c r="M5075" s="2" t="s">
        <v>5</v>
      </c>
      <c r="N5075" s="4">
        <v>0</v>
      </c>
    </row>
    <row r="5076" spans="1:14" x14ac:dyDescent="0.25">
      <c r="A5076" s="2" t="s">
        <v>154</v>
      </c>
      <c r="B5076" s="2" t="s">
        <v>155</v>
      </c>
      <c r="C5076" s="3">
        <v>1.62</v>
      </c>
      <c r="D5076" s="4">
        <v>78.165000000000006</v>
      </c>
      <c r="E5076" s="4">
        <v>45.36</v>
      </c>
      <c r="F5076" s="4">
        <f t="shared" si="297"/>
        <v>32.805000000000007</v>
      </c>
      <c r="G5076" s="5">
        <f t="shared" si="298"/>
        <v>0.4196891191709845</v>
      </c>
      <c r="H5076" s="2" t="s">
        <v>5</v>
      </c>
      <c r="I5076" s="6" t="s">
        <v>2300</v>
      </c>
      <c r="J5076" s="2" t="s">
        <v>5</v>
      </c>
      <c r="K5076" s="2" t="s">
        <v>5</v>
      </c>
      <c r="L5076" s="2" t="s">
        <v>5</v>
      </c>
      <c r="M5076" s="2" t="s">
        <v>5</v>
      </c>
      <c r="N5076" s="4">
        <v>0</v>
      </c>
    </row>
    <row r="5077" spans="1:14" x14ac:dyDescent="0.25">
      <c r="A5077" s="2" t="s">
        <v>154</v>
      </c>
      <c r="B5077" s="2" t="s">
        <v>155</v>
      </c>
      <c r="C5077" s="3">
        <v>8.3230000000000004</v>
      </c>
      <c r="D5077" s="4">
        <v>308.20069000000001</v>
      </c>
      <c r="E5077" s="4">
        <v>233.04400000000001</v>
      </c>
      <c r="F5077" s="4">
        <f t="shared" si="297"/>
        <v>75.156689999999998</v>
      </c>
      <c r="G5077" s="5">
        <f t="shared" si="298"/>
        <v>0.24385633270321361</v>
      </c>
      <c r="H5077" s="2" t="s">
        <v>5</v>
      </c>
      <c r="I5077" s="6" t="s">
        <v>2300</v>
      </c>
      <c r="J5077" s="2" t="s">
        <v>5</v>
      </c>
      <c r="K5077" s="2" t="s">
        <v>5</v>
      </c>
      <c r="L5077" s="2" t="s">
        <v>5</v>
      </c>
      <c r="M5077" s="2" t="s">
        <v>5</v>
      </c>
      <c r="N5077" s="4">
        <v>0</v>
      </c>
    </row>
    <row r="5078" spans="1:14" x14ac:dyDescent="0.25">
      <c r="A5078" s="2" t="s">
        <v>154</v>
      </c>
      <c r="B5078" s="2" t="s">
        <v>155</v>
      </c>
      <c r="C5078" s="3">
        <v>1.6140000000000001</v>
      </c>
      <c r="D5078" s="4">
        <v>77.875500000000002</v>
      </c>
      <c r="E5078" s="4">
        <v>45.192</v>
      </c>
      <c r="F5078" s="4">
        <f t="shared" si="297"/>
        <v>32.683500000000002</v>
      </c>
      <c r="G5078" s="5">
        <f t="shared" si="298"/>
        <v>0.41968911917098445</v>
      </c>
      <c r="H5078" s="2" t="s">
        <v>5</v>
      </c>
      <c r="I5078" s="6" t="s">
        <v>2300</v>
      </c>
      <c r="J5078" s="2" t="s">
        <v>5</v>
      </c>
      <c r="K5078" s="2" t="s">
        <v>5</v>
      </c>
      <c r="L5078" s="2" t="s">
        <v>5</v>
      </c>
      <c r="M5078" s="2" t="s">
        <v>5</v>
      </c>
      <c r="N5078" s="4">
        <v>0</v>
      </c>
    </row>
    <row r="5079" spans="1:14" x14ac:dyDescent="0.25">
      <c r="A5079" s="2" t="s">
        <v>154</v>
      </c>
      <c r="B5079" s="2" t="s">
        <v>155</v>
      </c>
      <c r="C5079" s="3">
        <v>6.5750000000000002</v>
      </c>
      <c r="D5079" s="4">
        <v>278.58274999999998</v>
      </c>
      <c r="E5079" s="4">
        <v>184.1</v>
      </c>
      <c r="F5079" s="4">
        <f t="shared" si="297"/>
        <v>94.482749999999982</v>
      </c>
      <c r="G5079" s="5">
        <f t="shared" si="298"/>
        <v>0.33915506254425298</v>
      </c>
      <c r="H5079" s="2" t="s">
        <v>5</v>
      </c>
      <c r="I5079" s="6" t="s">
        <v>2300</v>
      </c>
      <c r="J5079" s="2" t="s">
        <v>5</v>
      </c>
      <c r="K5079" s="2" t="s">
        <v>5</v>
      </c>
      <c r="L5079" s="2" t="s">
        <v>5</v>
      </c>
      <c r="M5079" s="2" t="s">
        <v>5</v>
      </c>
      <c r="N5079" s="4">
        <v>0</v>
      </c>
    </row>
    <row r="5080" spans="1:14" x14ac:dyDescent="0.25">
      <c r="A5080" s="2" t="s">
        <v>731</v>
      </c>
      <c r="B5080" s="2" t="s">
        <v>732</v>
      </c>
      <c r="C5080" s="3">
        <v>12.265000000000001</v>
      </c>
      <c r="D5080" s="4">
        <v>588.72</v>
      </c>
      <c r="E5080" s="4">
        <v>343.42</v>
      </c>
      <c r="F5080" s="4">
        <f t="shared" si="297"/>
        <v>245.3</v>
      </c>
      <c r="G5080" s="5">
        <f t="shared" si="298"/>
        <v>0.41666666666666669</v>
      </c>
      <c r="H5080" s="2" t="s">
        <v>5</v>
      </c>
      <c r="I5080" s="6" t="s">
        <v>2300</v>
      </c>
      <c r="J5080" s="2" t="s">
        <v>5</v>
      </c>
      <c r="K5080" s="2" t="s">
        <v>5</v>
      </c>
      <c r="L5080" s="2" t="s">
        <v>5</v>
      </c>
      <c r="M5080" s="2" t="s">
        <v>5</v>
      </c>
      <c r="N5080" s="4">
        <v>0</v>
      </c>
    </row>
    <row r="5081" spans="1:14" x14ac:dyDescent="0.25">
      <c r="A5081" s="2" t="s">
        <v>731</v>
      </c>
      <c r="B5081" s="2" t="s">
        <v>732</v>
      </c>
      <c r="C5081" s="3">
        <v>8.15</v>
      </c>
      <c r="D5081" s="4">
        <v>391.2</v>
      </c>
      <c r="E5081" s="4">
        <v>228.2</v>
      </c>
      <c r="F5081" s="4">
        <f t="shared" si="297"/>
        <v>163</v>
      </c>
      <c r="G5081" s="5">
        <f t="shared" si="298"/>
        <v>0.41666666666666669</v>
      </c>
      <c r="H5081" s="2" t="s">
        <v>5</v>
      </c>
      <c r="I5081" s="6" t="s">
        <v>2300</v>
      </c>
      <c r="J5081" s="2" t="s">
        <v>5</v>
      </c>
      <c r="K5081" s="2" t="s">
        <v>5</v>
      </c>
      <c r="L5081" s="2" t="s">
        <v>5</v>
      </c>
      <c r="M5081" s="2" t="s">
        <v>5</v>
      </c>
      <c r="N5081" s="4">
        <v>0</v>
      </c>
    </row>
    <row r="5082" spans="1:14" x14ac:dyDescent="0.25">
      <c r="A5082" s="2" t="s">
        <v>731</v>
      </c>
      <c r="B5082" s="2" t="s">
        <v>732</v>
      </c>
      <c r="C5082" s="3">
        <v>4.09</v>
      </c>
      <c r="D5082" s="4">
        <v>197.3425</v>
      </c>
      <c r="E5082" s="4">
        <v>114.52</v>
      </c>
      <c r="F5082" s="4">
        <f t="shared" si="297"/>
        <v>82.822500000000005</v>
      </c>
      <c r="G5082" s="5">
        <f t="shared" si="298"/>
        <v>0.4196891191709845</v>
      </c>
      <c r="H5082" s="2" t="s">
        <v>5</v>
      </c>
      <c r="I5082" s="6" t="s">
        <v>2300</v>
      </c>
      <c r="J5082" s="2" t="s">
        <v>5</v>
      </c>
      <c r="K5082" s="2" t="s">
        <v>5</v>
      </c>
      <c r="L5082" s="2" t="s">
        <v>5</v>
      </c>
      <c r="M5082" s="2" t="s">
        <v>5</v>
      </c>
      <c r="N5082" s="4">
        <v>0</v>
      </c>
    </row>
    <row r="5083" spans="1:14" x14ac:dyDescent="0.25">
      <c r="A5083" s="2" t="s">
        <v>731</v>
      </c>
      <c r="B5083" s="2" t="s">
        <v>732</v>
      </c>
      <c r="C5083" s="3">
        <v>2.044</v>
      </c>
      <c r="D5083" s="4">
        <v>98.623000000000005</v>
      </c>
      <c r="E5083" s="4">
        <v>57.231999999999999</v>
      </c>
      <c r="F5083" s="4">
        <f t="shared" si="297"/>
        <v>41.391000000000005</v>
      </c>
      <c r="G5083" s="5">
        <f t="shared" si="298"/>
        <v>0.4196891191709845</v>
      </c>
      <c r="H5083" s="2" t="s">
        <v>5</v>
      </c>
      <c r="I5083" s="6" t="s">
        <v>2300</v>
      </c>
      <c r="J5083" s="2" t="s">
        <v>5</v>
      </c>
      <c r="K5083" s="2" t="s">
        <v>5</v>
      </c>
      <c r="L5083" s="2" t="s">
        <v>5</v>
      </c>
      <c r="M5083" s="2" t="s">
        <v>5</v>
      </c>
      <c r="N5083" s="4">
        <v>0</v>
      </c>
    </row>
    <row r="5084" spans="1:14" x14ac:dyDescent="0.25">
      <c r="A5084" s="2" t="s">
        <v>731</v>
      </c>
      <c r="B5084" s="2" t="s">
        <v>732</v>
      </c>
      <c r="C5084" s="3">
        <v>10.9</v>
      </c>
      <c r="D5084" s="4">
        <v>528.43200000000002</v>
      </c>
      <c r="E5084" s="4">
        <v>305.2</v>
      </c>
      <c r="F5084" s="4">
        <f t="shared" si="297"/>
        <v>223.23200000000003</v>
      </c>
      <c r="G5084" s="5">
        <f t="shared" si="298"/>
        <v>0.4224422442244225</v>
      </c>
      <c r="H5084" s="2" t="s">
        <v>5</v>
      </c>
      <c r="I5084" s="6" t="s">
        <v>2300</v>
      </c>
      <c r="J5084" s="2" t="s">
        <v>5</v>
      </c>
      <c r="K5084" s="2" t="s">
        <v>5</v>
      </c>
      <c r="L5084" s="2" t="s">
        <v>5</v>
      </c>
      <c r="M5084" s="2" t="s">
        <v>5</v>
      </c>
      <c r="N5084" s="4">
        <v>0</v>
      </c>
    </row>
    <row r="5085" spans="1:14" x14ac:dyDescent="0.25">
      <c r="A5085" s="2" t="s">
        <v>328</v>
      </c>
      <c r="B5085" s="2" t="s">
        <v>329</v>
      </c>
      <c r="C5085" s="3">
        <v>-74.564999999999998</v>
      </c>
      <c r="D5085" s="4">
        <v>-4211.4312</v>
      </c>
      <c r="E5085" s="4">
        <v>-2758.9050000000002</v>
      </c>
      <c r="F5085" s="4">
        <f t="shared" si="297"/>
        <v>-1452.5261999999998</v>
      </c>
      <c r="G5085" s="5">
        <f t="shared" si="298"/>
        <v>0.34490084985835689</v>
      </c>
      <c r="H5085" s="2" t="s">
        <v>5</v>
      </c>
      <c r="I5085" s="6" t="s">
        <v>2300</v>
      </c>
      <c r="J5085" s="2" t="s">
        <v>5</v>
      </c>
      <c r="K5085" s="2" t="s">
        <v>5</v>
      </c>
      <c r="L5085" s="2" t="s">
        <v>5</v>
      </c>
      <c r="M5085" s="2" t="s">
        <v>5</v>
      </c>
      <c r="N5085" s="4">
        <v>0</v>
      </c>
    </row>
    <row r="5086" spans="1:14" x14ac:dyDescent="0.25">
      <c r="A5086" s="2" t="s">
        <v>328</v>
      </c>
      <c r="B5086" s="2" t="s">
        <v>329</v>
      </c>
      <c r="C5086" s="3">
        <v>10.16</v>
      </c>
      <c r="D5086" s="4">
        <v>610.92079999999999</v>
      </c>
      <c r="E5086" s="4">
        <v>375.92</v>
      </c>
      <c r="F5086" s="4">
        <f t="shared" si="297"/>
        <v>235.00079999999997</v>
      </c>
      <c r="G5086" s="5">
        <f t="shared" si="298"/>
        <v>0.3846665557957758</v>
      </c>
      <c r="H5086" s="2" t="s">
        <v>5</v>
      </c>
      <c r="I5086" s="6" t="s">
        <v>2300</v>
      </c>
      <c r="J5086" s="2" t="s">
        <v>5</v>
      </c>
      <c r="K5086" s="2" t="s">
        <v>5</v>
      </c>
      <c r="L5086" s="2" t="s">
        <v>5</v>
      </c>
      <c r="M5086" s="2" t="s">
        <v>5</v>
      </c>
      <c r="N5086" s="4">
        <v>0</v>
      </c>
    </row>
    <row r="5087" spans="1:14" x14ac:dyDescent="0.25">
      <c r="A5087" s="2" t="s">
        <v>328</v>
      </c>
      <c r="B5087" s="2" t="s">
        <v>329</v>
      </c>
      <c r="C5087" s="3">
        <v>82.85</v>
      </c>
      <c r="D5087" s="4">
        <v>4679.3680000000004</v>
      </c>
      <c r="E5087" s="4">
        <v>3065.45</v>
      </c>
      <c r="F5087" s="4">
        <f t="shared" si="297"/>
        <v>1613.9180000000006</v>
      </c>
      <c r="G5087" s="5">
        <f t="shared" si="298"/>
        <v>0.34490084985835706</v>
      </c>
      <c r="H5087" s="2" t="s">
        <v>5</v>
      </c>
      <c r="I5087" s="6" t="s">
        <v>2300</v>
      </c>
      <c r="J5087" s="2" t="s">
        <v>5</v>
      </c>
      <c r="K5087" s="2" t="s">
        <v>5</v>
      </c>
      <c r="L5087" s="2" t="s">
        <v>5</v>
      </c>
      <c r="M5087" s="2" t="s">
        <v>5</v>
      </c>
      <c r="N5087" s="4">
        <v>0</v>
      </c>
    </row>
    <row r="5088" spans="1:14" x14ac:dyDescent="0.25">
      <c r="A5088" s="2" t="s">
        <v>1360</v>
      </c>
      <c r="B5088" s="2" t="s">
        <v>1361</v>
      </c>
      <c r="C5088" s="3">
        <v>39.299999999999997</v>
      </c>
      <c r="D5088" s="4">
        <v>2122.1999999999998</v>
      </c>
      <c r="E5088" s="4">
        <v>1454.1</v>
      </c>
      <c r="F5088" s="4">
        <f t="shared" si="297"/>
        <v>668.09999999999991</v>
      </c>
      <c r="G5088" s="5">
        <f t="shared" si="298"/>
        <v>0.31481481481481483</v>
      </c>
      <c r="H5088" s="2" t="s">
        <v>5</v>
      </c>
      <c r="I5088" s="6" t="s">
        <v>2300</v>
      </c>
      <c r="J5088" s="2" t="s">
        <v>5</v>
      </c>
      <c r="K5088" s="2" t="s">
        <v>5</v>
      </c>
      <c r="L5088" s="2" t="s">
        <v>5</v>
      </c>
      <c r="M5088" s="2" t="s">
        <v>5</v>
      </c>
      <c r="N5088" s="4">
        <v>0</v>
      </c>
    </row>
    <row r="5089" spans="1:14" x14ac:dyDescent="0.25">
      <c r="A5089" s="2" t="s">
        <v>733</v>
      </c>
      <c r="B5089" s="2" t="s">
        <v>734</v>
      </c>
      <c r="C5089" s="3">
        <v>13.1</v>
      </c>
      <c r="D5089" s="4">
        <v>600.50400000000002</v>
      </c>
      <c r="E5089" s="4">
        <v>366.8</v>
      </c>
      <c r="F5089" s="4">
        <f t="shared" ref="F5089:F5152" si="299">D5089-E5089</f>
        <v>233.70400000000001</v>
      </c>
      <c r="G5089" s="5">
        <f t="shared" ref="G5089:G5152" si="300">IF(((D5089)=0),0,(D5089-E5089)/ D5089)</f>
        <v>0.38917975567190227</v>
      </c>
      <c r="H5089" s="2" t="s">
        <v>5</v>
      </c>
      <c r="I5089" s="6" t="s">
        <v>2300</v>
      </c>
      <c r="J5089" s="2" t="s">
        <v>5</v>
      </c>
      <c r="K5089" s="2" t="s">
        <v>5</v>
      </c>
      <c r="L5089" s="2" t="s">
        <v>5</v>
      </c>
      <c r="M5089" s="2" t="s">
        <v>5</v>
      </c>
      <c r="N5089" s="4">
        <v>0</v>
      </c>
    </row>
    <row r="5090" spans="1:14" x14ac:dyDescent="0.25">
      <c r="A5090" s="2" t="s">
        <v>1154</v>
      </c>
      <c r="B5090" s="2" t="s">
        <v>1155</v>
      </c>
      <c r="C5090" s="3">
        <v>1</v>
      </c>
      <c r="D5090" s="4">
        <v>48.04</v>
      </c>
      <c r="E5090" s="4">
        <v>54</v>
      </c>
      <c r="F5090" s="4">
        <f t="shared" si="299"/>
        <v>-5.9600000000000009</v>
      </c>
      <c r="G5090" s="5">
        <f t="shared" si="300"/>
        <v>-0.12406328059950043</v>
      </c>
      <c r="H5090" s="2" t="s">
        <v>5</v>
      </c>
      <c r="I5090" s="6" t="s">
        <v>2300</v>
      </c>
      <c r="J5090" s="2" t="s">
        <v>5</v>
      </c>
      <c r="K5090" s="2" t="s">
        <v>5</v>
      </c>
      <c r="L5090" s="2" t="s">
        <v>5</v>
      </c>
      <c r="M5090" s="2" t="s">
        <v>5</v>
      </c>
      <c r="N5090" s="4">
        <v>0</v>
      </c>
    </row>
    <row r="5091" spans="1:14" x14ac:dyDescent="0.25">
      <c r="A5091" s="2" t="s">
        <v>807</v>
      </c>
      <c r="B5091" s="2" t="s">
        <v>808</v>
      </c>
      <c r="C5091" s="3">
        <v>10</v>
      </c>
      <c r="D5091" s="4">
        <v>85.8</v>
      </c>
      <c r="E5091" s="4">
        <v>60.9</v>
      </c>
      <c r="F5091" s="4">
        <f t="shared" si="299"/>
        <v>24.9</v>
      </c>
      <c r="G5091" s="5">
        <f t="shared" si="300"/>
        <v>0.29020979020979021</v>
      </c>
      <c r="H5091" s="2" t="s">
        <v>5</v>
      </c>
      <c r="I5091" s="6" t="s">
        <v>2300</v>
      </c>
      <c r="J5091" s="2" t="s">
        <v>5</v>
      </c>
      <c r="K5091" s="2" t="s">
        <v>5</v>
      </c>
      <c r="L5091" s="2" t="s">
        <v>5</v>
      </c>
      <c r="M5091" s="2" t="s">
        <v>5</v>
      </c>
      <c r="N5091" s="4">
        <v>0</v>
      </c>
    </row>
    <row r="5092" spans="1:14" x14ac:dyDescent="0.25">
      <c r="A5092" s="2" t="s">
        <v>807</v>
      </c>
      <c r="B5092" s="2" t="s">
        <v>808</v>
      </c>
      <c r="C5092" s="3">
        <v>5</v>
      </c>
      <c r="D5092" s="4">
        <v>40.1</v>
      </c>
      <c r="E5092" s="4">
        <v>30.45</v>
      </c>
      <c r="F5092" s="4">
        <f t="shared" si="299"/>
        <v>9.6500000000000021</v>
      </c>
      <c r="G5092" s="5">
        <f t="shared" si="300"/>
        <v>0.24064837905236913</v>
      </c>
      <c r="H5092" s="2" t="s">
        <v>5</v>
      </c>
      <c r="I5092" s="6" t="s">
        <v>2300</v>
      </c>
      <c r="J5092" s="2" t="s">
        <v>5</v>
      </c>
      <c r="K5092" s="2" t="s">
        <v>5</v>
      </c>
      <c r="L5092" s="2" t="s">
        <v>5</v>
      </c>
      <c r="M5092" s="2" t="s">
        <v>5</v>
      </c>
      <c r="N5092" s="4">
        <v>0</v>
      </c>
    </row>
    <row r="5093" spans="1:14" x14ac:dyDescent="0.25">
      <c r="A5093" s="2" t="s">
        <v>807</v>
      </c>
      <c r="B5093" s="2" t="s">
        <v>808</v>
      </c>
      <c r="C5093" s="3">
        <v>5</v>
      </c>
      <c r="D5093" s="4">
        <v>40</v>
      </c>
      <c r="E5093" s="4">
        <v>30.45</v>
      </c>
      <c r="F5093" s="4">
        <f t="shared" si="299"/>
        <v>9.5500000000000007</v>
      </c>
      <c r="G5093" s="5">
        <f t="shared" si="300"/>
        <v>0.23875000000000002</v>
      </c>
      <c r="H5093" s="2" t="s">
        <v>5</v>
      </c>
      <c r="I5093" s="6" t="s">
        <v>2300</v>
      </c>
      <c r="J5093" s="2" t="s">
        <v>5</v>
      </c>
      <c r="K5093" s="2" t="s">
        <v>5</v>
      </c>
      <c r="L5093" s="2" t="s">
        <v>5</v>
      </c>
      <c r="M5093" s="2" t="s">
        <v>5</v>
      </c>
      <c r="N5093" s="4">
        <v>0</v>
      </c>
    </row>
    <row r="5094" spans="1:14" x14ac:dyDescent="0.25">
      <c r="A5094" s="2" t="s">
        <v>807</v>
      </c>
      <c r="B5094" s="2" t="s">
        <v>808</v>
      </c>
      <c r="C5094" s="3">
        <v>5</v>
      </c>
      <c r="D5094" s="4">
        <v>40.1</v>
      </c>
      <c r="E5094" s="4">
        <v>30.45</v>
      </c>
      <c r="F5094" s="4">
        <f t="shared" si="299"/>
        <v>9.6500000000000021</v>
      </c>
      <c r="G5094" s="5">
        <f t="shared" si="300"/>
        <v>0.24064837905236913</v>
      </c>
      <c r="H5094" s="2" t="s">
        <v>5</v>
      </c>
      <c r="I5094" s="6" t="s">
        <v>2300</v>
      </c>
      <c r="J5094" s="2" t="s">
        <v>5</v>
      </c>
      <c r="K5094" s="2" t="s">
        <v>5</v>
      </c>
      <c r="L5094" s="2" t="s">
        <v>5</v>
      </c>
      <c r="M5094" s="2" t="s">
        <v>5</v>
      </c>
      <c r="N5094" s="4">
        <v>0</v>
      </c>
    </row>
    <row r="5095" spans="1:14" x14ac:dyDescent="0.25">
      <c r="A5095" s="2" t="s">
        <v>807</v>
      </c>
      <c r="B5095" s="2" t="s">
        <v>808</v>
      </c>
      <c r="C5095" s="3">
        <v>10</v>
      </c>
      <c r="D5095" s="4">
        <v>85.8</v>
      </c>
      <c r="E5095" s="4">
        <v>60.9</v>
      </c>
      <c r="F5095" s="4">
        <f t="shared" si="299"/>
        <v>24.9</v>
      </c>
      <c r="G5095" s="5">
        <f t="shared" si="300"/>
        <v>0.29020979020979021</v>
      </c>
      <c r="H5095" s="2" t="s">
        <v>5</v>
      </c>
      <c r="I5095" s="6" t="s">
        <v>2300</v>
      </c>
      <c r="J5095" s="2" t="s">
        <v>5</v>
      </c>
      <c r="K5095" s="2" t="s">
        <v>5</v>
      </c>
      <c r="L5095" s="2" t="s">
        <v>5</v>
      </c>
      <c r="M5095" s="2" t="s">
        <v>5</v>
      </c>
      <c r="N5095" s="4">
        <v>0</v>
      </c>
    </row>
    <row r="5096" spans="1:14" x14ac:dyDescent="0.25">
      <c r="A5096" s="2" t="s">
        <v>807</v>
      </c>
      <c r="B5096" s="2" t="s">
        <v>808</v>
      </c>
      <c r="C5096" s="3">
        <v>5</v>
      </c>
      <c r="D5096" s="4">
        <v>40.1</v>
      </c>
      <c r="E5096" s="4">
        <v>30.45</v>
      </c>
      <c r="F5096" s="4">
        <f t="shared" si="299"/>
        <v>9.6500000000000021</v>
      </c>
      <c r="G5096" s="5">
        <f t="shared" si="300"/>
        <v>0.24064837905236913</v>
      </c>
      <c r="H5096" s="2" t="s">
        <v>5</v>
      </c>
      <c r="I5096" s="6" t="s">
        <v>2300</v>
      </c>
      <c r="J5096" s="2" t="s">
        <v>5</v>
      </c>
      <c r="K5096" s="2" t="s">
        <v>5</v>
      </c>
      <c r="L5096" s="2" t="s">
        <v>5</v>
      </c>
      <c r="M5096" s="2" t="s">
        <v>5</v>
      </c>
      <c r="N5096" s="4">
        <v>0</v>
      </c>
    </row>
    <row r="5097" spans="1:14" x14ac:dyDescent="0.25">
      <c r="A5097" s="2" t="s">
        <v>1524</v>
      </c>
      <c r="B5097" s="2" t="s">
        <v>1525</v>
      </c>
      <c r="C5097" s="3">
        <v>1</v>
      </c>
      <c r="D5097" s="4">
        <v>160.5</v>
      </c>
      <c r="E5097" s="4">
        <v>30</v>
      </c>
      <c r="F5097" s="4">
        <f t="shared" si="299"/>
        <v>130.5</v>
      </c>
      <c r="G5097" s="5">
        <f t="shared" si="300"/>
        <v>0.81308411214953269</v>
      </c>
      <c r="H5097" s="2" t="s">
        <v>5</v>
      </c>
      <c r="I5097" s="6" t="s">
        <v>2300</v>
      </c>
      <c r="J5097" s="2" t="s">
        <v>5</v>
      </c>
      <c r="K5097" s="2" t="s">
        <v>5</v>
      </c>
      <c r="L5097" s="2" t="s">
        <v>5</v>
      </c>
      <c r="M5097" s="2" t="s">
        <v>5</v>
      </c>
      <c r="N5097" s="4">
        <v>0</v>
      </c>
    </row>
    <row r="5098" spans="1:14" x14ac:dyDescent="0.25">
      <c r="A5098" s="2" t="s">
        <v>577</v>
      </c>
      <c r="B5098" s="2" t="s">
        <v>578</v>
      </c>
      <c r="C5098" s="3">
        <v>20</v>
      </c>
      <c r="D5098" s="4">
        <v>207</v>
      </c>
      <c r="E5098" s="4">
        <v>122</v>
      </c>
      <c r="F5098" s="4">
        <f t="shared" si="299"/>
        <v>85</v>
      </c>
      <c r="G5098" s="5">
        <f t="shared" si="300"/>
        <v>0.41062801932367149</v>
      </c>
      <c r="H5098" s="2" t="s">
        <v>5</v>
      </c>
      <c r="I5098" s="6" t="s">
        <v>2300</v>
      </c>
      <c r="J5098" s="2" t="s">
        <v>5</v>
      </c>
      <c r="K5098" s="2" t="s">
        <v>5</v>
      </c>
      <c r="L5098" s="2" t="s">
        <v>5</v>
      </c>
      <c r="M5098" s="2" t="s">
        <v>5</v>
      </c>
      <c r="N5098" s="4">
        <v>0</v>
      </c>
    </row>
    <row r="5099" spans="1:14" x14ac:dyDescent="0.25">
      <c r="A5099" s="2" t="s">
        <v>577</v>
      </c>
      <c r="B5099" s="2" t="s">
        <v>578</v>
      </c>
      <c r="C5099" s="3">
        <v>10</v>
      </c>
      <c r="D5099" s="4">
        <v>106.7</v>
      </c>
      <c r="E5099" s="4">
        <v>61</v>
      </c>
      <c r="F5099" s="4">
        <f t="shared" si="299"/>
        <v>45.7</v>
      </c>
      <c r="G5099" s="5">
        <f t="shared" si="300"/>
        <v>0.42830365510777885</v>
      </c>
      <c r="H5099" s="2" t="s">
        <v>5</v>
      </c>
      <c r="I5099" s="6" t="s">
        <v>2300</v>
      </c>
      <c r="J5099" s="2" t="s">
        <v>5</v>
      </c>
      <c r="K5099" s="2" t="s">
        <v>5</v>
      </c>
      <c r="L5099" s="2" t="s">
        <v>5</v>
      </c>
      <c r="M5099" s="2" t="s">
        <v>5</v>
      </c>
      <c r="N5099" s="4">
        <v>0</v>
      </c>
    </row>
    <row r="5100" spans="1:14" x14ac:dyDescent="0.25">
      <c r="A5100" s="2" t="s">
        <v>577</v>
      </c>
      <c r="B5100" s="2" t="s">
        <v>578</v>
      </c>
      <c r="C5100" s="3">
        <v>40</v>
      </c>
      <c r="D5100" s="4">
        <v>432.4</v>
      </c>
      <c r="E5100" s="4">
        <v>244</v>
      </c>
      <c r="F5100" s="4">
        <f t="shared" si="299"/>
        <v>188.39999999999998</v>
      </c>
      <c r="G5100" s="5">
        <f t="shared" si="300"/>
        <v>0.43570767807585564</v>
      </c>
      <c r="H5100" s="2" t="s">
        <v>5</v>
      </c>
      <c r="I5100" s="6" t="s">
        <v>2300</v>
      </c>
      <c r="J5100" s="2" t="s">
        <v>5</v>
      </c>
      <c r="K5100" s="2" t="s">
        <v>5</v>
      </c>
      <c r="L5100" s="2" t="s">
        <v>5</v>
      </c>
      <c r="M5100" s="2" t="s">
        <v>5</v>
      </c>
      <c r="N5100" s="4">
        <v>0</v>
      </c>
    </row>
    <row r="5101" spans="1:14" x14ac:dyDescent="0.25">
      <c r="A5101" s="2" t="s">
        <v>577</v>
      </c>
      <c r="B5101" s="2" t="s">
        <v>578</v>
      </c>
      <c r="C5101" s="3">
        <v>-40</v>
      </c>
      <c r="D5101" s="4">
        <v>-432.4</v>
      </c>
      <c r="E5101" s="4">
        <v>-244</v>
      </c>
      <c r="F5101" s="4">
        <f t="shared" si="299"/>
        <v>-188.39999999999998</v>
      </c>
      <c r="G5101" s="5">
        <f t="shared" si="300"/>
        <v>0.43570767807585564</v>
      </c>
      <c r="H5101" s="2" t="s">
        <v>5</v>
      </c>
      <c r="I5101" s="6" t="s">
        <v>2300</v>
      </c>
      <c r="J5101" s="2" t="s">
        <v>5</v>
      </c>
      <c r="K5101" s="2" t="s">
        <v>5</v>
      </c>
      <c r="L5101" s="2" t="s">
        <v>5</v>
      </c>
      <c r="M5101" s="2" t="s">
        <v>5</v>
      </c>
      <c r="N5101" s="4">
        <v>0</v>
      </c>
    </row>
    <row r="5102" spans="1:14" x14ac:dyDescent="0.25">
      <c r="A5102" s="2" t="s">
        <v>577</v>
      </c>
      <c r="B5102" s="2" t="s">
        <v>578</v>
      </c>
      <c r="C5102" s="3">
        <v>20</v>
      </c>
      <c r="D5102" s="4">
        <v>216.2</v>
      </c>
      <c r="E5102" s="4">
        <v>122</v>
      </c>
      <c r="F5102" s="4">
        <f t="shared" si="299"/>
        <v>94.199999999999989</v>
      </c>
      <c r="G5102" s="5">
        <f t="shared" si="300"/>
        <v>0.43570767807585564</v>
      </c>
      <c r="H5102" s="2" t="s">
        <v>5</v>
      </c>
      <c r="I5102" s="6" t="s">
        <v>2300</v>
      </c>
      <c r="J5102" s="2" t="s">
        <v>5</v>
      </c>
      <c r="K5102" s="2" t="s">
        <v>5</v>
      </c>
      <c r="L5102" s="2" t="s">
        <v>5</v>
      </c>
      <c r="M5102" s="2" t="s">
        <v>5</v>
      </c>
      <c r="N5102" s="4">
        <v>0</v>
      </c>
    </row>
    <row r="5103" spans="1:14" x14ac:dyDescent="0.25">
      <c r="A5103" s="2" t="s">
        <v>156</v>
      </c>
      <c r="B5103" s="2" t="s">
        <v>157</v>
      </c>
      <c r="C5103" s="3">
        <v>38.61</v>
      </c>
      <c r="D5103" s="4">
        <v>484.94159999999999</v>
      </c>
      <c r="E5103" s="4">
        <v>347.49</v>
      </c>
      <c r="F5103" s="4">
        <f t="shared" si="299"/>
        <v>137.45159999999998</v>
      </c>
      <c r="G5103" s="5">
        <f t="shared" si="300"/>
        <v>0.28343949044585987</v>
      </c>
      <c r="H5103" s="2" t="s">
        <v>5</v>
      </c>
      <c r="I5103" s="6" t="s">
        <v>2300</v>
      </c>
      <c r="J5103" s="2" t="s">
        <v>5</v>
      </c>
      <c r="K5103" s="2" t="s">
        <v>5</v>
      </c>
      <c r="L5103" s="2" t="s">
        <v>5</v>
      </c>
      <c r="M5103" s="2" t="s">
        <v>5</v>
      </c>
      <c r="N5103" s="4">
        <v>0</v>
      </c>
    </row>
    <row r="5104" spans="1:14" x14ac:dyDescent="0.25">
      <c r="A5104" s="2" t="s">
        <v>156</v>
      </c>
      <c r="B5104" s="2" t="s">
        <v>157</v>
      </c>
      <c r="C5104" s="3">
        <v>40</v>
      </c>
      <c r="D5104" s="4">
        <v>468.8</v>
      </c>
      <c r="E5104" s="4">
        <v>360</v>
      </c>
      <c r="F5104" s="4">
        <f t="shared" si="299"/>
        <v>108.80000000000001</v>
      </c>
      <c r="G5104" s="5">
        <f t="shared" si="300"/>
        <v>0.23208191126279865</v>
      </c>
      <c r="H5104" s="2" t="s">
        <v>5</v>
      </c>
      <c r="I5104" s="6" t="s">
        <v>2300</v>
      </c>
      <c r="J5104" s="2" t="s">
        <v>5</v>
      </c>
      <c r="K5104" s="2" t="s">
        <v>5</v>
      </c>
      <c r="L5104" s="2" t="s">
        <v>5</v>
      </c>
      <c r="M5104" s="2" t="s">
        <v>5</v>
      </c>
      <c r="N5104" s="4">
        <v>0</v>
      </c>
    </row>
    <row r="5105" spans="1:14" x14ac:dyDescent="0.25">
      <c r="A5105" s="2" t="s">
        <v>156</v>
      </c>
      <c r="B5105" s="2" t="s">
        <v>157</v>
      </c>
      <c r="C5105" s="3">
        <v>105.685</v>
      </c>
      <c r="D5105" s="4">
        <v>1254.4809499999999</v>
      </c>
      <c r="E5105" s="4">
        <v>951.16499999999996</v>
      </c>
      <c r="F5105" s="4">
        <f t="shared" si="299"/>
        <v>303.31594999999993</v>
      </c>
      <c r="G5105" s="5">
        <f t="shared" si="300"/>
        <v>0.24178601516427967</v>
      </c>
      <c r="H5105" s="2" t="s">
        <v>5</v>
      </c>
      <c r="I5105" s="6" t="s">
        <v>2300</v>
      </c>
      <c r="J5105" s="2" t="s">
        <v>5</v>
      </c>
      <c r="K5105" s="2" t="s">
        <v>5</v>
      </c>
      <c r="L5105" s="2" t="s">
        <v>5</v>
      </c>
      <c r="M5105" s="2" t="s">
        <v>5</v>
      </c>
      <c r="N5105" s="4">
        <v>0</v>
      </c>
    </row>
    <row r="5106" spans="1:14" x14ac:dyDescent="0.25">
      <c r="A5106" s="2" t="s">
        <v>156</v>
      </c>
      <c r="B5106" s="2" t="s">
        <v>157</v>
      </c>
      <c r="C5106" s="3">
        <v>7.62</v>
      </c>
      <c r="D5106" s="4">
        <v>89.306399999999996</v>
      </c>
      <c r="E5106" s="4">
        <v>68.58</v>
      </c>
      <c r="F5106" s="4">
        <f t="shared" si="299"/>
        <v>20.726399999999998</v>
      </c>
      <c r="G5106" s="5">
        <f t="shared" si="300"/>
        <v>0.23208191126279862</v>
      </c>
      <c r="H5106" s="2" t="s">
        <v>5</v>
      </c>
      <c r="I5106" s="6" t="s">
        <v>2300</v>
      </c>
      <c r="J5106" s="2" t="s">
        <v>5</v>
      </c>
      <c r="K5106" s="2" t="s">
        <v>5</v>
      </c>
      <c r="L5106" s="2" t="s">
        <v>5</v>
      </c>
      <c r="M5106" s="2" t="s">
        <v>5</v>
      </c>
      <c r="N5106" s="4">
        <v>0</v>
      </c>
    </row>
    <row r="5107" spans="1:14" x14ac:dyDescent="0.25">
      <c r="A5107" s="2" t="s">
        <v>156</v>
      </c>
      <c r="B5107" s="2" t="s">
        <v>157</v>
      </c>
      <c r="C5107" s="3">
        <v>39.06</v>
      </c>
      <c r="D5107" s="4">
        <v>490.59359999999998</v>
      </c>
      <c r="E5107" s="4">
        <v>351.54</v>
      </c>
      <c r="F5107" s="4">
        <f t="shared" si="299"/>
        <v>139.05359999999996</v>
      </c>
      <c r="G5107" s="5">
        <f t="shared" si="300"/>
        <v>0.28343949044585981</v>
      </c>
      <c r="H5107" s="2" t="s">
        <v>5</v>
      </c>
      <c r="I5107" s="6" t="s">
        <v>2300</v>
      </c>
      <c r="J5107" s="2" t="s">
        <v>5</v>
      </c>
      <c r="K5107" s="2" t="s">
        <v>5</v>
      </c>
      <c r="L5107" s="2" t="s">
        <v>5</v>
      </c>
      <c r="M5107" s="2" t="s">
        <v>5</v>
      </c>
      <c r="N5107" s="4">
        <v>0</v>
      </c>
    </row>
    <row r="5108" spans="1:14" x14ac:dyDescent="0.25">
      <c r="A5108" s="2" t="s">
        <v>156</v>
      </c>
      <c r="B5108" s="2" t="s">
        <v>157</v>
      </c>
      <c r="C5108" s="3">
        <v>29.204999999999998</v>
      </c>
      <c r="D5108" s="4">
        <v>350.16795000000002</v>
      </c>
      <c r="E5108" s="4">
        <v>262.84500000000003</v>
      </c>
      <c r="F5108" s="4">
        <f t="shared" si="299"/>
        <v>87.322949999999992</v>
      </c>
      <c r="G5108" s="5">
        <f t="shared" si="300"/>
        <v>0.24937447873227686</v>
      </c>
      <c r="H5108" s="2" t="s">
        <v>5</v>
      </c>
      <c r="I5108" s="6" t="s">
        <v>2300</v>
      </c>
      <c r="J5108" s="2" t="s">
        <v>5</v>
      </c>
      <c r="K5108" s="2" t="s">
        <v>5</v>
      </c>
      <c r="L5108" s="2" t="s">
        <v>5</v>
      </c>
      <c r="M5108" s="2" t="s">
        <v>5</v>
      </c>
      <c r="N5108" s="4">
        <v>0</v>
      </c>
    </row>
    <row r="5109" spans="1:14" x14ac:dyDescent="0.25">
      <c r="A5109" s="2" t="s">
        <v>156</v>
      </c>
      <c r="B5109" s="2" t="s">
        <v>157</v>
      </c>
      <c r="C5109" s="3">
        <v>19.914999999999999</v>
      </c>
      <c r="D5109" s="4">
        <v>236.39105000000001</v>
      </c>
      <c r="E5109" s="4">
        <v>179.23500000000001</v>
      </c>
      <c r="F5109" s="4">
        <f t="shared" si="299"/>
        <v>57.156049999999993</v>
      </c>
      <c r="G5109" s="5">
        <f t="shared" si="300"/>
        <v>0.24178601516427967</v>
      </c>
      <c r="H5109" s="2" t="s">
        <v>5</v>
      </c>
      <c r="I5109" s="6" t="s">
        <v>2300</v>
      </c>
      <c r="J5109" s="2" t="s">
        <v>5</v>
      </c>
      <c r="K5109" s="2" t="s">
        <v>5</v>
      </c>
      <c r="L5109" s="2" t="s">
        <v>5</v>
      </c>
      <c r="M5109" s="2" t="s">
        <v>5</v>
      </c>
      <c r="N5109" s="4">
        <v>0</v>
      </c>
    </row>
    <row r="5110" spans="1:14" x14ac:dyDescent="0.25">
      <c r="A5110" s="2" t="s">
        <v>707</v>
      </c>
      <c r="B5110" s="2" t="s">
        <v>708</v>
      </c>
      <c r="C5110" s="3">
        <v>39.840000000000003</v>
      </c>
      <c r="D5110" s="4">
        <v>437.04480000000001</v>
      </c>
      <c r="E5110" s="4">
        <v>330.27359999999999</v>
      </c>
      <c r="F5110" s="4">
        <f t="shared" si="299"/>
        <v>106.77120000000002</v>
      </c>
      <c r="G5110" s="5">
        <f t="shared" si="300"/>
        <v>0.24430264357338199</v>
      </c>
      <c r="H5110" s="2" t="s">
        <v>5</v>
      </c>
      <c r="I5110" s="6" t="s">
        <v>2300</v>
      </c>
      <c r="J5110" s="2" t="s">
        <v>5</v>
      </c>
      <c r="K5110" s="2" t="s">
        <v>5</v>
      </c>
      <c r="L5110" s="2" t="s">
        <v>5</v>
      </c>
      <c r="M5110" s="2" t="s">
        <v>5</v>
      </c>
      <c r="N5110" s="4">
        <v>0</v>
      </c>
    </row>
    <row r="5111" spans="1:14" x14ac:dyDescent="0.25">
      <c r="A5111" s="2" t="s">
        <v>707</v>
      </c>
      <c r="B5111" s="2" t="s">
        <v>708</v>
      </c>
      <c r="C5111" s="3">
        <v>35.85</v>
      </c>
      <c r="D5111" s="4">
        <v>393.27449999999999</v>
      </c>
      <c r="E5111" s="4">
        <v>297.19650000000001</v>
      </c>
      <c r="F5111" s="4">
        <f t="shared" si="299"/>
        <v>96.077999999999975</v>
      </c>
      <c r="G5111" s="5">
        <f t="shared" si="300"/>
        <v>0.24430264357338188</v>
      </c>
      <c r="H5111" s="2" t="s">
        <v>5</v>
      </c>
      <c r="I5111" s="6" t="s">
        <v>2300</v>
      </c>
      <c r="J5111" s="2" t="s">
        <v>5</v>
      </c>
      <c r="K5111" s="2" t="s">
        <v>5</v>
      </c>
      <c r="L5111" s="2" t="s">
        <v>5</v>
      </c>
      <c r="M5111" s="2" t="s">
        <v>5</v>
      </c>
      <c r="N5111" s="4">
        <v>0</v>
      </c>
    </row>
    <row r="5112" spans="1:14" x14ac:dyDescent="0.25">
      <c r="A5112" s="2" t="s">
        <v>707</v>
      </c>
      <c r="B5112" s="2" t="s">
        <v>708</v>
      </c>
      <c r="C5112" s="3">
        <v>24.707999999999998</v>
      </c>
      <c r="D5112" s="4">
        <v>263.88144</v>
      </c>
      <c r="E5112" s="4">
        <v>204.82932</v>
      </c>
      <c r="F5112" s="4">
        <f t="shared" si="299"/>
        <v>59.052120000000002</v>
      </c>
      <c r="G5112" s="5">
        <f t="shared" si="300"/>
        <v>0.22378277153558054</v>
      </c>
      <c r="H5112" s="2" t="s">
        <v>5</v>
      </c>
      <c r="I5112" s="6" t="s">
        <v>2300</v>
      </c>
      <c r="J5112" s="2" t="s">
        <v>5</v>
      </c>
      <c r="K5112" s="2" t="s">
        <v>5</v>
      </c>
      <c r="L5112" s="2" t="s">
        <v>5</v>
      </c>
      <c r="M5112" s="2" t="s">
        <v>5</v>
      </c>
      <c r="N5112" s="4">
        <v>0</v>
      </c>
    </row>
    <row r="5113" spans="1:14" x14ac:dyDescent="0.25">
      <c r="A5113" s="2" t="s">
        <v>707</v>
      </c>
      <c r="B5113" s="2" t="s">
        <v>708</v>
      </c>
      <c r="C5113" s="3">
        <v>19.46</v>
      </c>
      <c r="D5113" s="4">
        <v>213.47620000000001</v>
      </c>
      <c r="E5113" s="4">
        <v>161.32339999999999</v>
      </c>
      <c r="F5113" s="4">
        <f t="shared" si="299"/>
        <v>52.152800000000013</v>
      </c>
      <c r="G5113" s="5">
        <f t="shared" si="300"/>
        <v>0.24430264357338199</v>
      </c>
      <c r="H5113" s="2" t="s">
        <v>5</v>
      </c>
      <c r="I5113" s="6" t="s">
        <v>2300</v>
      </c>
      <c r="J5113" s="2" t="s">
        <v>5</v>
      </c>
      <c r="K5113" s="2" t="s">
        <v>5</v>
      </c>
      <c r="L5113" s="2" t="s">
        <v>5</v>
      </c>
      <c r="M5113" s="2" t="s">
        <v>5</v>
      </c>
      <c r="N5113" s="4">
        <v>0</v>
      </c>
    </row>
    <row r="5114" spans="1:14" x14ac:dyDescent="0.25">
      <c r="A5114" s="2" t="s">
        <v>707</v>
      </c>
      <c r="B5114" s="2" t="s">
        <v>708</v>
      </c>
      <c r="C5114" s="3">
        <v>19.559999999999999</v>
      </c>
      <c r="D5114" s="4">
        <v>208.9008</v>
      </c>
      <c r="E5114" s="4">
        <v>162.1524</v>
      </c>
      <c r="F5114" s="4">
        <f t="shared" si="299"/>
        <v>46.748400000000004</v>
      </c>
      <c r="G5114" s="5">
        <f t="shared" si="300"/>
        <v>0.22378277153558054</v>
      </c>
      <c r="H5114" s="2" t="s">
        <v>5</v>
      </c>
      <c r="I5114" s="6" t="s">
        <v>2300</v>
      </c>
      <c r="J5114" s="2" t="s">
        <v>5</v>
      </c>
      <c r="K5114" s="2" t="s">
        <v>5</v>
      </c>
      <c r="L5114" s="2" t="s">
        <v>5</v>
      </c>
      <c r="M5114" s="2" t="s">
        <v>5</v>
      </c>
      <c r="N5114" s="4">
        <v>0</v>
      </c>
    </row>
    <row r="5115" spans="1:14" x14ac:dyDescent="0.25">
      <c r="A5115" s="2" t="s">
        <v>707</v>
      </c>
      <c r="B5115" s="2" t="s">
        <v>708</v>
      </c>
      <c r="C5115" s="3">
        <v>39.81</v>
      </c>
      <c r="D5115" s="4">
        <v>409.64490000000001</v>
      </c>
      <c r="E5115" s="4">
        <v>330.0249</v>
      </c>
      <c r="F5115" s="4">
        <f t="shared" si="299"/>
        <v>79.62</v>
      </c>
      <c r="G5115" s="5">
        <f t="shared" si="300"/>
        <v>0.19436345966958213</v>
      </c>
      <c r="H5115" s="2" t="s">
        <v>5</v>
      </c>
      <c r="I5115" s="6" t="s">
        <v>2300</v>
      </c>
      <c r="J5115" s="2" t="s">
        <v>5</v>
      </c>
      <c r="K5115" s="2" t="s">
        <v>5</v>
      </c>
      <c r="L5115" s="2" t="s">
        <v>5</v>
      </c>
      <c r="M5115" s="2" t="s">
        <v>5</v>
      </c>
      <c r="N5115" s="4">
        <v>0</v>
      </c>
    </row>
    <row r="5116" spans="1:14" x14ac:dyDescent="0.25">
      <c r="A5116" s="2" t="s">
        <v>707</v>
      </c>
      <c r="B5116" s="2" t="s">
        <v>708</v>
      </c>
      <c r="C5116" s="3">
        <v>21.434000000000001</v>
      </c>
      <c r="D5116" s="4">
        <v>228.91512</v>
      </c>
      <c r="E5116" s="4">
        <v>177.68786</v>
      </c>
      <c r="F5116" s="4">
        <f t="shared" si="299"/>
        <v>51.227260000000001</v>
      </c>
      <c r="G5116" s="5">
        <f t="shared" si="300"/>
        <v>0.22378277153558052</v>
      </c>
      <c r="H5116" s="2" t="s">
        <v>5</v>
      </c>
      <c r="I5116" s="6" t="s">
        <v>2300</v>
      </c>
      <c r="J5116" s="2" t="s">
        <v>5</v>
      </c>
      <c r="K5116" s="2" t="s">
        <v>5</v>
      </c>
      <c r="L5116" s="2" t="s">
        <v>5</v>
      </c>
      <c r="M5116" s="2" t="s">
        <v>5</v>
      </c>
      <c r="N5116" s="4">
        <v>0</v>
      </c>
    </row>
    <row r="5117" spans="1:14" x14ac:dyDescent="0.25">
      <c r="A5117" s="2" t="s">
        <v>158</v>
      </c>
      <c r="B5117" s="2" t="s">
        <v>159</v>
      </c>
      <c r="C5117" s="3">
        <v>20</v>
      </c>
      <c r="D5117" s="4">
        <v>233</v>
      </c>
      <c r="E5117" s="4">
        <v>157.4</v>
      </c>
      <c r="F5117" s="4">
        <f t="shared" si="299"/>
        <v>75.599999999999994</v>
      </c>
      <c r="G5117" s="5">
        <f t="shared" si="300"/>
        <v>0.32446351931330469</v>
      </c>
      <c r="H5117" s="2" t="s">
        <v>5</v>
      </c>
      <c r="I5117" s="6" t="s">
        <v>2300</v>
      </c>
      <c r="J5117" s="2" t="s">
        <v>5</v>
      </c>
      <c r="K5117" s="2" t="s">
        <v>5</v>
      </c>
      <c r="L5117" s="2" t="s">
        <v>5</v>
      </c>
      <c r="M5117" s="2" t="s">
        <v>5</v>
      </c>
      <c r="N5117" s="4">
        <v>0</v>
      </c>
    </row>
    <row r="5118" spans="1:14" x14ac:dyDescent="0.25">
      <c r="A5118" s="2" t="s">
        <v>158</v>
      </c>
      <c r="B5118" s="2" t="s">
        <v>159</v>
      </c>
      <c r="C5118" s="3">
        <v>20</v>
      </c>
      <c r="D5118" s="4">
        <v>207.2</v>
      </c>
      <c r="E5118" s="4">
        <v>157.4</v>
      </c>
      <c r="F5118" s="4">
        <f t="shared" si="299"/>
        <v>49.799999999999983</v>
      </c>
      <c r="G5118" s="5">
        <f t="shared" si="300"/>
        <v>0.24034749034749028</v>
      </c>
      <c r="H5118" s="2" t="s">
        <v>5</v>
      </c>
      <c r="I5118" s="6" t="s">
        <v>2300</v>
      </c>
      <c r="J5118" s="2" t="s">
        <v>5</v>
      </c>
      <c r="K5118" s="2" t="s">
        <v>5</v>
      </c>
      <c r="L5118" s="2" t="s">
        <v>5</v>
      </c>
      <c r="M5118" s="2" t="s">
        <v>5</v>
      </c>
      <c r="N5118" s="4">
        <v>0</v>
      </c>
    </row>
    <row r="5119" spans="1:14" x14ac:dyDescent="0.25">
      <c r="A5119" s="2" t="s">
        <v>158</v>
      </c>
      <c r="B5119" s="2" t="s">
        <v>159</v>
      </c>
      <c r="C5119" s="3">
        <v>8</v>
      </c>
      <c r="D5119" s="4">
        <v>86.96</v>
      </c>
      <c r="E5119" s="4">
        <v>62.96</v>
      </c>
      <c r="F5119" s="4">
        <f t="shared" si="299"/>
        <v>23.999999999999993</v>
      </c>
      <c r="G5119" s="5">
        <f t="shared" si="300"/>
        <v>0.27598896044158228</v>
      </c>
      <c r="H5119" s="2" t="s">
        <v>5</v>
      </c>
      <c r="I5119" s="6" t="s">
        <v>2300</v>
      </c>
      <c r="J5119" s="2" t="s">
        <v>5</v>
      </c>
      <c r="K5119" s="2" t="s">
        <v>5</v>
      </c>
      <c r="L5119" s="2" t="s">
        <v>5</v>
      </c>
      <c r="M5119" s="2" t="s">
        <v>5</v>
      </c>
      <c r="N5119" s="4">
        <v>0</v>
      </c>
    </row>
    <row r="5120" spans="1:14" x14ac:dyDescent="0.25">
      <c r="A5120" s="2" t="s">
        <v>158</v>
      </c>
      <c r="B5120" s="2" t="s">
        <v>159</v>
      </c>
      <c r="C5120" s="3">
        <v>20</v>
      </c>
      <c r="D5120" s="4">
        <v>193.6</v>
      </c>
      <c r="E5120" s="4">
        <v>157.4</v>
      </c>
      <c r="F5120" s="4">
        <f t="shared" si="299"/>
        <v>36.199999999999989</v>
      </c>
      <c r="G5120" s="5">
        <f t="shared" si="300"/>
        <v>0.18698347107438013</v>
      </c>
      <c r="H5120" s="2" t="s">
        <v>5</v>
      </c>
      <c r="I5120" s="6" t="s">
        <v>2300</v>
      </c>
      <c r="J5120" s="2" t="s">
        <v>5</v>
      </c>
      <c r="K5120" s="2" t="s">
        <v>5</v>
      </c>
      <c r="L5120" s="2" t="s">
        <v>5</v>
      </c>
      <c r="M5120" s="2" t="s">
        <v>5</v>
      </c>
      <c r="N5120" s="4">
        <v>0</v>
      </c>
    </row>
    <row r="5121" spans="1:14" x14ac:dyDescent="0.25">
      <c r="A5121" s="2" t="s">
        <v>158</v>
      </c>
      <c r="B5121" s="2" t="s">
        <v>159</v>
      </c>
      <c r="C5121" s="3">
        <v>8</v>
      </c>
      <c r="D5121" s="4">
        <v>87.92</v>
      </c>
      <c r="E5121" s="4">
        <v>62.96</v>
      </c>
      <c r="F5121" s="4">
        <f t="shared" si="299"/>
        <v>24.96</v>
      </c>
      <c r="G5121" s="5">
        <f t="shared" si="300"/>
        <v>0.28389444949954507</v>
      </c>
      <c r="H5121" s="2" t="s">
        <v>5</v>
      </c>
      <c r="I5121" s="6" t="s">
        <v>2300</v>
      </c>
      <c r="J5121" s="2" t="s">
        <v>5</v>
      </c>
      <c r="K5121" s="2" t="s">
        <v>5</v>
      </c>
      <c r="L5121" s="2" t="s">
        <v>5</v>
      </c>
      <c r="M5121" s="2" t="s">
        <v>5</v>
      </c>
      <c r="N5121" s="4">
        <v>0</v>
      </c>
    </row>
    <row r="5122" spans="1:14" x14ac:dyDescent="0.25">
      <c r="A5122" s="2" t="s">
        <v>163</v>
      </c>
      <c r="B5122" s="2" t="s">
        <v>164</v>
      </c>
      <c r="C5122" s="3">
        <v>8</v>
      </c>
      <c r="D5122" s="4">
        <v>82.88</v>
      </c>
      <c r="E5122" s="4">
        <v>55.92</v>
      </c>
      <c r="F5122" s="4">
        <f t="shared" si="299"/>
        <v>26.959999999999994</v>
      </c>
      <c r="G5122" s="5">
        <f t="shared" si="300"/>
        <v>0.32528957528957525</v>
      </c>
      <c r="H5122" s="2" t="s">
        <v>5</v>
      </c>
      <c r="I5122" s="6" t="s">
        <v>2300</v>
      </c>
      <c r="J5122" s="2" t="s">
        <v>5</v>
      </c>
      <c r="K5122" s="2" t="s">
        <v>5</v>
      </c>
      <c r="L5122" s="2" t="s">
        <v>5</v>
      </c>
      <c r="M5122" s="2" t="s">
        <v>5</v>
      </c>
      <c r="N5122" s="4">
        <v>0</v>
      </c>
    </row>
    <row r="5123" spans="1:14" x14ac:dyDescent="0.25">
      <c r="A5123" s="2" t="s">
        <v>163</v>
      </c>
      <c r="B5123" s="2" t="s">
        <v>164</v>
      </c>
      <c r="C5123" s="3">
        <v>8</v>
      </c>
      <c r="D5123" s="4">
        <v>82.88</v>
      </c>
      <c r="E5123" s="4">
        <v>55.92</v>
      </c>
      <c r="F5123" s="4">
        <f t="shared" si="299"/>
        <v>26.959999999999994</v>
      </c>
      <c r="G5123" s="5">
        <f t="shared" si="300"/>
        <v>0.32528957528957525</v>
      </c>
      <c r="H5123" s="2" t="s">
        <v>5</v>
      </c>
      <c r="I5123" s="6" t="s">
        <v>2300</v>
      </c>
      <c r="J5123" s="2" t="s">
        <v>5</v>
      </c>
      <c r="K5123" s="2" t="s">
        <v>5</v>
      </c>
      <c r="L5123" s="2" t="s">
        <v>5</v>
      </c>
      <c r="M5123" s="2" t="s">
        <v>5</v>
      </c>
      <c r="N5123" s="4">
        <v>0</v>
      </c>
    </row>
    <row r="5124" spans="1:14" x14ac:dyDescent="0.25">
      <c r="A5124" s="2" t="s">
        <v>163</v>
      </c>
      <c r="B5124" s="2" t="s">
        <v>164</v>
      </c>
      <c r="C5124" s="3">
        <v>8</v>
      </c>
      <c r="D5124" s="4">
        <v>77.44</v>
      </c>
      <c r="E5124" s="4">
        <v>55.92</v>
      </c>
      <c r="F5124" s="4">
        <f t="shared" si="299"/>
        <v>21.519999999999996</v>
      </c>
      <c r="G5124" s="5">
        <f t="shared" si="300"/>
        <v>0.27789256198347101</v>
      </c>
      <c r="H5124" s="2" t="s">
        <v>5</v>
      </c>
      <c r="I5124" s="6" t="s">
        <v>2300</v>
      </c>
      <c r="J5124" s="2" t="s">
        <v>5</v>
      </c>
      <c r="K5124" s="2" t="s">
        <v>5</v>
      </c>
      <c r="L5124" s="2" t="s">
        <v>5</v>
      </c>
      <c r="M5124" s="2" t="s">
        <v>5</v>
      </c>
      <c r="N5124" s="4">
        <v>0</v>
      </c>
    </row>
    <row r="5125" spans="1:14" x14ac:dyDescent="0.25">
      <c r="A5125" s="2" t="s">
        <v>163</v>
      </c>
      <c r="B5125" s="2" t="s">
        <v>164</v>
      </c>
      <c r="C5125" s="3">
        <v>4</v>
      </c>
      <c r="D5125" s="4">
        <v>46.6</v>
      </c>
      <c r="E5125" s="4">
        <v>27.96</v>
      </c>
      <c r="F5125" s="4">
        <f t="shared" si="299"/>
        <v>18.64</v>
      </c>
      <c r="G5125" s="5">
        <f t="shared" si="300"/>
        <v>0.4</v>
      </c>
      <c r="H5125" s="2" t="s">
        <v>5</v>
      </c>
      <c r="I5125" s="6" t="s">
        <v>2300</v>
      </c>
      <c r="J5125" s="2" t="s">
        <v>5</v>
      </c>
      <c r="K5125" s="2" t="s">
        <v>5</v>
      </c>
      <c r="L5125" s="2" t="s">
        <v>5</v>
      </c>
      <c r="M5125" s="2" t="s">
        <v>5</v>
      </c>
      <c r="N5125" s="4">
        <v>0</v>
      </c>
    </row>
    <row r="5126" spans="1:14" x14ac:dyDescent="0.25">
      <c r="A5126" s="2" t="s">
        <v>163</v>
      </c>
      <c r="B5126" s="2" t="s">
        <v>164</v>
      </c>
      <c r="C5126" s="3">
        <v>12</v>
      </c>
      <c r="D5126" s="4">
        <v>124.32</v>
      </c>
      <c r="E5126" s="4">
        <v>83.88</v>
      </c>
      <c r="F5126" s="4">
        <f t="shared" si="299"/>
        <v>40.44</v>
      </c>
      <c r="G5126" s="5">
        <f t="shared" si="300"/>
        <v>0.32528957528957531</v>
      </c>
      <c r="H5126" s="2" t="s">
        <v>5</v>
      </c>
      <c r="I5126" s="6" t="s">
        <v>2300</v>
      </c>
      <c r="J5126" s="2" t="s">
        <v>5</v>
      </c>
      <c r="K5126" s="2" t="s">
        <v>5</v>
      </c>
      <c r="L5126" s="2" t="s">
        <v>5</v>
      </c>
      <c r="M5126" s="2" t="s">
        <v>5</v>
      </c>
      <c r="N5126" s="4">
        <v>0</v>
      </c>
    </row>
    <row r="5127" spans="1:14" x14ac:dyDescent="0.25">
      <c r="A5127" s="2" t="s">
        <v>163</v>
      </c>
      <c r="B5127" s="2" t="s">
        <v>164</v>
      </c>
      <c r="C5127" s="3">
        <v>32</v>
      </c>
      <c r="D5127" s="4">
        <v>331.52</v>
      </c>
      <c r="E5127" s="4">
        <v>223.68</v>
      </c>
      <c r="F5127" s="4">
        <f t="shared" si="299"/>
        <v>107.83999999999997</v>
      </c>
      <c r="G5127" s="5">
        <f t="shared" si="300"/>
        <v>0.32528957528957525</v>
      </c>
      <c r="H5127" s="2" t="s">
        <v>5</v>
      </c>
      <c r="I5127" s="6" t="s">
        <v>2300</v>
      </c>
      <c r="J5127" s="2" t="s">
        <v>5</v>
      </c>
      <c r="K5127" s="2" t="s">
        <v>5</v>
      </c>
      <c r="L5127" s="2" t="s">
        <v>5</v>
      </c>
      <c r="M5127" s="2" t="s">
        <v>5</v>
      </c>
      <c r="N5127" s="4">
        <v>0</v>
      </c>
    </row>
    <row r="5128" spans="1:14" x14ac:dyDescent="0.25">
      <c r="A5128" s="2" t="s">
        <v>163</v>
      </c>
      <c r="B5128" s="2" t="s">
        <v>164</v>
      </c>
      <c r="C5128" s="3">
        <v>4</v>
      </c>
      <c r="D5128" s="4">
        <v>46.6</v>
      </c>
      <c r="E5128" s="4">
        <v>27.96</v>
      </c>
      <c r="F5128" s="4">
        <f t="shared" si="299"/>
        <v>18.64</v>
      </c>
      <c r="G5128" s="5">
        <f t="shared" si="300"/>
        <v>0.4</v>
      </c>
      <c r="H5128" s="2" t="s">
        <v>5</v>
      </c>
      <c r="I5128" s="6" t="s">
        <v>2300</v>
      </c>
      <c r="J5128" s="2" t="s">
        <v>5</v>
      </c>
      <c r="K5128" s="2" t="s">
        <v>5</v>
      </c>
      <c r="L5128" s="2" t="s">
        <v>5</v>
      </c>
      <c r="M5128" s="2" t="s">
        <v>5</v>
      </c>
      <c r="N5128" s="4">
        <v>0</v>
      </c>
    </row>
    <row r="5129" spans="1:14" x14ac:dyDescent="0.25">
      <c r="A5129" s="2" t="s">
        <v>163</v>
      </c>
      <c r="B5129" s="2" t="s">
        <v>164</v>
      </c>
      <c r="C5129" s="3">
        <v>12</v>
      </c>
      <c r="D5129" s="4">
        <v>124.32</v>
      </c>
      <c r="E5129" s="4">
        <v>83.88</v>
      </c>
      <c r="F5129" s="4">
        <f t="shared" si="299"/>
        <v>40.44</v>
      </c>
      <c r="G5129" s="5">
        <f t="shared" si="300"/>
        <v>0.32528957528957531</v>
      </c>
      <c r="H5129" s="2" t="s">
        <v>5</v>
      </c>
      <c r="I5129" s="6" t="s">
        <v>2300</v>
      </c>
      <c r="J5129" s="2" t="s">
        <v>5</v>
      </c>
      <c r="K5129" s="2" t="s">
        <v>5</v>
      </c>
      <c r="L5129" s="2" t="s">
        <v>5</v>
      </c>
      <c r="M5129" s="2" t="s">
        <v>5</v>
      </c>
      <c r="N5129" s="4">
        <v>0</v>
      </c>
    </row>
    <row r="5130" spans="1:14" x14ac:dyDescent="0.25">
      <c r="A5130" s="2" t="s">
        <v>163</v>
      </c>
      <c r="B5130" s="2" t="s">
        <v>164</v>
      </c>
      <c r="C5130" s="3">
        <v>2</v>
      </c>
      <c r="D5130" s="4">
        <v>23.3</v>
      </c>
      <c r="E5130" s="4">
        <v>13.98</v>
      </c>
      <c r="F5130" s="4">
        <f t="shared" si="299"/>
        <v>9.32</v>
      </c>
      <c r="G5130" s="5">
        <f t="shared" si="300"/>
        <v>0.4</v>
      </c>
      <c r="H5130" s="2" t="s">
        <v>5</v>
      </c>
      <c r="I5130" s="6" t="s">
        <v>2300</v>
      </c>
      <c r="J5130" s="2" t="s">
        <v>5</v>
      </c>
      <c r="K5130" s="2" t="s">
        <v>5</v>
      </c>
      <c r="L5130" s="2" t="s">
        <v>5</v>
      </c>
      <c r="M5130" s="2" t="s">
        <v>5</v>
      </c>
      <c r="N5130" s="4">
        <v>0</v>
      </c>
    </row>
    <row r="5131" spans="1:14" x14ac:dyDescent="0.25">
      <c r="A5131" s="2" t="s">
        <v>163</v>
      </c>
      <c r="B5131" s="2" t="s">
        <v>164</v>
      </c>
      <c r="C5131" s="3">
        <v>12</v>
      </c>
      <c r="D5131" s="4">
        <v>124.32</v>
      </c>
      <c r="E5131" s="4">
        <v>83.88</v>
      </c>
      <c r="F5131" s="4">
        <f t="shared" si="299"/>
        <v>40.44</v>
      </c>
      <c r="G5131" s="5">
        <f t="shared" si="300"/>
        <v>0.32528957528957531</v>
      </c>
      <c r="H5131" s="2" t="s">
        <v>5</v>
      </c>
      <c r="I5131" s="6" t="s">
        <v>2300</v>
      </c>
      <c r="J5131" s="2" t="s">
        <v>5</v>
      </c>
      <c r="K5131" s="2" t="s">
        <v>5</v>
      </c>
      <c r="L5131" s="2" t="s">
        <v>5</v>
      </c>
      <c r="M5131" s="2" t="s">
        <v>5</v>
      </c>
      <c r="N5131" s="4">
        <v>0</v>
      </c>
    </row>
    <row r="5132" spans="1:14" x14ac:dyDescent="0.25">
      <c r="A5132" s="2" t="s">
        <v>163</v>
      </c>
      <c r="B5132" s="2" t="s">
        <v>164</v>
      </c>
      <c r="C5132" s="3">
        <v>16</v>
      </c>
      <c r="D5132" s="4">
        <v>165.76</v>
      </c>
      <c r="E5132" s="4">
        <v>111.84</v>
      </c>
      <c r="F5132" s="4">
        <f t="shared" si="299"/>
        <v>53.919999999999987</v>
      </c>
      <c r="G5132" s="5">
        <f t="shared" si="300"/>
        <v>0.32528957528957525</v>
      </c>
      <c r="H5132" s="2" t="s">
        <v>5</v>
      </c>
      <c r="I5132" s="6" t="s">
        <v>2300</v>
      </c>
      <c r="J5132" s="2" t="s">
        <v>5</v>
      </c>
      <c r="K5132" s="2" t="s">
        <v>5</v>
      </c>
      <c r="L5132" s="2" t="s">
        <v>5</v>
      </c>
      <c r="M5132" s="2" t="s">
        <v>5</v>
      </c>
      <c r="N5132" s="4">
        <v>0</v>
      </c>
    </row>
    <row r="5133" spans="1:14" x14ac:dyDescent="0.25">
      <c r="A5133" s="2" t="s">
        <v>49</v>
      </c>
      <c r="B5133" s="2" t="s">
        <v>50</v>
      </c>
      <c r="C5133" s="3">
        <v>2</v>
      </c>
      <c r="D5133" s="4">
        <v>37.22</v>
      </c>
      <c r="E5133" s="4">
        <v>22.06</v>
      </c>
      <c r="F5133" s="4">
        <f t="shared" si="299"/>
        <v>15.16</v>
      </c>
      <c r="G5133" s="5">
        <f t="shared" si="300"/>
        <v>0.40730789897904351</v>
      </c>
      <c r="H5133" s="2" t="s">
        <v>5</v>
      </c>
      <c r="I5133" s="6" t="s">
        <v>2300</v>
      </c>
      <c r="J5133" s="2" t="s">
        <v>5</v>
      </c>
      <c r="K5133" s="2" t="s">
        <v>5</v>
      </c>
      <c r="L5133" s="2" t="s">
        <v>5</v>
      </c>
      <c r="M5133" s="2" t="s">
        <v>5</v>
      </c>
      <c r="N5133" s="4">
        <v>0</v>
      </c>
    </row>
    <row r="5134" spans="1:14" x14ac:dyDescent="0.25">
      <c r="A5134" s="2" t="s">
        <v>49</v>
      </c>
      <c r="B5134" s="2" t="s">
        <v>50</v>
      </c>
      <c r="C5134" s="3">
        <v>4</v>
      </c>
      <c r="D5134" s="4">
        <v>74.44</v>
      </c>
      <c r="E5134" s="4">
        <v>44.12</v>
      </c>
      <c r="F5134" s="4">
        <f t="shared" si="299"/>
        <v>30.32</v>
      </c>
      <c r="G5134" s="5">
        <f t="shared" si="300"/>
        <v>0.40730789897904351</v>
      </c>
      <c r="H5134" s="2" t="s">
        <v>5</v>
      </c>
      <c r="I5134" s="6" t="s">
        <v>2300</v>
      </c>
      <c r="J5134" s="2" t="s">
        <v>5</v>
      </c>
      <c r="K5134" s="2" t="s">
        <v>5</v>
      </c>
      <c r="L5134" s="2" t="s">
        <v>5</v>
      </c>
      <c r="M5134" s="2" t="s">
        <v>5</v>
      </c>
      <c r="N5134" s="4">
        <v>0</v>
      </c>
    </row>
    <row r="5135" spans="1:14" x14ac:dyDescent="0.25">
      <c r="A5135" s="2" t="s">
        <v>49</v>
      </c>
      <c r="B5135" s="2" t="s">
        <v>50</v>
      </c>
      <c r="C5135" s="3">
        <v>7</v>
      </c>
      <c r="D5135" s="4">
        <v>130.27000000000001</v>
      </c>
      <c r="E5135" s="4">
        <v>77.209999999999994</v>
      </c>
      <c r="F5135" s="4">
        <f t="shared" si="299"/>
        <v>53.060000000000016</v>
      </c>
      <c r="G5135" s="5">
        <f t="shared" si="300"/>
        <v>0.40730789897904363</v>
      </c>
      <c r="H5135" s="2" t="s">
        <v>5</v>
      </c>
      <c r="I5135" s="6" t="s">
        <v>2300</v>
      </c>
      <c r="J5135" s="2" t="s">
        <v>5</v>
      </c>
      <c r="K5135" s="2" t="s">
        <v>5</v>
      </c>
      <c r="L5135" s="2" t="s">
        <v>5</v>
      </c>
      <c r="M5135" s="2" t="s">
        <v>5</v>
      </c>
      <c r="N5135" s="4">
        <v>0</v>
      </c>
    </row>
    <row r="5136" spans="1:14" x14ac:dyDescent="0.25">
      <c r="A5136" s="2" t="s">
        <v>49</v>
      </c>
      <c r="B5136" s="2" t="s">
        <v>50</v>
      </c>
      <c r="C5136" s="3">
        <v>8</v>
      </c>
      <c r="D5136" s="4">
        <v>115.76</v>
      </c>
      <c r="E5136" s="4">
        <v>88.24</v>
      </c>
      <c r="F5136" s="4">
        <f t="shared" si="299"/>
        <v>27.52000000000001</v>
      </c>
      <c r="G5136" s="5">
        <f t="shared" si="300"/>
        <v>0.23773324118866629</v>
      </c>
      <c r="H5136" s="2" t="s">
        <v>5</v>
      </c>
      <c r="I5136" s="6" t="s">
        <v>2300</v>
      </c>
      <c r="J5136" s="2" t="s">
        <v>5</v>
      </c>
      <c r="K5136" s="2" t="s">
        <v>5</v>
      </c>
      <c r="L5136" s="2" t="s">
        <v>5</v>
      </c>
      <c r="M5136" s="2" t="s">
        <v>5</v>
      </c>
      <c r="N5136" s="4">
        <v>0</v>
      </c>
    </row>
    <row r="5137" spans="1:14" x14ac:dyDescent="0.25">
      <c r="A5137" s="2" t="s">
        <v>49</v>
      </c>
      <c r="B5137" s="2" t="s">
        <v>50</v>
      </c>
      <c r="C5137" s="3">
        <v>16</v>
      </c>
      <c r="D5137" s="4">
        <v>307.68</v>
      </c>
      <c r="E5137" s="4">
        <v>176.48</v>
      </c>
      <c r="F5137" s="4">
        <f t="shared" si="299"/>
        <v>131.20000000000002</v>
      </c>
      <c r="G5137" s="5">
        <f t="shared" si="300"/>
        <v>0.42641705668226731</v>
      </c>
      <c r="H5137" s="2" t="s">
        <v>5</v>
      </c>
      <c r="I5137" s="6" t="s">
        <v>2300</v>
      </c>
      <c r="J5137" s="2" t="s">
        <v>5</v>
      </c>
      <c r="K5137" s="2" t="s">
        <v>5</v>
      </c>
      <c r="L5137" s="2" t="s">
        <v>5</v>
      </c>
      <c r="M5137" s="2" t="s">
        <v>5</v>
      </c>
      <c r="N5137" s="4">
        <v>0</v>
      </c>
    </row>
    <row r="5138" spans="1:14" x14ac:dyDescent="0.25">
      <c r="A5138" s="2" t="s">
        <v>49</v>
      </c>
      <c r="B5138" s="2" t="s">
        <v>50</v>
      </c>
      <c r="C5138" s="3">
        <v>1</v>
      </c>
      <c r="D5138" s="4">
        <v>13.91</v>
      </c>
      <c r="E5138" s="4">
        <v>11.03</v>
      </c>
      <c r="F5138" s="4">
        <f t="shared" si="299"/>
        <v>2.8800000000000008</v>
      </c>
      <c r="G5138" s="5">
        <f t="shared" si="300"/>
        <v>0.20704529115744075</v>
      </c>
      <c r="H5138" s="2" t="s">
        <v>5</v>
      </c>
      <c r="I5138" s="6" t="s">
        <v>2300</v>
      </c>
      <c r="J5138" s="2" t="s">
        <v>5</v>
      </c>
      <c r="K5138" s="2" t="s">
        <v>5</v>
      </c>
      <c r="L5138" s="2" t="s">
        <v>5</v>
      </c>
      <c r="M5138" s="2" t="s">
        <v>5</v>
      </c>
      <c r="N5138" s="4">
        <v>0</v>
      </c>
    </row>
    <row r="5139" spans="1:14" x14ac:dyDescent="0.25">
      <c r="A5139" s="2" t="s">
        <v>49</v>
      </c>
      <c r="B5139" s="2" t="s">
        <v>50</v>
      </c>
      <c r="C5139" s="3">
        <v>8</v>
      </c>
      <c r="D5139" s="4">
        <v>153.84</v>
      </c>
      <c r="E5139" s="4">
        <v>88.24</v>
      </c>
      <c r="F5139" s="4">
        <f t="shared" si="299"/>
        <v>65.600000000000009</v>
      </c>
      <c r="G5139" s="5">
        <f t="shared" si="300"/>
        <v>0.42641705668226731</v>
      </c>
      <c r="H5139" s="2" t="s">
        <v>5</v>
      </c>
      <c r="I5139" s="6" t="s">
        <v>2300</v>
      </c>
      <c r="J5139" s="2" t="s">
        <v>5</v>
      </c>
      <c r="K5139" s="2" t="s">
        <v>5</v>
      </c>
      <c r="L5139" s="2" t="s">
        <v>5</v>
      </c>
      <c r="M5139" s="2" t="s">
        <v>5</v>
      </c>
      <c r="N5139" s="4">
        <v>0</v>
      </c>
    </row>
    <row r="5140" spans="1:14" x14ac:dyDescent="0.25">
      <c r="A5140" s="2" t="s">
        <v>49</v>
      </c>
      <c r="B5140" s="2" t="s">
        <v>50</v>
      </c>
      <c r="C5140" s="3">
        <v>8</v>
      </c>
      <c r="D5140" s="4">
        <v>148.88</v>
      </c>
      <c r="E5140" s="4">
        <v>88.24</v>
      </c>
      <c r="F5140" s="4">
        <f t="shared" si="299"/>
        <v>60.64</v>
      </c>
      <c r="G5140" s="5">
        <f t="shared" si="300"/>
        <v>0.40730789897904351</v>
      </c>
      <c r="H5140" s="2" t="s">
        <v>5</v>
      </c>
      <c r="I5140" s="6" t="s">
        <v>2300</v>
      </c>
      <c r="J5140" s="2" t="s">
        <v>5</v>
      </c>
      <c r="K5140" s="2" t="s">
        <v>5</v>
      </c>
      <c r="L5140" s="2" t="s">
        <v>5</v>
      </c>
      <c r="M5140" s="2" t="s">
        <v>5</v>
      </c>
      <c r="N5140" s="4">
        <v>0</v>
      </c>
    </row>
    <row r="5141" spans="1:14" x14ac:dyDescent="0.25">
      <c r="A5141" s="2" t="s">
        <v>49</v>
      </c>
      <c r="B5141" s="2" t="s">
        <v>50</v>
      </c>
      <c r="C5141" s="3">
        <v>2</v>
      </c>
      <c r="D5141" s="4">
        <v>37.22</v>
      </c>
      <c r="E5141" s="4">
        <v>22.06</v>
      </c>
      <c r="F5141" s="4">
        <f t="shared" si="299"/>
        <v>15.16</v>
      </c>
      <c r="G5141" s="5">
        <f t="shared" si="300"/>
        <v>0.40730789897904351</v>
      </c>
      <c r="H5141" s="2" t="s">
        <v>5</v>
      </c>
      <c r="I5141" s="6" t="s">
        <v>2300</v>
      </c>
      <c r="J5141" s="2" t="s">
        <v>5</v>
      </c>
      <c r="K5141" s="2" t="s">
        <v>5</v>
      </c>
      <c r="L5141" s="2" t="s">
        <v>5</v>
      </c>
      <c r="M5141" s="2" t="s">
        <v>5</v>
      </c>
      <c r="N5141" s="4">
        <v>0</v>
      </c>
    </row>
    <row r="5142" spans="1:14" x14ac:dyDescent="0.25">
      <c r="A5142" s="2" t="s">
        <v>49</v>
      </c>
      <c r="B5142" s="2" t="s">
        <v>50</v>
      </c>
      <c r="C5142" s="3">
        <v>8</v>
      </c>
      <c r="D5142" s="4">
        <v>148.88</v>
      </c>
      <c r="E5142" s="4">
        <v>88.24</v>
      </c>
      <c r="F5142" s="4">
        <f t="shared" si="299"/>
        <v>60.64</v>
      </c>
      <c r="G5142" s="5">
        <f t="shared" si="300"/>
        <v>0.40730789897904351</v>
      </c>
      <c r="H5142" s="2" t="s">
        <v>5</v>
      </c>
      <c r="I5142" s="6" t="s">
        <v>2300</v>
      </c>
      <c r="J5142" s="2" t="s">
        <v>5</v>
      </c>
      <c r="K5142" s="2" t="s">
        <v>5</v>
      </c>
      <c r="L5142" s="2" t="s">
        <v>5</v>
      </c>
      <c r="M5142" s="2" t="s">
        <v>5</v>
      </c>
      <c r="N5142" s="4">
        <v>0</v>
      </c>
    </row>
    <row r="5143" spans="1:14" x14ac:dyDescent="0.25">
      <c r="A5143" s="2" t="s">
        <v>49</v>
      </c>
      <c r="B5143" s="2" t="s">
        <v>50</v>
      </c>
      <c r="C5143" s="3">
        <v>2</v>
      </c>
      <c r="D5143" s="4">
        <v>37.22</v>
      </c>
      <c r="E5143" s="4">
        <v>22.06</v>
      </c>
      <c r="F5143" s="4">
        <f t="shared" si="299"/>
        <v>15.16</v>
      </c>
      <c r="G5143" s="5">
        <f t="shared" si="300"/>
        <v>0.40730789897904351</v>
      </c>
      <c r="H5143" s="2" t="s">
        <v>5</v>
      </c>
      <c r="I5143" s="6" t="s">
        <v>2300</v>
      </c>
      <c r="J5143" s="2" t="s">
        <v>5</v>
      </c>
      <c r="K5143" s="2" t="s">
        <v>5</v>
      </c>
      <c r="L5143" s="2" t="s">
        <v>5</v>
      </c>
      <c r="M5143" s="2" t="s">
        <v>5</v>
      </c>
      <c r="N5143" s="4">
        <v>0</v>
      </c>
    </row>
    <row r="5144" spans="1:14" x14ac:dyDescent="0.25">
      <c r="A5144" s="2" t="s">
        <v>49</v>
      </c>
      <c r="B5144" s="2" t="s">
        <v>50</v>
      </c>
      <c r="C5144" s="3">
        <v>24</v>
      </c>
      <c r="D5144" s="4">
        <v>461.52</v>
      </c>
      <c r="E5144" s="4">
        <v>264.72000000000003</v>
      </c>
      <c r="F5144" s="4">
        <f t="shared" si="299"/>
        <v>196.79999999999995</v>
      </c>
      <c r="G5144" s="5">
        <f t="shared" si="300"/>
        <v>0.4264170566822672</v>
      </c>
      <c r="H5144" s="2" t="s">
        <v>5</v>
      </c>
      <c r="I5144" s="6" t="s">
        <v>2300</v>
      </c>
      <c r="J5144" s="2" t="s">
        <v>5</v>
      </c>
      <c r="K5144" s="2" t="s">
        <v>5</v>
      </c>
      <c r="L5144" s="2" t="s">
        <v>5</v>
      </c>
      <c r="M5144" s="2" t="s">
        <v>5</v>
      </c>
      <c r="N5144" s="4">
        <v>0</v>
      </c>
    </row>
    <row r="5145" spans="1:14" x14ac:dyDescent="0.25">
      <c r="A5145" s="2" t="s">
        <v>49</v>
      </c>
      <c r="B5145" s="2" t="s">
        <v>50</v>
      </c>
      <c r="C5145" s="3">
        <v>8</v>
      </c>
      <c r="D5145" s="4">
        <v>115.76</v>
      </c>
      <c r="E5145" s="4">
        <v>88.24</v>
      </c>
      <c r="F5145" s="4">
        <f t="shared" si="299"/>
        <v>27.52000000000001</v>
      </c>
      <c r="G5145" s="5">
        <f t="shared" si="300"/>
        <v>0.23773324118866629</v>
      </c>
      <c r="H5145" s="2" t="s">
        <v>5</v>
      </c>
      <c r="I5145" s="6" t="s">
        <v>2300</v>
      </c>
      <c r="J5145" s="2" t="s">
        <v>5</v>
      </c>
      <c r="K5145" s="2" t="s">
        <v>5</v>
      </c>
      <c r="L5145" s="2" t="s">
        <v>5</v>
      </c>
      <c r="M5145" s="2" t="s">
        <v>5</v>
      </c>
      <c r="N5145" s="4">
        <v>0</v>
      </c>
    </row>
    <row r="5146" spans="1:14" x14ac:dyDescent="0.25">
      <c r="A5146" s="2" t="s">
        <v>1994</v>
      </c>
      <c r="B5146" s="2" t="s">
        <v>1995</v>
      </c>
      <c r="C5146" s="3">
        <v>16.22</v>
      </c>
      <c r="D5146" s="4">
        <v>261.62860000000001</v>
      </c>
      <c r="E5146" s="4">
        <v>202.75</v>
      </c>
      <c r="F5146" s="4">
        <f t="shared" si="299"/>
        <v>58.878600000000006</v>
      </c>
      <c r="G5146" s="5">
        <f t="shared" si="300"/>
        <v>0.2250464972101674</v>
      </c>
      <c r="H5146" s="2" t="s">
        <v>5</v>
      </c>
      <c r="I5146" s="6" t="s">
        <v>2300</v>
      </c>
      <c r="J5146" s="2" t="s">
        <v>5</v>
      </c>
      <c r="K5146" s="2" t="s">
        <v>5</v>
      </c>
      <c r="L5146" s="2" t="s">
        <v>5</v>
      </c>
      <c r="M5146" s="2" t="s">
        <v>5</v>
      </c>
      <c r="N5146" s="4">
        <v>0</v>
      </c>
    </row>
    <row r="5147" spans="1:14" x14ac:dyDescent="0.25">
      <c r="A5147" s="2" t="s">
        <v>1994</v>
      </c>
      <c r="B5147" s="2" t="s">
        <v>1995</v>
      </c>
      <c r="C5147" s="3">
        <v>35.5</v>
      </c>
      <c r="D5147" s="4">
        <v>572.61500000000001</v>
      </c>
      <c r="E5147" s="4">
        <v>443.75</v>
      </c>
      <c r="F5147" s="4">
        <f t="shared" si="299"/>
        <v>128.86500000000001</v>
      </c>
      <c r="G5147" s="5">
        <f t="shared" si="300"/>
        <v>0.2250464972101674</v>
      </c>
      <c r="H5147" s="2" t="s">
        <v>5</v>
      </c>
      <c r="I5147" s="6" t="s">
        <v>2300</v>
      </c>
      <c r="J5147" s="2" t="s">
        <v>5</v>
      </c>
      <c r="K5147" s="2" t="s">
        <v>5</v>
      </c>
      <c r="L5147" s="2" t="s">
        <v>5</v>
      </c>
      <c r="M5147" s="2" t="s">
        <v>5</v>
      </c>
      <c r="N5147" s="4">
        <v>0</v>
      </c>
    </row>
    <row r="5148" spans="1:14" x14ac:dyDescent="0.25">
      <c r="A5148" s="2" t="s">
        <v>1994</v>
      </c>
      <c r="B5148" s="2" t="s">
        <v>1995</v>
      </c>
      <c r="C5148" s="3">
        <v>56.24</v>
      </c>
      <c r="D5148" s="4">
        <v>907.15120000000002</v>
      </c>
      <c r="E5148" s="4">
        <v>703</v>
      </c>
      <c r="F5148" s="4">
        <f t="shared" si="299"/>
        <v>204.15120000000002</v>
      </c>
      <c r="G5148" s="5">
        <f t="shared" si="300"/>
        <v>0.2250464972101674</v>
      </c>
      <c r="H5148" s="2" t="s">
        <v>5</v>
      </c>
      <c r="I5148" s="6" t="s">
        <v>2300</v>
      </c>
      <c r="J5148" s="2" t="s">
        <v>5</v>
      </c>
      <c r="K5148" s="2" t="s">
        <v>5</v>
      </c>
      <c r="L5148" s="2" t="s">
        <v>5</v>
      </c>
      <c r="M5148" s="2" t="s">
        <v>5</v>
      </c>
      <c r="N5148" s="4">
        <v>0</v>
      </c>
    </row>
    <row r="5149" spans="1:14" x14ac:dyDescent="0.25">
      <c r="A5149" s="2" t="s">
        <v>709</v>
      </c>
      <c r="B5149" s="2" t="s">
        <v>710</v>
      </c>
      <c r="C5149" s="3">
        <v>8.34</v>
      </c>
      <c r="D5149" s="4">
        <v>118.3446</v>
      </c>
      <c r="E5149" s="4">
        <v>86.319000000000003</v>
      </c>
      <c r="F5149" s="4">
        <f t="shared" si="299"/>
        <v>32.025599999999997</v>
      </c>
      <c r="G5149" s="5">
        <f t="shared" si="300"/>
        <v>0.2706131078224101</v>
      </c>
      <c r="H5149" s="2" t="s">
        <v>5</v>
      </c>
      <c r="I5149" s="6" t="s">
        <v>2300</v>
      </c>
      <c r="J5149" s="2" t="s">
        <v>5</v>
      </c>
      <c r="K5149" s="2" t="s">
        <v>5</v>
      </c>
      <c r="L5149" s="2" t="s">
        <v>5</v>
      </c>
      <c r="M5149" s="2" t="s">
        <v>5</v>
      </c>
      <c r="N5149" s="4">
        <v>0</v>
      </c>
    </row>
    <row r="5150" spans="1:14" x14ac:dyDescent="0.25">
      <c r="A5150" s="2" t="s">
        <v>709</v>
      </c>
      <c r="B5150" s="2" t="s">
        <v>710</v>
      </c>
      <c r="C5150" s="3">
        <v>15.6</v>
      </c>
      <c r="D5150" s="4">
        <v>219.33600000000001</v>
      </c>
      <c r="E5150" s="4">
        <v>161.46</v>
      </c>
      <c r="F5150" s="4">
        <f t="shared" si="299"/>
        <v>57.876000000000005</v>
      </c>
      <c r="G5150" s="5">
        <f t="shared" si="300"/>
        <v>0.26386913229018494</v>
      </c>
      <c r="H5150" s="2" t="s">
        <v>5</v>
      </c>
      <c r="I5150" s="6" t="s">
        <v>2300</v>
      </c>
      <c r="J5150" s="2" t="s">
        <v>5</v>
      </c>
      <c r="K5150" s="2" t="s">
        <v>5</v>
      </c>
      <c r="L5150" s="2" t="s">
        <v>5</v>
      </c>
      <c r="M5150" s="2" t="s">
        <v>5</v>
      </c>
      <c r="N5150" s="4">
        <v>0</v>
      </c>
    </row>
    <row r="5151" spans="1:14" x14ac:dyDescent="0.25">
      <c r="A5151" s="2" t="s">
        <v>709</v>
      </c>
      <c r="B5151" s="2" t="s">
        <v>710</v>
      </c>
      <c r="C5151" s="3">
        <v>10.4</v>
      </c>
      <c r="D5151" s="4">
        <v>148.19999999999999</v>
      </c>
      <c r="E5151" s="4">
        <v>107.64</v>
      </c>
      <c r="F5151" s="4">
        <f t="shared" si="299"/>
        <v>40.559999999999988</v>
      </c>
      <c r="G5151" s="5">
        <f t="shared" si="300"/>
        <v>0.27368421052631575</v>
      </c>
      <c r="H5151" s="2" t="s">
        <v>5</v>
      </c>
      <c r="I5151" s="6" t="s">
        <v>2300</v>
      </c>
      <c r="J5151" s="2" t="s">
        <v>5</v>
      </c>
      <c r="K5151" s="2" t="s">
        <v>5</v>
      </c>
      <c r="L5151" s="2" t="s">
        <v>5</v>
      </c>
      <c r="M5151" s="2" t="s">
        <v>5</v>
      </c>
      <c r="N5151" s="4">
        <v>0</v>
      </c>
    </row>
    <row r="5152" spans="1:14" x14ac:dyDescent="0.25">
      <c r="A5152" s="2" t="s">
        <v>709</v>
      </c>
      <c r="B5152" s="2" t="s">
        <v>710</v>
      </c>
      <c r="C5152" s="3">
        <v>8.3249999999999993</v>
      </c>
      <c r="D5152" s="4">
        <v>118.63124999999999</v>
      </c>
      <c r="E5152" s="4">
        <v>86.163749999999993</v>
      </c>
      <c r="F5152" s="4">
        <f t="shared" si="299"/>
        <v>32.467500000000001</v>
      </c>
      <c r="G5152" s="5">
        <f t="shared" si="300"/>
        <v>0.27368421052631581</v>
      </c>
      <c r="H5152" s="2" t="s">
        <v>5</v>
      </c>
      <c r="I5152" s="6" t="s">
        <v>2300</v>
      </c>
      <c r="J5152" s="2" t="s">
        <v>5</v>
      </c>
      <c r="K5152" s="2" t="s">
        <v>5</v>
      </c>
      <c r="L5152" s="2" t="s">
        <v>5</v>
      </c>
      <c r="M5152" s="2" t="s">
        <v>5</v>
      </c>
      <c r="N5152" s="4">
        <v>0</v>
      </c>
    </row>
    <row r="5153" spans="1:14" x14ac:dyDescent="0.25">
      <c r="A5153" s="2" t="s">
        <v>709</v>
      </c>
      <c r="B5153" s="2" t="s">
        <v>710</v>
      </c>
      <c r="C5153" s="3">
        <v>8.9930000000000003</v>
      </c>
      <c r="D5153" s="4">
        <v>128.15025</v>
      </c>
      <c r="E5153" s="4">
        <v>93.077550000000002</v>
      </c>
      <c r="F5153" s="4">
        <f t="shared" ref="F5153:F5216" si="301">D5153-E5153</f>
        <v>35.072699999999998</v>
      </c>
      <c r="G5153" s="5">
        <f t="shared" ref="G5153:G5216" si="302">IF(((D5153)=0),0,(D5153-E5153)/ D5153)</f>
        <v>0.27368421052631575</v>
      </c>
      <c r="H5153" s="2" t="s">
        <v>5</v>
      </c>
      <c r="I5153" s="6" t="s">
        <v>2300</v>
      </c>
      <c r="J5153" s="2" t="s">
        <v>5</v>
      </c>
      <c r="K5153" s="2" t="s">
        <v>5</v>
      </c>
      <c r="L5153" s="2" t="s">
        <v>5</v>
      </c>
      <c r="M5153" s="2" t="s">
        <v>5</v>
      </c>
      <c r="N5153" s="4">
        <v>0</v>
      </c>
    </row>
    <row r="5154" spans="1:14" x14ac:dyDescent="0.25">
      <c r="A5154" s="2" t="s">
        <v>709</v>
      </c>
      <c r="B5154" s="2" t="s">
        <v>710</v>
      </c>
      <c r="C5154" s="3">
        <v>5.2</v>
      </c>
      <c r="D5154" s="4">
        <v>73.424000000000007</v>
      </c>
      <c r="E5154" s="4">
        <v>53.82</v>
      </c>
      <c r="F5154" s="4">
        <f t="shared" si="301"/>
        <v>19.604000000000006</v>
      </c>
      <c r="G5154" s="5">
        <f t="shared" si="302"/>
        <v>0.26699716713881028</v>
      </c>
      <c r="H5154" s="2" t="s">
        <v>5</v>
      </c>
      <c r="I5154" s="6" t="s">
        <v>2300</v>
      </c>
      <c r="J5154" s="2" t="s">
        <v>5</v>
      </c>
      <c r="K5154" s="2" t="s">
        <v>5</v>
      </c>
      <c r="L5154" s="2" t="s">
        <v>5</v>
      </c>
      <c r="M5154" s="2" t="s">
        <v>5</v>
      </c>
      <c r="N5154" s="4">
        <v>0</v>
      </c>
    </row>
    <row r="5155" spans="1:14" x14ac:dyDescent="0.25">
      <c r="A5155" s="2" t="s">
        <v>709</v>
      </c>
      <c r="B5155" s="2" t="s">
        <v>710</v>
      </c>
      <c r="C5155" s="3">
        <v>8.3849999999999998</v>
      </c>
      <c r="D5155" s="4">
        <v>119.48625</v>
      </c>
      <c r="E5155" s="4">
        <v>86.784750000000003</v>
      </c>
      <c r="F5155" s="4">
        <f t="shared" si="301"/>
        <v>32.701499999999996</v>
      </c>
      <c r="G5155" s="5">
        <f t="shared" si="302"/>
        <v>0.27368421052631575</v>
      </c>
      <c r="H5155" s="2" t="s">
        <v>5</v>
      </c>
      <c r="I5155" s="6" t="s">
        <v>2300</v>
      </c>
      <c r="J5155" s="2" t="s">
        <v>5</v>
      </c>
      <c r="K5155" s="2" t="s">
        <v>5</v>
      </c>
      <c r="L5155" s="2" t="s">
        <v>5</v>
      </c>
      <c r="M5155" s="2" t="s">
        <v>5</v>
      </c>
      <c r="N5155" s="4">
        <v>0</v>
      </c>
    </row>
    <row r="5156" spans="1:14" x14ac:dyDescent="0.25">
      <c r="A5156" s="2" t="s">
        <v>709</v>
      </c>
      <c r="B5156" s="2" t="s">
        <v>710</v>
      </c>
      <c r="C5156" s="3">
        <v>10.4</v>
      </c>
      <c r="D5156" s="4">
        <v>148.19999999999999</v>
      </c>
      <c r="E5156" s="4">
        <v>107.64</v>
      </c>
      <c r="F5156" s="4">
        <f t="shared" si="301"/>
        <v>40.559999999999988</v>
      </c>
      <c r="G5156" s="5">
        <f t="shared" si="302"/>
        <v>0.27368421052631575</v>
      </c>
      <c r="H5156" s="2" t="s">
        <v>5</v>
      </c>
      <c r="I5156" s="6" t="s">
        <v>2300</v>
      </c>
      <c r="J5156" s="2" t="s">
        <v>5</v>
      </c>
      <c r="K5156" s="2" t="s">
        <v>5</v>
      </c>
      <c r="L5156" s="2" t="s">
        <v>5</v>
      </c>
      <c r="M5156" s="2" t="s">
        <v>5</v>
      </c>
      <c r="N5156" s="4">
        <v>0</v>
      </c>
    </row>
    <row r="5157" spans="1:14" x14ac:dyDescent="0.25">
      <c r="A5157" s="2" t="s">
        <v>120</v>
      </c>
      <c r="B5157" s="2" t="s">
        <v>121</v>
      </c>
      <c r="C5157" s="3">
        <v>11.22</v>
      </c>
      <c r="D5157" s="4">
        <v>538.3356</v>
      </c>
      <c r="E5157" s="4">
        <v>436.45800000000003</v>
      </c>
      <c r="F5157" s="4">
        <f t="shared" si="301"/>
        <v>101.87759999999997</v>
      </c>
      <c r="G5157" s="5">
        <f t="shared" si="302"/>
        <v>0.18924551896623587</v>
      </c>
      <c r="H5157" s="2" t="s">
        <v>5</v>
      </c>
      <c r="I5157" s="6" t="s">
        <v>2300</v>
      </c>
      <c r="J5157" s="2" t="s">
        <v>5</v>
      </c>
      <c r="K5157" s="2" t="s">
        <v>5</v>
      </c>
      <c r="L5157" s="2" t="s">
        <v>5</v>
      </c>
      <c r="M5157" s="2" t="s">
        <v>5</v>
      </c>
      <c r="N5157" s="4">
        <v>0</v>
      </c>
    </row>
    <row r="5158" spans="1:14" x14ac:dyDescent="0.25">
      <c r="A5158" s="2" t="s">
        <v>120</v>
      </c>
      <c r="B5158" s="2" t="s">
        <v>121</v>
      </c>
      <c r="C5158" s="3">
        <v>5.6639999999999997</v>
      </c>
      <c r="D5158" s="4">
        <v>271.75871999999998</v>
      </c>
      <c r="E5158" s="4">
        <v>220.3296</v>
      </c>
      <c r="F5158" s="4">
        <f t="shared" si="301"/>
        <v>51.429119999999983</v>
      </c>
      <c r="G5158" s="5">
        <f t="shared" si="302"/>
        <v>0.18924551896623587</v>
      </c>
      <c r="H5158" s="2" t="s">
        <v>5</v>
      </c>
      <c r="I5158" s="6" t="s">
        <v>2300</v>
      </c>
      <c r="J5158" s="2" t="s">
        <v>5</v>
      </c>
      <c r="K5158" s="2" t="s">
        <v>5</v>
      </c>
      <c r="L5158" s="2" t="s">
        <v>5</v>
      </c>
      <c r="M5158" s="2" t="s">
        <v>5</v>
      </c>
      <c r="N5158" s="4">
        <v>0</v>
      </c>
    </row>
    <row r="5159" spans="1:14" x14ac:dyDescent="0.25">
      <c r="A5159" s="2" t="s">
        <v>120</v>
      </c>
      <c r="B5159" s="2" t="s">
        <v>121</v>
      </c>
      <c r="C5159" s="3">
        <v>5.78</v>
      </c>
      <c r="D5159" s="4">
        <v>277.32440000000003</v>
      </c>
      <c r="E5159" s="4">
        <v>224.84200000000001</v>
      </c>
      <c r="F5159" s="4">
        <f t="shared" si="301"/>
        <v>52.482400000000013</v>
      </c>
      <c r="G5159" s="5">
        <f t="shared" si="302"/>
        <v>0.18924551896623595</v>
      </c>
      <c r="H5159" s="2" t="s">
        <v>5</v>
      </c>
      <c r="I5159" s="6" t="s">
        <v>2300</v>
      </c>
      <c r="J5159" s="2" t="s">
        <v>5</v>
      </c>
      <c r="K5159" s="2" t="s">
        <v>5</v>
      </c>
      <c r="L5159" s="2" t="s">
        <v>5</v>
      </c>
      <c r="M5159" s="2" t="s">
        <v>5</v>
      </c>
      <c r="N5159" s="4">
        <v>0</v>
      </c>
    </row>
    <row r="5160" spans="1:14" x14ac:dyDescent="0.25">
      <c r="A5160" s="2" t="s">
        <v>1340</v>
      </c>
      <c r="B5160" s="2" t="s">
        <v>1341</v>
      </c>
      <c r="C5160" s="3">
        <v>4.1779999999999999</v>
      </c>
      <c r="D5160" s="4">
        <v>132.56793999999999</v>
      </c>
      <c r="E5160" s="4">
        <v>112.3882</v>
      </c>
      <c r="F5160" s="4">
        <f t="shared" si="301"/>
        <v>20.179739999999995</v>
      </c>
      <c r="G5160" s="5">
        <f t="shared" si="302"/>
        <v>0.1522218720453829</v>
      </c>
      <c r="H5160" s="2" t="s">
        <v>5</v>
      </c>
      <c r="I5160" s="6" t="s">
        <v>2300</v>
      </c>
      <c r="J5160" s="2" t="s">
        <v>5</v>
      </c>
      <c r="K5160" s="2" t="s">
        <v>5</v>
      </c>
      <c r="L5160" s="2" t="s">
        <v>5</v>
      </c>
      <c r="M5160" s="2" t="s">
        <v>5</v>
      </c>
      <c r="N5160" s="4">
        <v>0</v>
      </c>
    </row>
    <row r="5161" spans="1:14" x14ac:dyDescent="0.25">
      <c r="A5161" s="2" t="s">
        <v>1340</v>
      </c>
      <c r="B5161" s="2" t="s">
        <v>1341</v>
      </c>
      <c r="C5161" s="3">
        <v>8.0150000000000006</v>
      </c>
      <c r="D5161" s="4">
        <v>254.31594999999999</v>
      </c>
      <c r="E5161" s="4">
        <v>215.6035</v>
      </c>
      <c r="F5161" s="4">
        <f t="shared" si="301"/>
        <v>38.71244999999999</v>
      </c>
      <c r="G5161" s="5">
        <f t="shared" si="302"/>
        <v>0.1522218720453829</v>
      </c>
      <c r="H5161" s="2" t="s">
        <v>5</v>
      </c>
      <c r="I5161" s="6" t="s">
        <v>2300</v>
      </c>
      <c r="J5161" s="2" t="s">
        <v>5</v>
      </c>
      <c r="K5161" s="2" t="s">
        <v>5</v>
      </c>
      <c r="L5161" s="2" t="s">
        <v>5</v>
      </c>
      <c r="M5161" s="2" t="s">
        <v>5</v>
      </c>
      <c r="N5161" s="4">
        <v>0</v>
      </c>
    </row>
    <row r="5162" spans="1:14" x14ac:dyDescent="0.25">
      <c r="A5162" s="2" t="s">
        <v>246</v>
      </c>
      <c r="B5162" s="2" t="s">
        <v>247</v>
      </c>
      <c r="C5162" s="3">
        <v>32</v>
      </c>
      <c r="D5162" s="4">
        <v>688.96</v>
      </c>
      <c r="E5162" s="4">
        <v>520</v>
      </c>
      <c r="F5162" s="4">
        <f t="shared" si="301"/>
        <v>168.96000000000004</v>
      </c>
      <c r="G5162" s="5">
        <f t="shared" si="302"/>
        <v>0.24523920111472369</v>
      </c>
      <c r="H5162" s="2" t="s">
        <v>5</v>
      </c>
      <c r="I5162" s="6" t="s">
        <v>2300</v>
      </c>
      <c r="J5162" s="2" t="s">
        <v>5</v>
      </c>
      <c r="K5162" s="2" t="s">
        <v>5</v>
      </c>
      <c r="L5162" s="2" t="s">
        <v>5</v>
      </c>
      <c r="M5162" s="2" t="s">
        <v>5</v>
      </c>
      <c r="N5162" s="4">
        <v>0</v>
      </c>
    </row>
    <row r="5163" spans="1:14" x14ac:dyDescent="0.25">
      <c r="A5163" s="2" t="s">
        <v>246</v>
      </c>
      <c r="B5163" s="2" t="s">
        <v>247</v>
      </c>
      <c r="C5163" s="3">
        <v>8.1150000000000002</v>
      </c>
      <c r="D5163" s="4">
        <v>186.64500000000001</v>
      </c>
      <c r="E5163" s="4">
        <v>131.86875000000001</v>
      </c>
      <c r="F5163" s="4">
        <f t="shared" si="301"/>
        <v>54.776250000000005</v>
      </c>
      <c r="G5163" s="5">
        <f t="shared" si="302"/>
        <v>0.29347826086956524</v>
      </c>
      <c r="H5163" s="2" t="s">
        <v>5</v>
      </c>
      <c r="I5163" s="6" t="s">
        <v>2300</v>
      </c>
      <c r="J5163" s="2" t="s">
        <v>5</v>
      </c>
      <c r="K5163" s="2" t="s">
        <v>5</v>
      </c>
      <c r="L5163" s="2" t="s">
        <v>5</v>
      </c>
      <c r="M5163" s="2" t="s">
        <v>5</v>
      </c>
      <c r="N5163" s="4">
        <v>0</v>
      </c>
    </row>
    <row r="5164" spans="1:14" x14ac:dyDescent="0.25">
      <c r="A5164" s="2" t="s">
        <v>246</v>
      </c>
      <c r="B5164" s="2" t="s">
        <v>247</v>
      </c>
      <c r="C5164" s="3">
        <v>5.65</v>
      </c>
      <c r="D5164" s="4">
        <v>129.94999999999999</v>
      </c>
      <c r="E5164" s="4">
        <v>91.8125</v>
      </c>
      <c r="F5164" s="4">
        <f t="shared" si="301"/>
        <v>38.137499999999989</v>
      </c>
      <c r="G5164" s="5">
        <f t="shared" si="302"/>
        <v>0.29347826086956513</v>
      </c>
      <c r="H5164" s="2" t="s">
        <v>5</v>
      </c>
      <c r="I5164" s="6" t="s">
        <v>2300</v>
      </c>
      <c r="J5164" s="2" t="s">
        <v>5</v>
      </c>
      <c r="K5164" s="2" t="s">
        <v>5</v>
      </c>
      <c r="L5164" s="2" t="s">
        <v>5</v>
      </c>
      <c r="M5164" s="2" t="s">
        <v>5</v>
      </c>
      <c r="N5164" s="4">
        <v>0</v>
      </c>
    </row>
    <row r="5165" spans="1:14" x14ac:dyDescent="0.25">
      <c r="A5165" s="2" t="s">
        <v>246</v>
      </c>
      <c r="B5165" s="2" t="s">
        <v>247</v>
      </c>
      <c r="C5165" s="3">
        <v>4.12</v>
      </c>
      <c r="D5165" s="4">
        <v>94.76</v>
      </c>
      <c r="E5165" s="4">
        <v>66.95</v>
      </c>
      <c r="F5165" s="4">
        <f t="shared" si="301"/>
        <v>27.810000000000002</v>
      </c>
      <c r="G5165" s="5">
        <f t="shared" si="302"/>
        <v>0.29347826086956524</v>
      </c>
      <c r="H5165" s="2" t="s">
        <v>5</v>
      </c>
      <c r="I5165" s="6" t="s">
        <v>2300</v>
      </c>
      <c r="J5165" s="2" t="s">
        <v>5</v>
      </c>
      <c r="K5165" s="2" t="s">
        <v>5</v>
      </c>
      <c r="L5165" s="2" t="s">
        <v>5</v>
      </c>
      <c r="M5165" s="2" t="s">
        <v>5</v>
      </c>
      <c r="N5165" s="4">
        <v>0</v>
      </c>
    </row>
    <row r="5166" spans="1:14" x14ac:dyDescent="0.25">
      <c r="A5166" s="2" t="s">
        <v>246</v>
      </c>
      <c r="B5166" s="2" t="s">
        <v>247</v>
      </c>
      <c r="C5166" s="3">
        <v>48</v>
      </c>
      <c r="D5166" s="4">
        <v>882.24</v>
      </c>
      <c r="E5166" s="4">
        <v>780</v>
      </c>
      <c r="F5166" s="4">
        <f t="shared" si="301"/>
        <v>102.24000000000001</v>
      </c>
      <c r="G5166" s="5">
        <f t="shared" si="302"/>
        <v>0.11588683351468988</v>
      </c>
      <c r="H5166" s="2" t="s">
        <v>5</v>
      </c>
      <c r="I5166" s="6" t="s">
        <v>2300</v>
      </c>
      <c r="J5166" s="2" t="s">
        <v>5</v>
      </c>
      <c r="K5166" s="2" t="s">
        <v>5</v>
      </c>
      <c r="L5166" s="2" t="s">
        <v>5</v>
      </c>
      <c r="M5166" s="2" t="s">
        <v>5</v>
      </c>
      <c r="N5166" s="4">
        <v>0</v>
      </c>
    </row>
    <row r="5167" spans="1:14" x14ac:dyDescent="0.25">
      <c r="A5167" s="2" t="s">
        <v>246</v>
      </c>
      <c r="B5167" s="2" t="s">
        <v>247</v>
      </c>
      <c r="C5167" s="3">
        <v>16</v>
      </c>
      <c r="D5167" s="4">
        <v>368</v>
      </c>
      <c r="E5167" s="4">
        <v>260</v>
      </c>
      <c r="F5167" s="4">
        <f t="shared" si="301"/>
        <v>108</v>
      </c>
      <c r="G5167" s="5">
        <f t="shared" si="302"/>
        <v>0.29347826086956524</v>
      </c>
      <c r="H5167" s="2" t="s">
        <v>5</v>
      </c>
      <c r="I5167" s="6" t="s">
        <v>2300</v>
      </c>
      <c r="J5167" s="2" t="s">
        <v>5</v>
      </c>
      <c r="K5167" s="2" t="s">
        <v>5</v>
      </c>
      <c r="L5167" s="2" t="s">
        <v>5</v>
      </c>
      <c r="M5167" s="2" t="s">
        <v>5</v>
      </c>
      <c r="N5167" s="4">
        <v>0</v>
      </c>
    </row>
    <row r="5168" spans="1:14" x14ac:dyDescent="0.25">
      <c r="A5168" s="2" t="s">
        <v>246</v>
      </c>
      <c r="B5168" s="2" t="s">
        <v>247</v>
      </c>
      <c r="C5168" s="3">
        <v>32</v>
      </c>
      <c r="D5168" s="4">
        <v>651.20000000000005</v>
      </c>
      <c r="E5168" s="4">
        <v>520</v>
      </c>
      <c r="F5168" s="4">
        <f t="shared" si="301"/>
        <v>131.20000000000005</v>
      </c>
      <c r="G5168" s="5">
        <f t="shared" si="302"/>
        <v>0.20147420147420153</v>
      </c>
      <c r="H5168" s="2" t="s">
        <v>5</v>
      </c>
      <c r="I5168" s="6" t="s">
        <v>2300</v>
      </c>
      <c r="J5168" s="2" t="s">
        <v>5</v>
      </c>
      <c r="K5168" s="2" t="s">
        <v>5</v>
      </c>
      <c r="L5168" s="2" t="s">
        <v>5</v>
      </c>
      <c r="M5168" s="2" t="s">
        <v>5</v>
      </c>
      <c r="N5168" s="4">
        <v>0</v>
      </c>
    </row>
    <row r="5169" spans="1:14" x14ac:dyDescent="0.25">
      <c r="A5169" s="2" t="s">
        <v>246</v>
      </c>
      <c r="B5169" s="2" t="s">
        <v>247</v>
      </c>
      <c r="C5169" s="3">
        <v>16</v>
      </c>
      <c r="D5169" s="4">
        <v>344.48</v>
      </c>
      <c r="E5169" s="4">
        <v>260</v>
      </c>
      <c r="F5169" s="4">
        <f t="shared" si="301"/>
        <v>84.480000000000018</v>
      </c>
      <c r="G5169" s="5">
        <f t="shared" si="302"/>
        <v>0.24523920111472369</v>
      </c>
      <c r="H5169" s="2" t="s">
        <v>5</v>
      </c>
      <c r="I5169" s="6" t="s">
        <v>2300</v>
      </c>
      <c r="J5169" s="2" t="s">
        <v>5</v>
      </c>
      <c r="K5169" s="2" t="s">
        <v>5</v>
      </c>
      <c r="L5169" s="2" t="s">
        <v>5</v>
      </c>
      <c r="M5169" s="2" t="s">
        <v>5</v>
      </c>
      <c r="N5169" s="4">
        <v>0</v>
      </c>
    </row>
    <row r="5170" spans="1:14" x14ac:dyDescent="0.25">
      <c r="A5170" s="2" t="s">
        <v>246</v>
      </c>
      <c r="B5170" s="2" t="s">
        <v>247</v>
      </c>
      <c r="C5170" s="3">
        <v>20.074999999999999</v>
      </c>
      <c r="D5170" s="4">
        <v>461.72500000000002</v>
      </c>
      <c r="E5170" s="4">
        <v>326.21875</v>
      </c>
      <c r="F5170" s="4">
        <f t="shared" si="301"/>
        <v>135.50625000000002</v>
      </c>
      <c r="G5170" s="5">
        <f t="shared" si="302"/>
        <v>0.29347826086956524</v>
      </c>
      <c r="H5170" s="2" t="s">
        <v>5</v>
      </c>
      <c r="I5170" s="6" t="s">
        <v>2300</v>
      </c>
      <c r="J5170" s="2" t="s">
        <v>5</v>
      </c>
      <c r="K5170" s="2" t="s">
        <v>5</v>
      </c>
      <c r="L5170" s="2" t="s">
        <v>5</v>
      </c>
      <c r="M5170" s="2" t="s">
        <v>5</v>
      </c>
      <c r="N5170" s="4">
        <v>0</v>
      </c>
    </row>
    <row r="5171" spans="1:14" x14ac:dyDescent="0.25">
      <c r="A5171" s="2" t="s">
        <v>246</v>
      </c>
      <c r="B5171" s="2" t="s">
        <v>247</v>
      </c>
      <c r="C5171" s="3">
        <v>16</v>
      </c>
      <c r="D5171" s="4">
        <v>339.52</v>
      </c>
      <c r="E5171" s="4">
        <v>260</v>
      </c>
      <c r="F5171" s="4">
        <f t="shared" si="301"/>
        <v>79.519999999999982</v>
      </c>
      <c r="G5171" s="5">
        <f t="shared" si="302"/>
        <v>0.23421300659754943</v>
      </c>
      <c r="H5171" s="2" t="s">
        <v>5</v>
      </c>
      <c r="I5171" s="6" t="s">
        <v>2300</v>
      </c>
      <c r="J5171" s="2" t="s">
        <v>5</v>
      </c>
      <c r="K5171" s="2" t="s">
        <v>5</v>
      </c>
      <c r="L5171" s="2" t="s">
        <v>5</v>
      </c>
      <c r="M5171" s="2" t="s">
        <v>5</v>
      </c>
      <c r="N5171" s="4">
        <v>0</v>
      </c>
    </row>
    <row r="5172" spans="1:14" x14ac:dyDescent="0.25">
      <c r="A5172" s="2" t="s">
        <v>246</v>
      </c>
      <c r="B5172" s="2" t="s">
        <v>247</v>
      </c>
      <c r="C5172" s="3">
        <v>16</v>
      </c>
      <c r="D5172" s="4">
        <v>366.24</v>
      </c>
      <c r="E5172" s="4">
        <v>260</v>
      </c>
      <c r="F5172" s="4">
        <f t="shared" si="301"/>
        <v>106.24000000000001</v>
      </c>
      <c r="G5172" s="5">
        <f t="shared" si="302"/>
        <v>0.29008300567933598</v>
      </c>
      <c r="H5172" s="2" t="s">
        <v>5</v>
      </c>
      <c r="I5172" s="6" t="s">
        <v>2300</v>
      </c>
      <c r="J5172" s="2" t="s">
        <v>5</v>
      </c>
      <c r="K5172" s="2" t="s">
        <v>5</v>
      </c>
      <c r="L5172" s="2" t="s">
        <v>5</v>
      </c>
      <c r="M5172" s="2" t="s">
        <v>5</v>
      </c>
      <c r="N5172" s="4">
        <v>0</v>
      </c>
    </row>
    <row r="5173" spans="1:14" x14ac:dyDescent="0.25">
      <c r="A5173" s="2" t="s">
        <v>246</v>
      </c>
      <c r="B5173" s="2" t="s">
        <v>247</v>
      </c>
      <c r="C5173" s="3">
        <v>20.48</v>
      </c>
      <c r="D5173" s="4">
        <v>471.04</v>
      </c>
      <c r="E5173" s="4">
        <v>332.8</v>
      </c>
      <c r="F5173" s="4">
        <f t="shared" si="301"/>
        <v>138.24</v>
      </c>
      <c r="G5173" s="5">
        <f t="shared" si="302"/>
        <v>0.29347826086956524</v>
      </c>
      <c r="H5173" s="2" t="s">
        <v>5</v>
      </c>
      <c r="I5173" s="6" t="s">
        <v>2300</v>
      </c>
      <c r="J5173" s="2" t="s">
        <v>5</v>
      </c>
      <c r="K5173" s="2" t="s">
        <v>5</v>
      </c>
      <c r="L5173" s="2" t="s">
        <v>5</v>
      </c>
      <c r="M5173" s="2" t="s">
        <v>5</v>
      </c>
      <c r="N5173" s="4">
        <v>0</v>
      </c>
    </row>
    <row r="5174" spans="1:14" x14ac:dyDescent="0.25">
      <c r="A5174" s="2" t="s">
        <v>622</v>
      </c>
      <c r="B5174" s="2" t="s">
        <v>623</v>
      </c>
      <c r="C5174" s="3">
        <v>16</v>
      </c>
      <c r="D5174" s="4">
        <v>296.8</v>
      </c>
      <c r="E5174" s="4">
        <v>224</v>
      </c>
      <c r="F5174" s="4">
        <f t="shared" si="301"/>
        <v>72.800000000000011</v>
      </c>
      <c r="G5174" s="5">
        <f t="shared" si="302"/>
        <v>0.24528301886792456</v>
      </c>
      <c r="H5174" s="2" t="s">
        <v>5</v>
      </c>
      <c r="I5174" s="6" t="s">
        <v>2300</v>
      </c>
      <c r="J5174" s="2" t="s">
        <v>5</v>
      </c>
      <c r="K5174" s="2" t="s">
        <v>5</v>
      </c>
      <c r="L5174" s="2" t="s">
        <v>5</v>
      </c>
      <c r="M5174" s="2" t="s">
        <v>5</v>
      </c>
      <c r="N5174" s="4">
        <v>0</v>
      </c>
    </row>
    <row r="5175" spans="1:14" x14ac:dyDescent="0.25">
      <c r="A5175" s="2" t="s">
        <v>622</v>
      </c>
      <c r="B5175" s="2" t="s">
        <v>623</v>
      </c>
      <c r="C5175" s="3">
        <v>16</v>
      </c>
      <c r="D5175" s="4">
        <v>339.52</v>
      </c>
      <c r="E5175" s="4">
        <v>224</v>
      </c>
      <c r="F5175" s="4">
        <f t="shared" si="301"/>
        <v>115.51999999999998</v>
      </c>
      <c r="G5175" s="5">
        <f t="shared" si="302"/>
        <v>0.34024505183788872</v>
      </c>
      <c r="H5175" s="2" t="s">
        <v>5</v>
      </c>
      <c r="I5175" s="6" t="s">
        <v>2300</v>
      </c>
      <c r="J5175" s="2" t="s">
        <v>5</v>
      </c>
      <c r="K5175" s="2" t="s">
        <v>5</v>
      </c>
      <c r="L5175" s="2" t="s">
        <v>5</v>
      </c>
      <c r="M5175" s="2" t="s">
        <v>5</v>
      </c>
      <c r="N5175" s="4">
        <v>0</v>
      </c>
    </row>
    <row r="5176" spans="1:14" x14ac:dyDescent="0.25">
      <c r="A5176" s="2" t="s">
        <v>622</v>
      </c>
      <c r="B5176" s="2" t="s">
        <v>623</v>
      </c>
      <c r="C5176" s="3">
        <v>32</v>
      </c>
      <c r="D5176" s="4">
        <v>593.6</v>
      </c>
      <c r="E5176" s="4">
        <v>448</v>
      </c>
      <c r="F5176" s="4">
        <f t="shared" si="301"/>
        <v>145.60000000000002</v>
      </c>
      <c r="G5176" s="5">
        <f t="shared" si="302"/>
        <v>0.24528301886792456</v>
      </c>
      <c r="H5176" s="2" t="s">
        <v>5</v>
      </c>
      <c r="I5176" s="6" t="s">
        <v>2300</v>
      </c>
      <c r="J5176" s="2" t="s">
        <v>5</v>
      </c>
      <c r="K5176" s="2" t="s">
        <v>5</v>
      </c>
      <c r="L5176" s="2" t="s">
        <v>5</v>
      </c>
      <c r="M5176" s="2" t="s">
        <v>5</v>
      </c>
      <c r="N5176" s="4">
        <v>0</v>
      </c>
    </row>
    <row r="5177" spans="1:14" x14ac:dyDescent="0.25">
      <c r="A5177" s="2" t="s">
        <v>622</v>
      </c>
      <c r="B5177" s="2" t="s">
        <v>623</v>
      </c>
      <c r="C5177" s="3">
        <v>64</v>
      </c>
      <c r="D5177" s="4">
        <v>1187.2</v>
      </c>
      <c r="E5177" s="4">
        <v>896</v>
      </c>
      <c r="F5177" s="4">
        <f t="shared" si="301"/>
        <v>291.20000000000005</v>
      </c>
      <c r="G5177" s="5">
        <f t="shared" si="302"/>
        <v>0.24528301886792456</v>
      </c>
      <c r="H5177" s="2" t="s">
        <v>5</v>
      </c>
      <c r="I5177" s="6" t="s">
        <v>2300</v>
      </c>
      <c r="J5177" s="2" t="s">
        <v>5</v>
      </c>
      <c r="K5177" s="2" t="s">
        <v>5</v>
      </c>
      <c r="L5177" s="2" t="s">
        <v>5</v>
      </c>
      <c r="M5177" s="2" t="s">
        <v>5</v>
      </c>
      <c r="N5177" s="4">
        <v>0</v>
      </c>
    </row>
    <row r="5178" spans="1:14" x14ac:dyDescent="0.25">
      <c r="A5178" s="2" t="s">
        <v>622</v>
      </c>
      <c r="B5178" s="2" t="s">
        <v>623</v>
      </c>
      <c r="C5178" s="3">
        <v>32</v>
      </c>
      <c r="D5178" s="4">
        <v>593.6</v>
      </c>
      <c r="E5178" s="4">
        <v>448</v>
      </c>
      <c r="F5178" s="4">
        <f t="shared" si="301"/>
        <v>145.60000000000002</v>
      </c>
      <c r="G5178" s="5">
        <f t="shared" si="302"/>
        <v>0.24528301886792456</v>
      </c>
      <c r="H5178" s="2" t="s">
        <v>5</v>
      </c>
      <c r="I5178" s="6" t="s">
        <v>2300</v>
      </c>
      <c r="J5178" s="2" t="s">
        <v>5</v>
      </c>
      <c r="K5178" s="2" t="s">
        <v>5</v>
      </c>
      <c r="L5178" s="2" t="s">
        <v>5</v>
      </c>
      <c r="M5178" s="2" t="s">
        <v>5</v>
      </c>
      <c r="N5178" s="4">
        <v>0</v>
      </c>
    </row>
    <row r="5179" spans="1:14" x14ac:dyDescent="0.25">
      <c r="A5179" s="2" t="s">
        <v>579</v>
      </c>
      <c r="B5179" s="2" t="s">
        <v>580</v>
      </c>
      <c r="C5179" s="3">
        <v>104.1</v>
      </c>
      <c r="D5179" s="4">
        <v>1582.32</v>
      </c>
      <c r="E5179" s="4">
        <v>968.13</v>
      </c>
      <c r="F5179" s="4">
        <f t="shared" si="301"/>
        <v>614.18999999999994</v>
      </c>
      <c r="G5179" s="5">
        <f t="shared" si="302"/>
        <v>0.38815789473684209</v>
      </c>
      <c r="H5179" s="2" t="s">
        <v>5</v>
      </c>
      <c r="I5179" s="6" t="s">
        <v>2300</v>
      </c>
      <c r="J5179" s="2" t="s">
        <v>5</v>
      </c>
      <c r="K5179" s="2" t="s">
        <v>5</v>
      </c>
      <c r="L5179" s="2" t="s">
        <v>5</v>
      </c>
      <c r="M5179" s="2" t="s">
        <v>5</v>
      </c>
      <c r="N5179" s="4">
        <v>0</v>
      </c>
    </row>
    <row r="5180" spans="1:14" x14ac:dyDescent="0.25">
      <c r="A5180" s="2" t="s">
        <v>579</v>
      </c>
      <c r="B5180" s="2" t="s">
        <v>580</v>
      </c>
      <c r="C5180" s="3">
        <v>16</v>
      </c>
      <c r="D5180" s="4">
        <v>256.32</v>
      </c>
      <c r="E5180" s="4">
        <v>148.80000000000001</v>
      </c>
      <c r="F5180" s="4">
        <f t="shared" si="301"/>
        <v>107.51999999999998</v>
      </c>
      <c r="G5180" s="5">
        <f t="shared" si="302"/>
        <v>0.41947565543071152</v>
      </c>
      <c r="H5180" s="2" t="s">
        <v>5</v>
      </c>
      <c r="I5180" s="6" t="s">
        <v>2300</v>
      </c>
      <c r="J5180" s="2" t="s">
        <v>5</v>
      </c>
      <c r="K5180" s="2" t="s">
        <v>5</v>
      </c>
      <c r="L5180" s="2" t="s">
        <v>5</v>
      </c>
      <c r="M5180" s="2" t="s">
        <v>5</v>
      </c>
      <c r="N5180" s="4">
        <v>0</v>
      </c>
    </row>
    <row r="5181" spans="1:14" x14ac:dyDescent="0.25">
      <c r="A5181" s="2" t="s">
        <v>579</v>
      </c>
      <c r="B5181" s="2" t="s">
        <v>580</v>
      </c>
      <c r="C5181" s="3">
        <v>15.9</v>
      </c>
      <c r="D5181" s="4">
        <v>257.73899999999998</v>
      </c>
      <c r="E5181" s="4">
        <v>147.87</v>
      </c>
      <c r="F5181" s="4">
        <f t="shared" si="301"/>
        <v>109.86899999999997</v>
      </c>
      <c r="G5181" s="5">
        <f t="shared" si="302"/>
        <v>0.42628007402837748</v>
      </c>
      <c r="H5181" s="2" t="s">
        <v>5</v>
      </c>
      <c r="I5181" s="6" t="s">
        <v>2300</v>
      </c>
      <c r="J5181" s="2" t="s">
        <v>5</v>
      </c>
      <c r="K5181" s="2" t="s">
        <v>5</v>
      </c>
      <c r="L5181" s="2" t="s">
        <v>5</v>
      </c>
      <c r="M5181" s="2" t="s">
        <v>5</v>
      </c>
      <c r="N5181" s="4">
        <v>0</v>
      </c>
    </row>
    <row r="5182" spans="1:14" x14ac:dyDescent="0.25">
      <c r="A5182" s="2" t="s">
        <v>579</v>
      </c>
      <c r="B5182" s="2" t="s">
        <v>580</v>
      </c>
      <c r="C5182" s="3">
        <v>3.972</v>
      </c>
      <c r="D5182" s="4">
        <v>74.514719999999997</v>
      </c>
      <c r="E5182" s="4">
        <v>36.939599999999999</v>
      </c>
      <c r="F5182" s="4">
        <f t="shared" si="301"/>
        <v>37.575119999999998</v>
      </c>
      <c r="G5182" s="5">
        <f t="shared" si="302"/>
        <v>0.50426439232409381</v>
      </c>
      <c r="H5182" s="2" t="s">
        <v>5</v>
      </c>
      <c r="I5182" s="6" t="s">
        <v>2300</v>
      </c>
      <c r="J5182" s="2" t="s">
        <v>5</v>
      </c>
      <c r="K5182" s="2" t="s">
        <v>5</v>
      </c>
      <c r="L5182" s="2" t="s">
        <v>5</v>
      </c>
      <c r="M5182" s="2" t="s">
        <v>5</v>
      </c>
      <c r="N5182" s="4">
        <v>0</v>
      </c>
    </row>
    <row r="5183" spans="1:14" x14ac:dyDescent="0.25">
      <c r="A5183" s="2" t="s">
        <v>579</v>
      </c>
      <c r="B5183" s="2" t="s">
        <v>580</v>
      </c>
      <c r="C5183" s="3">
        <v>29.45</v>
      </c>
      <c r="D5183" s="4">
        <v>447.64</v>
      </c>
      <c r="E5183" s="4">
        <v>273.88499999999999</v>
      </c>
      <c r="F5183" s="4">
        <f t="shared" si="301"/>
        <v>173.755</v>
      </c>
      <c r="G5183" s="5">
        <f t="shared" si="302"/>
        <v>0.38815789473684209</v>
      </c>
      <c r="H5183" s="2" t="s">
        <v>5</v>
      </c>
      <c r="I5183" s="6" t="s">
        <v>2300</v>
      </c>
      <c r="J5183" s="2" t="s">
        <v>5</v>
      </c>
      <c r="K5183" s="2" t="s">
        <v>5</v>
      </c>
      <c r="L5183" s="2" t="s">
        <v>5</v>
      </c>
      <c r="M5183" s="2" t="s">
        <v>5</v>
      </c>
      <c r="N5183" s="4">
        <v>0</v>
      </c>
    </row>
    <row r="5184" spans="1:14" x14ac:dyDescent="0.25">
      <c r="A5184" s="2" t="s">
        <v>579</v>
      </c>
      <c r="B5184" s="2" t="s">
        <v>580</v>
      </c>
      <c r="C5184" s="3">
        <v>142.6</v>
      </c>
      <c r="D5184" s="4">
        <v>1237.768</v>
      </c>
      <c r="E5184" s="4">
        <v>1326.18</v>
      </c>
      <c r="F5184" s="4">
        <f t="shared" si="301"/>
        <v>-88.412000000000035</v>
      </c>
      <c r="G5184" s="5">
        <f t="shared" si="302"/>
        <v>-7.1428571428571452E-2</v>
      </c>
      <c r="H5184" s="2" t="s">
        <v>5</v>
      </c>
      <c r="I5184" s="6" t="s">
        <v>2300</v>
      </c>
      <c r="J5184" s="2" t="s">
        <v>5</v>
      </c>
      <c r="K5184" s="2" t="s">
        <v>5</v>
      </c>
      <c r="L5184" s="2" t="s">
        <v>5</v>
      </c>
      <c r="M5184" s="2" t="s">
        <v>5</v>
      </c>
      <c r="N5184" s="4">
        <v>0</v>
      </c>
    </row>
    <row r="5185" spans="1:14" x14ac:dyDescent="0.25">
      <c r="A5185" s="2" t="s">
        <v>579</v>
      </c>
      <c r="B5185" s="2" t="s">
        <v>580</v>
      </c>
      <c r="C5185" s="3">
        <v>5</v>
      </c>
      <c r="D5185" s="4">
        <v>98</v>
      </c>
      <c r="E5185" s="4">
        <v>46.5</v>
      </c>
      <c r="F5185" s="4">
        <f t="shared" si="301"/>
        <v>51.5</v>
      </c>
      <c r="G5185" s="5">
        <f t="shared" si="302"/>
        <v>0.52551020408163263</v>
      </c>
      <c r="H5185" s="2" t="s">
        <v>5</v>
      </c>
      <c r="I5185" s="6" t="s">
        <v>2300</v>
      </c>
      <c r="J5185" s="2" t="s">
        <v>5</v>
      </c>
      <c r="K5185" s="2" t="s">
        <v>5</v>
      </c>
      <c r="L5185" s="2" t="s">
        <v>5</v>
      </c>
      <c r="M5185" s="2" t="s">
        <v>5</v>
      </c>
      <c r="N5185" s="4">
        <v>0</v>
      </c>
    </row>
    <row r="5186" spans="1:14" x14ac:dyDescent="0.25">
      <c r="A5186" s="2" t="s">
        <v>579</v>
      </c>
      <c r="B5186" s="2" t="s">
        <v>580</v>
      </c>
      <c r="C5186" s="3">
        <v>47.7</v>
      </c>
      <c r="D5186" s="4">
        <v>725.04</v>
      </c>
      <c r="E5186" s="4">
        <v>443.61</v>
      </c>
      <c r="F5186" s="4">
        <f t="shared" si="301"/>
        <v>281.42999999999995</v>
      </c>
      <c r="G5186" s="5">
        <f t="shared" si="302"/>
        <v>0.38815789473684204</v>
      </c>
      <c r="H5186" s="2" t="s">
        <v>5</v>
      </c>
      <c r="I5186" s="6" t="s">
        <v>2300</v>
      </c>
      <c r="J5186" s="2" t="s">
        <v>5</v>
      </c>
      <c r="K5186" s="2" t="s">
        <v>5</v>
      </c>
      <c r="L5186" s="2" t="s">
        <v>5</v>
      </c>
      <c r="M5186" s="2" t="s">
        <v>5</v>
      </c>
      <c r="N5186" s="4">
        <v>0</v>
      </c>
    </row>
    <row r="5187" spans="1:14" x14ac:dyDescent="0.25">
      <c r="A5187" s="2" t="s">
        <v>1998</v>
      </c>
      <c r="B5187" s="2" t="s">
        <v>1999</v>
      </c>
      <c r="C5187" s="3">
        <v>6.0750000000000002</v>
      </c>
      <c r="D5187" s="4">
        <v>52.366500000000002</v>
      </c>
      <c r="E5187" s="4">
        <v>47.9925</v>
      </c>
      <c r="F5187" s="4">
        <f t="shared" si="301"/>
        <v>4.3740000000000023</v>
      </c>
      <c r="G5187" s="5">
        <f t="shared" si="302"/>
        <v>8.3526682134570804E-2</v>
      </c>
      <c r="H5187" s="2" t="s">
        <v>5</v>
      </c>
      <c r="I5187" s="6" t="s">
        <v>2300</v>
      </c>
      <c r="J5187" s="2" t="s">
        <v>5</v>
      </c>
      <c r="K5187" s="2" t="s">
        <v>5</v>
      </c>
      <c r="L5187" s="2" t="s">
        <v>5</v>
      </c>
      <c r="M5187" s="2" t="s">
        <v>5</v>
      </c>
      <c r="N5187" s="4">
        <v>0</v>
      </c>
    </row>
    <row r="5188" spans="1:14" x14ac:dyDescent="0.25">
      <c r="A5188" s="2" t="s">
        <v>603</v>
      </c>
      <c r="B5188" s="2" t="s">
        <v>604</v>
      </c>
      <c r="C5188" s="3">
        <v>2.4039999999999999</v>
      </c>
      <c r="D5188" s="4">
        <v>60.556759999999997</v>
      </c>
      <c r="E5188" s="4">
        <v>27.886399999999998</v>
      </c>
      <c r="F5188" s="4">
        <f t="shared" si="301"/>
        <v>32.670360000000002</v>
      </c>
      <c r="G5188" s="5">
        <f t="shared" si="302"/>
        <v>0.53949980150853516</v>
      </c>
      <c r="H5188" s="2" t="s">
        <v>5</v>
      </c>
      <c r="I5188" s="6" t="s">
        <v>2300</v>
      </c>
      <c r="J5188" s="2" t="s">
        <v>5</v>
      </c>
      <c r="K5188" s="2" t="s">
        <v>5</v>
      </c>
      <c r="L5188" s="2" t="s">
        <v>5</v>
      </c>
      <c r="M5188" s="2" t="s">
        <v>5</v>
      </c>
      <c r="N5188" s="4">
        <v>0</v>
      </c>
    </row>
    <row r="5189" spans="1:14" x14ac:dyDescent="0.25">
      <c r="A5189" s="2" t="s">
        <v>603</v>
      </c>
      <c r="B5189" s="2" t="s">
        <v>604</v>
      </c>
      <c r="C5189" s="3">
        <v>30.05</v>
      </c>
      <c r="D5189" s="4">
        <v>519.56449999999995</v>
      </c>
      <c r="E5189" s="4">
        <v>348.58</v>
      </c>
      <c r="F5189" s="4">
        <f t="shared" si="301"/>
        <v>170.98449999999997</v>
      </c>
      <c r="G5189" s="5">
        <f t="shared" si="302"/>
        <v>0.32909196067090801</v>
      </c>
      <c r="H5189" s="2" t="s">
        <v>5</v>
      </c>
      <c r="I5189" s="6" t="s">
        <v>2300</v>
      </c>
      <c r="J5189" s="2" t="s">
        <v>5</v>
      </c>
      <c r="K5189" s="2" t="s">
        <v>5</v>
      </c>
      <c r="L5189" s="2" t="s">
        <v>5</v>
      </c>
      <c r="M5189" s="2" t="s">
        <v>5</v>
      </c>
      <c r="N5189" s="4">
        <v>0</v>
      </c>
    </row>
    <row r="5190" spans="1:14" x14ac:dyDescent="0.25">
      <c r="A5190" s="2" t="s">
        <v>603</v>
      </c>
      <c r="B5190" s="2" t="s">
        <v>604</v>
      </c>
      <c r="C5190" s="3">
        <v>14.1</v>
      </c>
      <c r="D5190" s="4">
        <v>353.48700000000002</v>
      </c>
      <c r="E5190" s="4">
        <v>163.56</v>
      </c>
      <c r="F5190" s="4">
        <f t="shared" si="301"/>
        <v>189.92700000000002</v>
      </c>
      <c r="G5190" s="5">
        <f t="shared" si="302"/>
        <v>0.53729557239728765</v>
      </c>
      <c r="H5190" s="2" t="s">
        <v>5</v>
      </c>
      <c r="I5190" s="6" t="s">
        <v>2300</v>
      </c>
      <c r="J5190" s="2" t="s">
        <v>5</v>
      </c>
      <c r="K5190" s="2" t="s">
        <v>5</v>
      </c>
      <c r="L5190" s="2" t="s">
        <v>5</v>
      </c>
      <c r="M5190" s="2" t="s">
        <v>5</v>
      </c>
      <c r="N5190" s="4">
        <v>0</v>
      </c>
    </row>
    <row r="5191" spans="1:14" x14ac:dyDescent="0.25">
      <c r="A5191" s="2" t="s">
        <v>603</v>
      </c>
      <c r="B5191" s="2" t="s">
        <v>604</v>
      </c>
      <c r="C5191" s="3">
        <v>40.92</v>
      </c>
      <c r="D5191" s="4">
        <v>740.65200000000004</v>
      </c>
      <c r="E5191" s="4">
        <v>474.67200000000003</v>
      </c>
      <c r="F5191" s="4">
        <f t="shared" si="301"/>
        <v>265.98</v>
      </c>
      <c r="G5191" s="5">
        <f t="shared" si="302"/>
        <v>0.35911602209944754</v>
      </c>
      <c r="H5191" s="2" t="s">
        <v>5</v>
      </c>
      <c r="I5191" s="6" t="s">
        <v>2300</v>
      </c>
      <c r="J5191" s="2" t="s">
        <v>5</v>
      </c>
      <c r="K5191" s="2" t="s">
        <v>5</v>
      </c>
      <c r="L5191" s="2" t="s">
        <v>5</v>
      </c>
      <c r="M5191" s="2" t="s">
        <v>5</v>
      </c>
      <c r="N5191" s="4">
        <v>0</v>
      </c>
    </row>
    <row r="5192" spans="1:14" x14ac:dyDescent="0.25">
      <c r="A5192" s="2" t="s">
        <v>603</v>
      </c>
      <c r="B5192" s="2" t="s">
        <v>604</v>
      </c>
      <c r="C5192" s="3">
        <v>1.65</v>
      </c>
      <c r="D5192" s="4">
        <v>41.563499999999998</v>
      </c>
      <c r="E5192" s="4">
        <v>19.14</v>
      </c>
      <c r="F5192" s="4">
        <f t="shared" si="301"/>
        <v>22.423499999999997</v>
      </c>
      <c r="G5192" s="5">
        <f t="shared" si="302"/>
        <v>0.53949980150853505</v>
      </c>
      <c r="H5192" s="2" t="s">
        <v>5</v>
      </c>
      <c r="I5192" s="6" t="s">
        <v>2300</v>
      </c>
      <c r="J5192" s="2" t="s">
        <v>5</v>
      </c>
      <c r="K5192" s="2" t="s">
        <v>5</v>
      </c>
      <c r="L5192" s="2" t="s">
        <v>5</v>
      </c>
      <c r="M5192" s="2" t="s">
        <v>5</v>
      </c>
      <c r="N5192" s="4">
        <v>0</v>
      </c>
    </row>
    <row r="5193" spans="1:14" x14ac:dyDescent="0.25">
      <c r="A5193" s="2" t="s">
        <v>603</v>
      </c>
      <c r="B5193" s="2" t="s">
        <v>604</v>
      </c>
      <c r="C5193" s="3">
        <v>28.94</v>
      </c>
      <c r="D5193" s="4">
        <v>523.81399999999996</v>
      </c>
      <c r="E5193" s="4">
        <v>335.70400000000001</v>
      </c>
      <c r="F5193" s="4">
        <f t="shared" si="301"/>
        <v>188.10999999999996</v>
      </c>
      <c r="G5193" s="5">
        <f t="shared" si="302"/>
        <v>0.35911602209944743</v>
      </c>
      <c r="H5193" s="2" t="s">
        <v>5</v>
      </c>
      <c r="I5193" s="6" t="s">
        <v>2300</v>
      </c>
      <c r="J5193" s="2" t="s">
        <v>5</v>
      </c>
      <c r="K5193" s="2" t="s">
        <v>5</v>
      </c>
      <c r="L5193" s="2" t="s">
        <v>5</v>
      </c>
      <c r="M5193" s="2" t="s">
        <v>5</v>
      </c>
      <c r="N5193" s="4">
        <v>0</v>
      </c>
    </row>
    <row r="5194" spans="1:14" x14ac:dyDescent="0.25">
      <c r="A5194" s="2" t="s">
        <v>603</v>
      </c>
      <c r="B5194" s="2" t="s">
        <v>604</v>
      </c>
      <c r="C5194" s="3">
        <v>45.5</v>
      </c>
      <c r="D5194" s="4">
        <v>832.19500000000005</v>
      </c>
      <c r="E5194" s="4">
        <v>527.79999999999995</v>
      </c>
      <c r="F5194" s="4">
        <f t="shared" si="301"/>
        <v>304.3950000000001</v>
      </c>
      <c r="G5194" s="5">
        <f t="shared" si="302"/>
        <v>0.36577364680153096</v>
      </c>
      <c r="H5194" s="2" t="s">
        <v>5</v>
      </c>
      <c r="I5194" s="6" t="s">
        <v>2300</v>
      </c>
      <c r="J5194" s="2" t="s">
        <v>5</v>
      </c>
      <c r="K5194" s="2" t="s">
        <v>5</v>
      </c>
      <c r="L5194" s="2" t="s">
        <v>5</v>
      </c>
      <c r="M5194" s="2" t="s">
        <v>5</v>
      </c>
      <c r="N5194" s="4">
        <v>0</v>
      </c>
    </row>
    <row r="5195" spans="1:14" x14ac:dyDescent="0.25">
      <c r="A5195" s="2" t="s">
        <v>603</v>
      </c>
      <c r="B5195" s="2" t="s">
        <v>604</v>
      </c>
      <c r="C5195" s="3">
        <v>15.9</v>
      </c>
      <c r="D5195" s="4">
        <v>273.48</v>
      </c>
      <c r="E5195" s="4">
        <v>184.44</v>
      </c>
      <c r="F5195" s="4">
        <f t="shared" si="301"/>
        <v>89.04000000000002</v>
      </c>
      <c r="G5195" s="5">
        <f t="shared" si="302"/>
        <v>0.32558139534883729</v>
      </c>
      <c r="H5195" s="2" t="s">
        <v>5</v>
      </c>
      <c r="I5195" s="6" t="s">
        <v>2300</v>
      </c>
      <c r="J5195" s="2" t="s">
        <v>5</v>
      </c>
      <c r="K5195" s="2" t="s">
        <v>5</v>
      </c>
      <c r="L5195" s="2" t="s">
        <v>5</v>
      </c>
      <c r="M5195" s="2" t="s">
        <v>5</v>
      </c>
      <c r="N5195" s="4">
        <v>0</v>
      </c>
    </row>
    <row r="5196" spans="1:14" x14ac:dyDescent="0.25">
      <c r="A5196" s="2" t="s">
        <v>603</v>
      </c>
      <c r="B5196" s="2" t="s">
        <v>604</v>
      </c>
      <c r="C5196" s="3">
        <v>27.55</v>
      </c>
      <c r="D5196" s="4">
        <v>473.86</v>
      </c>
      <c r="E5196" s="4">
        <v>319.58</v>
      </c>
      <c r="F5196" s="4">
        <f t="shared" si="301"/>
        <v>154.28000000000003</v>
      </c>
      <c r="G5196" s="5">
        <f t="shared" si="302"/>
        <v>0.32558139534883729</v>
      </c>
      <c r="H5196" s="2" t="s">
        <v>5</v>
      </c>
      <c r="I5196" s="6" t="s">
        <v>2300</v>
      </c>
      <c r="J5196" s="2" t="s">
        <v>5</v>
      </c>
      <c r="K5196" s="2" t="s">
        <v>5</v>
      </c>
      <c r="L5196" s="2" t="s">
        <v>5</v>
      </c>
      <c r="M5196" s="2" t="s">
        <v>5</v>
      </c>
      <c r="N5196" s="4">
        <v>0</v>
      </c>
    </row>
    <row r="5197" spans="1:14" x14ac:dyDescent="0.25">
      <c r="A5197" s="2" t="s">
        <v>831</v>
      </c>
      <c r="B5197" s="2" t="s">
        <v>832</v>
      </c>
      <c r="C5197" s="3">
        <v>6.08</v>
      </c>
      <c r="D5197" s="4">
        <v>153.15520000000001</v>
      </c>
      <c r="E5197" s="4">
        <v>75.391999999999996</v>
      </c>
      <c r="F5197" s="4">
        <f t="shared" si="301"/>
        <v>77.763200000000012</v>
      </c>
      <c r="G5197" s="5">
        <f t="shared" si="302"/>
        <v>0.50774116712981343</v>
      </c>
      <c r="H5197" s="2" t="s">
        <v>5</v>
      </c>
      <c r="I5197" s="6" t="s">
        <v>2300</v>
      </c>
      <c r="J5197" s="2" t="s">
        <v>5</v>
      </c>
      <c r="K5197" s="2" t="s">
        <v>5</v>
      </c>
      <c r="L5197" s="2" t="s">
        <v>5</v>
      </c>
      <c r="M5197" s="2" t="s">
        <v>5</v>
      </c>
      <c r="N5197" s="4">
        <v>0</v>
      </c>
    </row>
    <row r="5198" spans="1:14" x14ac:dyDescent="0.25">
      <c r="A5198" s="2" t="s">
        <v>831</v>
      </c>
      <c r="B5198" s="2" t="s">
        <v>832</v>
      </c>
      <c r="C5198" s="3">
        <v>5.88</v>
      </c>
      <c r="D5198" s="4">
        <v>148.1172</v>
      </c>
      <c r="E5198" s="4">
        <v>72.912000000000006</v>
      </c>
      <c r="F5198" s="4">
        <f t="shared" si="301"/>
        <v>75.205199999999991</v>
      </c>
      <c r="G5198" s="5">
        <f t="shared" si="302"/>
        <v>0.50774116712981332</v>
      </c>
      <c r="H5198" s="2" t="s">
        <v>5</v>
      </c>
      <c r="I5198" s="6" t="s">
        <v>2300</v>
      </c>
      <c r="J5198" s="2" t="s">
        <v>5</v>
      </c>
      <c r="K5198" s="2" t="s">
        <v>5</v>
      </c>
      <c r="L5198" s="2" t="s">
        <v>5</v>
      </c>
      <c r="M5198" s="2" t="s">
        <v>5</v>
      </c>
      <c r="N5198" s="4">
        <v>0</v>
      </c>
    </row>
    <row r="5199" spans="1:14" x14ac:dyDescent="0.25">
      <c r="A5199" s="2" t="s">
        <v>51</v>
      </c>
      <c r="B5199" s="2" t="s">
        <v>52</v>
      </c>
      <c r="C5199" s="3">
        <v>43.06</v>
      </c>
      <c r="D5199" s="4">
        <v>801.34659999999997</v>
      </c>
      <c r="E5199" s="4">
        <v>710.49</v>
      </c>
      <c r="F5199" s="4">
        <f t="shared" si="301"/>
        <v>90.856599999999958</v>
      </c>
      <c r="G5199" s="5">
        <f t="shared" si="302"/>
        <v>0.11337990327780759</v>
      </c>
      <c r="H5199" s="2" t="s">
        <v>5</v>
      </c>
      <c r="I5199" s="6" t="s">
        <v>2300</v>
      </c>
      <c r="J5199" s="2" t="s">
        <v>5</v>
      </c>
      <c r="K5199" s="2" t="s">
        <v>5</v>
      </c>
      <c r="L5199" s="2" t="s">
        <v>5</v>
      </c>
      <c r="M5199" s="2" t="s">
        <v>5</v>
      </c>
      <c r="N5199" s="4">
        <v>0</v>
      </c>
    </row>
    <row r="5200" spans="1:14" x14ac:dyDescent="0.25">
      <c r="A5200" s="2" t="s">
        <v>51</v>
      </c>
      <c r="B5200" s="2" t="s">
        <v>52</v>
      </c>
      <c r="C5200" s="3">
        <v>51.12</v>
      </c>
      <c r="D5200" s="4">
        <v>836.32320000000004</v>
      </c>
      <c r="E5200" s="4">
        <v>843.48</v>
      </c>
      <c r="F5200" s="4">
        <f t="shared" si="301"/>
        <v>-7.1567999999999756</v>
      </c>
      <c r="G5200" s="5">
        <f t="shared" si="302"/>
        <v>-8.5574572127139065E-3</v>
      </c>
      <c r="H5200" s="2" t="s">
        <v>5</v>
      </c>
      <c r="I5200" s="6" t="s">
        <v>2300</v>
      </c>
      <c r="J5200" s="2" t="s">
        <v>5</v>
      </c>
      <c r="K5200" s="2" t="s">
        <v>5</v>
      </c>
      <c r="L5200" s="2" t="s">
        <v>5</v>
      </c>
      <c r="M5200" s="2" t="s">
        <v>5</v>
      </c>
      <c r="N5200" s="4">
        <v>0</v>
      </c>
    </row>
    <row r="5201" spans="1:14" x14ac:dyDescent="0.25">
      <c r="A5201" s="2" t="s">
        <v>51</v>
      </c>
      <c r="B5201" s="2" t="s">
        <v>52</v>
      </c>
      <c r="C5201" s="3">
        <v>47.46</v>
      </c>
      <c r="D5201" s="4">
        <v>816.31200000000001</v>
      </c>
      <c r="E5201" s="4">
        <v>783.09</v>
      </c>
      <c r="F5201" s="4">
        <f t="shared" si="301"/>
        <v>33.22199999999998</v>
      </c>
      <c r="G5201" s="5">
        <f t="shared" si="302"/>
        <v>4.0697674418604626E-2</v>
      </c>
      <c r="H5201" s="2" t="s">
        <v>5</v>
      </c>
      <c r="I5201" s="6" t="s">
        <v>2300</v>
      </c>
      <c r="J5201" s="2" t="s">
        <v>5</v>
      </c>
      <c r="K5201" s="2" t="s">
        <v>5</v>
      </c>
      <c r="L5201" s="2" t="s">
        <v>5</v>
      </c>
      <c r="M5201" s="2" t="s">
        <v>5</v>
      </c>
      <c r="N5201" s="4">
        <v>0</v>
      </c>
    </row>
    <row r="5202" spans="1:14" x14ac:dyDescent="0.25">
      <c r="A5202" s="2" t="s">
        <v>51</v>
      </c>
      <c r="B5202" s="2" t="s">
        <v>52</v>
      </c>
      <c r="C5202" s="3">
        <v>18.78</v>
      </c>
      <c r="D5202" s="4">
        <v>323.01600000000002</v>
      </c>
      <c r="E5202" s="4">
        <v>309.87</v>
      </c>
      <c r="F5202" s="4">
        <f t="shared" si="301"/>
        <v>13.146000000000015</v>
      </c>
      <c r="G5202" s="5">
        <f t="shared" si="302"/>
        <v>4.0697674418604696E-2</v>
      </c>
      <c r="H5202" s="2" t="s">
        <v>5</v>
      </c>
      <c r="I5202" s="6" t="s">
        <v>2300</v>
      </c>
      <c r="J5202" s="2" t="s">
        <v>5</v>
      </c>
      <c r="K5202" s="2" t="s">
        <v>5</v>
      </c>
      <c r="L5202" s="2" t="s">
        <v>5</v>
      </c>
      <c r="M5202" s="2" t="s">
        <v>5</v>
      </c>
      <c r="N5202" s="4">
        <v>0</v>
      </c>
    </row>
    <row r="5203" spans="1:14" x14ac:dyDescent="0.25">
      <c r="A5203" s="2" t="s">
        <v>51</v>
      </c>
      <c r="B5203" s="2" t="s">
        <v>52</v>
      </c>
      <c r="C5203" s="3">
        <v>5.41</v>
      </c>
      <c r="D5203" s="4">
        <v>100.6801</v>
      </c>
      <c r="E5203" s="4">
        <v>89.265000000000001</v>
      </c>
      <c r="F5203" s="4">
        <f t="shared" si="301"/>
        <v>11.415099999999995</v>
      </c>
      <c r="G5203" s="5">
        <f t="shared" si="302"/>
        <v>0.11337990327780759</v>
      </c>
      <c r="H5203" s="2" t="s">
        <v>5</v>
      </c>
      <c r="I5203" s="6" t="s">
        <v>2300</v>
      </c>
      <c r="J5203" s="2" t="s">
        <v>5</v>
      </c>
      <c r="K5203" s="2" t="s">
        <v>5</v>
      </c>
      <c r="L5203" s="2" t="s">
        <v>5</v>
      </c>
      <c r="M5203" s="2" t="s">
        <v>5</v>
      </c>
      <c r="N5203" s="4">
        <v>0</v>
      </c>
    </row>
    <row r="5204" spans="1:14" x14ac:dyDescent="0.25">
      <c r="A5204" s="2" t="s">
        <v>51</v>
      </c>
      <c r="B5204" s="2" t="s">
        <v>52</v>
      </c>
      <c r="C5204" s="3">
        <v>84.18</v>
      </c>
      <c r="D5204" s="4">
        <v>1358.6651999999999</v>
      </c>
      <c r="E5204" s="4">
        <v>1388.97</v>
      </c>
      <c r="F5204" s="4">
        <f t="shared" si="301"/>
        <v>-30.304800000000114</v>
      </c>
      <c r="G5204" s="5">
        <f t="shared" si="302"/>
        <v>-2.2304832713754733E-2</v>
      </c>
      <c r="H5204" s="2" t="s">
        <v>5</v>
      </c>
      <c r="I5204" s="6" t="s">
        <v>2300</v>
      </c>
      <c r="J5204" s="2" t="s">
        <v>5</v>
      </c>
      <c r="K5204" s="2" t="s">
        <v>5</v>
      </c>
      <c r="L5204" s="2" t="s">
        <v>5</v>
      </c>
      <c r="M5204" s="2" t="s">
        <v>5</v>
      </c>
      <c r="N5204" s="4">
        <v>0</v>
      </c>
    </row>
    <row r="5205" spans="1:14" x14ac:dyDescent="0.25">
      <c r="A5205" s="2" t="s">
        <v>51</v>
      </c>
      <c r="B5205" s="2" t="s">
        <v>52</v>
      </c>
      <c r="C5205" s="3">
        <v>86.16</v>
      </c>
      <c r="D5205" s="4">
        <v>1472.4744000000001</v>
      </c>
      <c r="E5205" s="4">
        <v>1421.64</v>
      </c>
      <c r="F5205" s="4">
        <f t="shared" si="301"/>
        <v>50.83439999999996</v>
      </c>
      <c r="G5205" s="5">
        <f t="shared" si="302"/>
        <v>3.4523112931538882E-2</v>
      </c>
      <c r="H5205" s="2" t="s">
        <v>5</v>
      </c>
      <c r="I5205" s="6" t="s">
        <v>2300</v>
      </c>
      <c r="J5205" s="2" t="s">
        <v>5</v>
      </c>
      <c r="K5205" s="2" t="s">
        <v>5</v>
      </c>
      <c r="L5205" s="2" t="s">
        <v>5</v>
      </c>
      <c r="M5205" s="2" t="s">
        <v>5</v>
      </c>
      <c r="N5205" s="4">
        <v>0</v>
      </c>
    </row>
    <row r="5206" spans="1:14" x14ac:dyDescent="0.25">
      <c r="A5206" s="2" t="s">
        <v>51</v>
      </c>
      <c r="B5206" s="2" t="s">
        <v>52</v>
      </c>
      <c r="C5206" s="3">
        <v>109.82</v>
      </c>
      <c r="D5206" s="4">
        <v>1796.6551999999999</v>
      </c>
      <c r="E5206" s="4">
        <v>1812.03</v>
      </c>
      <c r="F5206" s="4">
        <f t="shared" si="301"/>
        <v>-15.37480000000005</v>
      </c>
      <c r="G5206" s="5">
        <f t="shared" si="302"/>
        <v>-8.5574572127139654E-3</v>
      </c>
      <c r="H5206" s="2" t="s">
        <v>5</v>
      </c>
      <c r="I5206" s="6" t="s">
        <v>2300</v>
      </c>
      <c r="J5206" s="2" t="s">
        <v>5</v>
      </c>
      <c r="K5206" s="2" t="s">
        <v>5</v>
      </c>
      <c r="L5206" s="2" t="s">
        <v>5</v>
      </c>
      <c r="M5206" s="2" t="s">
        <v>5</v>
      </c>
      <c r="N5206" s="4">
        <v>0</v>
      </c>
    </row>
    <row r="5207" spans="1:14" x14ac:dyDescent="0.25">
      <c r="A5207" s="2" t="s">
        <v>51</v>
      </c>
      <c r="B5207" s="2" t="s">
        <v>52</v>
      </c>
      <c r="C5207" s="3">
        <v>39.86</v>
      </c>
      <c r="D5207" s="4">
        <v>681.20740000000001</v>
      </c>
      <c r="E5207" s="4">
        <v>657.69</v>
      </c>
      <c r="F5207" s="4">
        <f t="shared" si="301"/>
        <v>23.517399999999952</v>
      </c>
      <c r="G5207" s="5">
        <f t="shared" si="302"/>
        <v>3.4523112931538841E-2</v>
      </c>
      <c r="H5207" s="2" t="s">
        <v>5</v>
      </c>
      <c r="I5207" s="6" t="s">
        <v>2300</v>
      </c>
      <c r="J5207" s="2" t="s">
        <v>5</v>
      </c>
      <c r="K5207" s="2" t="s">
        <v>5</v>
      </c>
      <c r="L5207" s="2" t="s">
        <v>5</v>
      </c>
      <c r="M5207" s="2" t="s">
        <v>5</v>
      </c>
      <c r="N5207" s="4">
        <v>0</v>
      </c>
    </row>
    <row r="5208" spans="1:14" x14ac:dyDescent="0.25">
      <c r="A5208" s="2" t="s">
        <v>51</v>
      </c>
      <c r="B5208" s="2" t="s">
        <v>52</v>
      </c>
      <c r="C5208" s="3">
        <v>20.8</v>
      </c>
      <c r="D5208" s="4">
        <v>387.08800000000002</v>
      </c>
      <c r="E5208" s="4">
        <v>343.2</v>
      </c>
      <c r="F5208" s="4">
        <f t="shared" si="301"/>
        <v>43.888000000000034</v>
      </c>
      <c r="G5208" s="5">
        <f t="shared" si="302"/>
        <v>0.11337990327780771</v>
      </c>
      <c r="H5208" s="2" t="s">
        <v>5</v>
      </c>
      <c r="I5208" s="6" t="s">
        <v>2300</v>
      </c>
      <c r="J5208" s="2" t="s">
        <v>5</v>
      </c>
      <c r="K5208" s="2" t="s">
        <v>5</v>
      </c>
      <c r="L5208" s="2" t="s">
        <v>5</v>
      </c>
      <c r="M5208" s="2" t="s">
        <v>5</v>
      </c>
      <c r="N5208" s="4">
        <v>0</v>
      </c>
    </row>
    <row r="5209" spans="1:14" x14ac:dyDescent="0.25">
      <c r="A5209" s="2" t="s">
        <v>51</v>
      </c>
      <c r="B5209" s="2" t="s">
        <v>52</v>
      </c>
      <c r="C5209" s="3">
        <v>26.39</v>
      </c>
      <c r="D5209" s="4">
        <v>472.11709999999999</v>
      </c>
      <c r="E5209" s="4">
        <v>435.435</v>
      </c>
      <c r="F5209" s="4">
        <f t="shared" si="301"/>
        <v>36.682099999999991</v>
      </c>
      <c r="G5209" s="5">
        <f t="shared" si="302"/>
        <v>7.7697037451089981E-2</v>
      </c>
      <c r="H5209" s="2" t="s">
        <v>5</v>
      </c>
      <c r="I5209" s="6" t="s">
        <v>2300</v>
      </c>
      <c r="J5209" s="2" t="s">
        <v>5</v>
      </c>
      <c r="K5209" s="2" t="s">
        <v>5</v>
      </c>
      <c r="L5209" s="2" t="s">
        <v>5</v>
      </c>
      <c r="M5209" s="2" t="s">
        <v>5</v>
      </c>
      <c r="N5209" s="4">
        <v>0</v>
      </c>
    </row>
    <row r="5210" spans="1:14" x14ac:dyDescent="0.25">
      <c r="A5210" s="2" t="s">
        <v>51</v>
      </c>
      <c r="B5210" s="2" t="s">
        <v>52</v>
      </c>
      <c r="C5210" s="3">
        <v>59.41</v>
      </c>
      <c r="D5210" s="4">
        <v>1086.6088999999999</v>
      </c>
      <c r="E5210" s="4">
        <v>980.26499999999999</v>
      </c>
      <c r="F5210" s="4">
        <f t="shared" si="301"/>
        <v>106.34389999999996</v>
      </c>
      <c r="G5210" s="5">
        <f t="shared" si="302"/>
        <v>9.7867687260798225E-2</v>
      </c>
      <c r="H5210" s="2" t="s">
        <v>5</v>
      </c>
      <c r="I5210" s="6" t="s">
        <v>2300</v>
      </c>
      <c r="J5210" s="2" t="s">
        <v>5</v>
      </c>
      <c r="K5210" s="2" t="s">
        <v>5</v>
      </c>
      <c r="L5210" s="2" t="s">
        <v>5</v>
      </c>
      <c r="M5210" s="2" t="s">
        <v>5</v>
      </c>
      <c r="N5210" s="4">
        <v>0</v>
      </c>
    </row>
    <row r="5211" spans="1:14" x14ac:dyDescent="0.25">
      <c r="A5211" s="2" t="s">
        <v>51</v>
      </c>
      <c r="B5211" s="2" t="s">
        <v>52</v>
      </c>
      <c r="C5211" s="3">
        <v>29.08</v>
      </c>
      <c r="D5211" s="4">
        <v>531.8732</v>
      </c>
      <c r="E5211" s="4">
        <v>479.82</v>
      </c>
      <c r="F5211" s="4">
        <f t="shared" si="301"/>
        <v>52.053200000000004</v>
      </c>
      <c r="G5211" s="5">
        <f t="shared" si="302"/>
        <v>9.7867687260798253E-2</v>
      </c>
      <c r="H5211" s="2" t="s">
        <v>5</v>
      </c>
      <c r="I5211" s="6" t="s">
        <v>2300</v>
      </c>
      <c r="J5211" s="2" t="s">
        <v>5</v>
      </c>
      <c r="K5211" s="2" t="s">
        <v>5</v>
      </c>
      <c r="L5211" s="2" t="s">
        <v>5</v>
      </c>
      <c r="M5211" s="2" t="s">
        <v>5</v>
      </c>
      <c r="N5211" s="4">
        <v>0</v>
      </c>
    </row>
    <row r="5212" spans="1:14" x14ac:dyDescent="0.25">
      <c r="A5212" s="2" t="s">
        <v>51</v>
      </c>
      <c r="B5212" s="2" t="s">
        <v>52</v>
      </c>
      <c r="C5212" s="3">
        <v>88.18</v>
      </c>
      <c r="D5212" s="4">
        <v>1593.4126000000001</v>
      </c>
      <c r="E5212" s="4">
        <v>1454.97</v>
      </c>
      <c r="F5212" s="4">
        <f t="shared" si="301"/>
        <v>138.44260000000008</v>
      </c>
      <c r="G5212" s="5">
        <f t="shared" si="302"/>
        <v>8.6884338682899881E-2</v>
      </c>
      <c r="H5212" s="2" t="s">
        <v>5</v>
      </c>
      <c r="I5212" s="6" t="s">
        <v>2300</v>
      </c>
      <c r="J5212" s="2" t="s">
        <v>5</v>
      </c>
      <c r="K5212" s="2" t="s">
        <v>5</v>
      </c>
      <c r="L5212" s="2" t="s">
        <v>5</v>
      </c>
      <c r="M5212" s="2" t="s">
        <v>5</v>
      </c>
      <c r="N5212" s="4">
        <v>0</v>
      </c>
    </row>
    <row r="5213" spans="1:14" x14ac:dyDescent="0.25">
      <c r="A5213" s="2" t="s">
        <v>51</v>
      </c>
      <c r="B5213" s="2" t="s">
        <v>52</v>
      </c>
      <c r="C5213" s="3">
        <v>89.42</v>
      </c>
      <c r="D5213" s="4">
        <v>1497.7850000000001</v>
      </c>
      <c r="E5213" s="4">
        <v>1475.43</v>
      </c>
      <c r="F5213" s="4">
        <f t="shared" si="301"/>
        <v>22.355000000000018</v>
      </c>
      <c r="G5213" s="5">
        <f t="shared" si="302"/>
        <v>1.492537313432837E-2</v>
      </c>
      <c r="H5213" s="2" t="s">
        <v>5</v>
      </c>
      <c r="I5213" s="6" t="s">
        <v>2300</v>
      </c>
      <c r="J5213" s="2" t="s">
        <v>5</v>
      </c>
      <c r="K5213" s="2" t="s">
        <v>5</v>
      </c>
      <c r="L5213" s="2" t="s">
        <v>5</v>
      </c>
      <c r="M5213" s="2" t="s">
        <v>5</v>
      </c>
      <c r="N5213" s="4">
        <v>0</v>
      </c>
    </row>
    <row r="5214" spans="1:14" x14ac:dyDescent="0.25">
      <c r="A5214" s="2" t="s">
        <v>51</v>
      </c>
      <c r="B5214" s="2" t="s">
        <v>52</v>
      </c>
      <c r="C5214" s="3">
        <v>22</v>
      </c>
      <c r="D5214" s="4">
        <v>393.58</v>
      </c>
      <c r="E5214" s="4">
        <v>363</v>
      </c>
      <c r="F5214" s="4">
        <f t="shared" si="301"/>
        <v>30.579999999999984</v>
      </c>
      <c r="G5214" s="5">
        <f t="shared" si="302"/>
        <v>7.7697037451089954E-2</v>
      </c>
      <c r="H5214" s="2" t="s">
        <v>5</v>
      </c>
      <c r="I5214" s="6" t="s">
        <v>2300</v>
      </c>
      <c r="J5214" s="2" t="s">
        <v>5</v>
      </c>
      <c r="K5214" s="2" t="s">
        <v>5</v>
      </c>
      <c r="L5214" s="2" t="s">
        <v>5</v>
      </c>
      <c r="M5214" s="2" t="s">
        <v>5</v>
      </c>
      <c r="N5214" s="4">
        <v>0</v>
      </c>
    </row>
    <row r="5215" spans="1:14" x14ac:dyDescent="0.25">
      <c r="A5215" s="2" t="s">
        <v>51</v>
      </c>
      <c r="B5215" s="2" t="s">
        <v>52</v>
      </c>
      <c r="C5215" s="3">
        <v>22.74</v>
      </c>
      <c r="D5215" s="4">
        <v>405.90899999999999</v>
      </c>
      <c r="E5215" s="4">
        <v>375.21</v>
      </c>
      <c r="F5215" s="4">
        <f t="shared" si="301"/>
        <v>30.699000000000012</v>
      </c>
      <c r="G5215" s="5">
        <f t="shared" si="302"/>
        <v>7.5630252100840373E-2</v>
      </c>
      <c r="H5215" s="2" t="s">
        <v>5</v>
      </c>
      <c r="I5215" s="6" t="s">
        <v>2300</v>
      </c>
      <c r="J5215" s="2" t="s">
        <v>5</v>
      </c>
      <c r="K5215" s="2" t="s">
        <v>5</v>
      </c>
      <c r="L5215" s="2" t="s">
        <v>5</v>
      </c>
      <c r="M5215" s="2" t="s">
        <v>5</v>
      </c>
      <c r="N5215" s="4">
        <v>0</v>
      </c>
    </row>
    <row r="5216" spans="1:14" x14ac:dyDescent="0.25">
      <c r="A5216" s="2" t="s">
        <v>51</v>
      </c>
      <c r="B5216" s="2" t="s">
        <v>52</v>
      </c>
      <c r="C5216" s="3">
        <v>5.53</v>
      </c>
      <c r="D5216" s="4">
        <v>102.91330000000001</v>
      </c>
      <c r="E5216" s="4">
        <v>91.245000000000005</v>
      </c>
      <c r="F5216" s="4">
        <f t="shared" si="301"/>
        <v>11.668300000000002</v>
      </c>
      <c r="G5216" s="5">
        <f t="shared" si="302"/>
        <v>0.11337990327780764</v>
      </c>
      <c r="H5216" s="2" t="s">
        <v>5</v>
      </c>
      <c r="I5216" s="6" t="s">
        <v>2300</v>
      </c>
      <c r="J5216" s="2" t="s">
        <v>5</v>
      </c>
      <c r="K5216" s="2" t="s">
        <v>5</v>
      </c>
      <c r="L5216" s="2" t="s">
        <v>5</v>
      </c>
      <c r="M5216" s="2" t="s">
        <v>5</v>
      </c>
      <c r="N5216" s="4">
        <v>0</v>
      </c>
    </row>
    <row r="5217" spans="1:14" x14ac:dyDescent="0.25">
      <c r="A5217" s="2" t="s">
        <v>51</v>
      </c>
      <c r="B5217" s="2" t="s">
        <v>52</v>
      </c>
      <c r="C5217" s="3">
        <v>44.44</v>
      </c>
      <c r="D5217" s="4">
        <v>727.03840000000002</v>
      </c>
      <c r="E5217" s="4">
        <v>733.26</v>
      </c>
      <c r="F5217" s="4">
        <f t="shared" ref="F5217:F5280" si="303">D5217-E5217</f>
        <v>-6.2215999999999667</v>
      </c>
      <c r="G5217" s="5">
        <f t="shared" ref="G5217:G5280" si="304">IF(((D5217)=0),0,(D5217-E5217)/ D5217)</f>
        <v>-8.5574572127138909E-3</v>
      </c>
      <c r="H5217" s="2" t="s">
        <v>5</v>
      </c>
      <c r="I5217" s="6" t="s">
        <v>2300</v>
      </c>
      <c r="J5217" s="2" t="s">
        <v>5</v>
      </c>
      <c r="K5217" s="2" t="s">
        <v>5</v>
      </c>
      <c r="L5217" s="2" t="s">
        <v>5</v>
      </c>
      <c r="M5217" s="2" t="s">
        <v>5</v>
      </c>
      <c r="N5217" s="4">
        <v>0</v>
      </c>
    </row>
    <row r="5218" spans="1:14" x14ac:dyDescent="0.25">
      <c r="A5218" s="2" t="s">
        <v>51</v>
      </c>
      <c r="B5218" s="2" t="s">
        <v>52</v>
      </c>
      <c r="C5218" s="3">
        <v>21.5</v>
      </c>
      <c r="D5218" s="4">
        <v>395.17</v>
      </c>
      <c r="E5218" s="4">
        <v>354.75</v>
      </c>
      <c r="F5218" s="4">
        <f t="shared" si="303"/>
        <v>40.420000000000016</v>
      </c>
      <c r="G5218" s="5">
        <f t="shared" si="304"/>
        <v>0.10228509249183899</v>
      </c>
      <c r="H5218" s="2" t="s">
        <v>5</v>
      </c>
      <c r="I5218" s="6" t="s">
        <v>2300</v>
      </c>
      <c r="J5218" s="2" t="s">
        <v>5</v>
      </c>
      <c r="K5218" s="2" t="s">
        <v>5</v>
      </c>
      <c r="L5218" s="2" t="s">
        <v>5</v>
      </c>
      <c r="M5218" s="2" t="s">
        <v>5</v>
      </c>
      <c r="N5218" s="4">
        <v>0</v>
      </c>
    </row>
    <row r="5219" spans="1:14" x14ac:dyDescent="0.25">
      <c r="A5219" s="2" t="s">
        <v>51</v>
      </c>
      <c r="B5219" s="2" t="s">
        <v>52</v>
      </c>
      <c r="C5219" s="3">
        <v>63.5</v>
      </c>
      <c r="D5219" s="4">
        <v>1038.8599999999999</v>
      </c>
      <c r="E5219" s="4">
        <v>1047.75</v>
      </c>
      <c r="F5219" s="4">
        <f t="shared" si="303"/>
        <v>-8.8900000000001</v>
      </c>
      <c r="G5219" s="5">
        <f t="shared" si="304"/>
        <v>-8.5574572127140331E-3</v>
      </c>
      <c r="H5219" s="2" t="s">
        <v>5</v>
      </c>
      <c r="I5219" s="6" t="s">
        <v>2300</v>
      </c>
      <c r="J5219" s="2" t="s">
        <v>5</v>
      </c>
      <c r="K5219" s="2" t="s">
        <v>5</v>
      </c>
      <c r="L5219" s="2" t="s">
        <v>5</v>
      </c>
      <c r="M5219" s="2" t="s">
        <v>5</v>
      </c>
      <c r="N5219" s="4">
        <v>0</v>
      </c>
    </row>
    <row r="5220" spans="1:14" x14ac:dyDescent="0.25">
      <c r="A5220" s="2" t="s">
        <v>51</v>
      </c>
      <c r="B5220" s="2" t="s">
        <v>52</v>
      </c>
      <c r="C5220" s="3">
        <v>21.9</v>
      </c>
      <c r="D5220" s="4">
        <v>391.791</v>
      </c>
      <c r="E5220" s="4">
        <v>361.35</v>
      </c>
      <c r="F5220" s="4">
        <f t="shared" si="303"/>
        <v>30.440999999999974</v>
      </c>
      <c r="G5220" s="5">
        <f t="shared" si="304"/>
        <v>7.7697037451089926E-2</v>
      </c>
      <c r="H5220" s="2" t="s">
        <v>5</v>
      </c>
      <c r="I5220" s="6" t="s">
        <v>2300</v>
      </c>
      <c r="J5220" s="2" t="s">
        <v>5</v>
      </c>
      <c r="K5220" s="2" t="s">
        <v>5</v>
      </c>
      <c r="L5220" s="2" t="s">
        <v>5</v>
      </c>
      <c r="M5220" s="2" t="s">
        <v>5</v>
      </c>
      <c r="N5220" s="4">
        <v>0</v>
      </c>
    </row>
    <row r="5221" spans="1:14" x14ac:dyDescent="0.25">
      <c r="A5221" s="2" t="s">
        <v>51</v>
      </c>
      <c r="B5221" s="2" t="s">
        <v>52</v>
      </c>
      <c r="C5221" s="3">
        <v>10.72</v>
      </c>
      <c r="D5221" s="4">
        <v>199.4992</v>
      </c>
      <c r="E5221" s="4">
        <v>176.88</v>
      </c>
      <c r="F5221" s="4">
        <f t="shared" si="303"/>
        <v>22.619200000000006</v>
      </c>
      <c r="G5221" s="5">
        <f t="shared" si="304"/>
        <v>0.11337990327780766</v>
      </c>
      <c r="H5221" s="2" t="s">
        <v>5</v>
      </c>
      <c r="I5221" s="6" t="s">
        <v>2300</v>
      </c>
      <c r="J5221" s="2" t="s">
        <v>5</v>
      </c>
      <c r="K5221" s="2" t="s">
        <v>5</v>
      </c>
      <c r="L5221" s="2" t="s">
        <v>5</v>
      </c>
      <c r="M5221" s="2" t="s">
        <v>5</v>
      </c>
      <c r="N5221" s="4">
        <v>0</v>
      </c>
    </row>
    <row r="5222" spans="1:14" x14ac:dyDescent="0.25">
      <c r="A5222" s="2" t="s">
        <v>248</v>
      </c>
      <c r="B5222" s="2" t="s">
        <v>249</v>
      </c>
      <c r="C5222" s="3">
        <v>16</v>
      </c>
      <c r="D5222" s="4">
        <v>198.56</v>
      </c>
      <c r="E5222" s="4">
        <v>152</v>
      </c>
      <c r="F5222" s="4">
        <f t="shared" si="303"/>
        <v>46.56</v>
      </c>
      <c r="G5222" s="5">
        <f t="shared" si="304"/>
        <v>0.23448831587429494</v>
      </c>
      <c r="H5222" s="2" t="s">
        <v>5</v>
      </c>
      <c r="I5222" s="6" t="s">
        <v>2300</v>
      </c>
      <c r="J5222" s="2" t="s">
        <v>5</v>
      </c>
      <c r="K5222" s="2" t="s">
        <v>5</v>
      </c>
      <c r="L5222" s="2" t="s">
        <v>5</v>
      </c>
      <c r="M5222" s="2" t="s">
        <v>5</v>
      </c>
      <c r="N5222" s="4">
        <v>0</v>
      </c>
    </row>
    <row r="5223" spans="1:14" x14ac:dyDescent="0.25">
      <c r="A5223" s="2" t="s">
        <v>248</v>
      </c>
      <c r="B5223" s="2" t="s">
        <v>249</v>
      </c>
      <c r="C5223" s="3">
        <v>16</v>
      </c>
      <c r="D5223" s="4">
        <v>197.28</v>
      </c>
      <c r="E5223" s="4">
        <v>152</v>
      </c>
      <c r="F5223" s="4">
        <f t="shared" si="303"/>
        <v>45.28</v>
      </c>
      <c r="G5223" s="5">
        <f t="shared" si="304"/>
        <v>0.22952149229521493</v>
      </c>
      <c r="H5223" s="2" t="s">
        <v>5</v>
      </c>
      <c r="I5223" s="6" t="s">
        <v>2300</v>
      </c>
      <c r="J5223" s="2" t="s">
        <v>5</v>
      </c>
      <c r="K5223" s="2" t="s">
        <v>5</v>
      </c>
      <c r="L5223" s="2" t="s">
        <v>5</v>
      </c>
      <c r="M5223" s="2" t="s">
        <v>5</v>
      </c>
      <c r="N5223" s="4">
        <v>0</v>
      </c>
    </row>
    <row r="5224" spans="1:14" x14ac:dyDescent="0.25">
      <c r="A5224" s="2" t="s">
        <v>248</v>
      </c>
      <c r="B5224" s="2" t="s">
        <v>249</v>
      </c>
      <c r="C5224" s="3">
        <v>3.8759999999999999</v>
      </c>
      <c r="D5224" s="4">
        <v>60.388080000000002</v>
      </c>
      <c r="E5224" s="4">
        <v>36.822000000000003</v>
      </c>
      <c r="F5224" s="4">
        <f t="shared" si="303"/>
        <v>23.566079999999999</v>
      </c>
      <c r="G5224" s="5">
        <f t="shared" si="304"/>
        <v>0.39024390243902435</v>
      </c>
      <c r="H5224" s="2" t="s">
        <v>5</v>
      </c>
      <c r="I5224" s="6" t="s">
        <v>2300</v>
      </c>
      <c r="J5224" s="2" t="s">
        <v>5</v>
      </c>
      <c r="K5224" s="2" t="s">
        <v>5</v>
      </c>
      <c r="L5224" s="2" t="s">
        <v>5</v>
      </c>
      <c r="M5224" s="2" t="s">
        <v>5</v>
      </c>
      <c r="N5224" s="4">
        <v>0</v>
      </c>
    </row>
    <row r="5225" spans="1:14" x14ac:dyDescent="0.25">
      <c r="A5225" s="2" t="s">
        <v>248</v>
      </c>
      <c r="B5225" s="2" t="s">
        <v>249</v>
      </c>
      <c r="C5225" s="3">
        <v>10.8</v>
      </c>
      <c r="D5225" s="4">
        <v>145.80000000000001</v>
      </c>
      <c r="E5225" s="4">
        <v>102.6</v>
      </c>
      <c r="F5225" s="4">
        <f t="shared" si="303"/>
        <v>43.200000000000017</v>
      </c>
      <c r="G5225" s="5">
        <f t="shared" si="304"/>
        <v>0.29629629629629639</v>
      </c>
      <c r="H5225" s="2" t="s">
        <v>5</v>
      </c>
      <c r="I5225" s="6" t="s">
        <v>2300</v>
      </c>
      <c r="J5225" s="2" t="s">
        <v>5</v>
      </c>
      <c r="K5225" s="2" t="s">
        <v>5</v>
      </c>
      <c r="L5225" s="2" t="s">
        <v>5</v>
      </c>
      <c r="M5225" s="2" t="s">
        <v>5</v>
      </c>
      <c r="N5225" s="4">
        <v>0</v>
      </c>
    </row>
    <row r="5226" spans="1:14" x14ac:dyDescent="0.25">
      <c r="A5226" s="2" t="s">
        <v>248</v>
      </c>
      <c r="B5226" s="2" t="s">
        <v>249</v>
      </c>
      <c r="C5226" s="3">
        <v>2.1480000000000001</v>
      </c>
      <c r="D5226" s="4">
        <v>33.46584</v>
      </c>
      <c r="E5226" s="4">
        <v>20.405999999999999</v>
      </c>
      <c r="F5226" s="4">
        <f t="shared" si="303"/>
        <v>13.059840000000001</v>
      </c>
      <c r="G5226" s="5">
        <f t="shared" si="304"/>
        <v>0.3902439024390244</v>
      </c>
      <c r="H5226" s="2" t="s">
        <v>5</v>
      </c>
      <c r="I5226" s="6" t="s">
        <v>2300</v>
      </c>
      <c r="J5226" s="2" t="s">
        <v>5</v>
      </c>
      <c r="K5226" s="2" t="s">
        <v>5</v>
      </c>
      <c r="L5226" s="2" t="s">
        <v>5</v>
      </c>
      <c r="M5226" s="2" t="s">
        <v>5</v>
      </c>
      <c r="N5226" s="4">
        <v>0</v>
      </c>
    </row>
    <row r="5227" spans="1:14" x14ac:dyDescent="0.25">
      <c r="A5227" s="2" t="s">
        <v>248</v>
      </c>
      <c r="B5227" s="2" t="s">
        <v>249</v>
      </c>
      <c r="C5227" s="3">
        <v>300</v>
      </c>
      <c r="D5227" s="4">
        <v>4050</v>
      </c>
      <c r="E5227" s="4">
        <v>2850</v>
      </c>
      <c r="F5227" s="4">
        <f t="shared" si="303"/>
        <v>1200</v>
      </c>
      <c r="G5227" s="5">
        <f t="shared" si="304"/>
        <v>0.29629629629629628</v>
      </c>
      <c r="H5227" s="2" t="s">
        <v>5</v>
      </c>
      <c r="I5227" s="6" t="s">
        <v>2300</v>
      </c>
      <c r="J5227" s="2" t="s">
        <v>5</v>
      </c>
      <c r="K5227" s="2" t="s">
        <v>5</v>
      </c>
      <c r="L5227" s="2" t="s">
        <v>5</v>
      </c>
      <c r="M5227" s="2" t="s">
        <v>5</v>
      </c>
      <c r="N5227" s="4">
        <v>0</v>
      </c>
    </row>
    <row r="5228" spans="1:14" x14ac:dyDescent="0.25">
      <c r="A5228" s="2" t="s">
        <v>711</v>
      </c>
      <c r="B5228" s="2" t="s">
        <v>712</v>
      </c>
      <c r="C5228" s="3">
        <v>28.25</v>
      </c>
      <c r="D5228" s="4">
        <v>365.83749999999998</v>
      </c>
      <c r="E5228" s="4">
        <v>240.125</v>
      </c>
      <c r="F5228" s="4">
        <f t="shared" si="303"/>
        <v>125.71249999999998</v>
      </c>
      <c r="G5228" s="5">
        <f t="shared" si="304"/>
        <v>0.34362934362934361</v>
      </c>
      <c r="H5228" s="2" t="s">
        <v>5</v>
      </c>
      <c r="I5228" s="6" t="s">
        <v>2300</v>
      </c>
      <c r="J5228" s="2" t="s">
        <v>5</v>
      </c>
      <c r="K5228" s="2" t="s">
        <v>5</v>
      </c>
      <c r="L5228" s="2" t="s">
        <v>5</v>
      </c>
      <c r="M5228" s="2" t="s">
        <v>5</v>
      </c>
      <c r="N5228" s="4">
        <v>0</v>
      </c>
    </row>
    <row r="5229" spans="1:14" x14ac:dyDescent="0.25">
      <c r="A5229" s="2" t="s">
        <v>2148</v>
      </c>
      <c r="B5229" s="2" t="s">
        <v>2149</v>
      </c>
      <c r="C5229" s="3">
        <v>2</v>
      </c>
      <c r="D5229" s="4">
        <v>816.64</v>
      </c>
      <c r="E5229" s="4">
        <v>413.62</v>
      </c>
      <c r="F5229" s="4">
        <f t="shared" si="303"/>
        <v>403.02</v>
      </c>
      <c r="G5229" s="5">
        <f t="shared" si="304"/>
        <v>0.49350999216300939</v>
      </c>
      <c r="H5229" s="2" t="s">
        <v>5</v>
      </c>
      <c r="I5229" s="6" t="s">
        <v>2300</v>
      </c>
      <c r="J5229" s="2" t="s">
        <v>5</v>
      </c>
      <c r="K5229" s="2" t="s">
        <v>5</v>
      </c>
      <c r="L5229" s="2" t="s">
        <v>5</v>
      </c>
      <c r="M5229" s="2" t="s">
        <v>5</v>
      </c>
      <c r="N5229" s="4">
        <v>0</v>
      </c>
    </row>
    <row r="5230" spans="1:14" x14ac:dyDescent="0.25">
      <c r="A5230" s="2" t="s">
        <v>2148</v>
      </c>
      <c r="B5230" s="2" t="s">
        <v>2149</v>
      </c>
      <c r="C5230" s="3">
        <v>1</v>
      </c>
      <c r="D5230" s="4">
        <v>408.32</v>
      </c>
      <c r="E5230" s="4">
        <v>206.81</v>
      </c>
      <c r="F5230" s="4">
        <f t="shared" si="303"/>
        <v>201.51</v>
      </c>
      <c r="G5230" s="5">
        <f t="shared" si="304"/>
        <v>0.49350999216300939</v>
      </c>
      <c r="H5230" s="2" t="s">
        <v>5</v>
      </c>
      <c r="I5230" s="6" t="s">
        <v>2300</v>
      </c>
      <c r="J5230" s="2" t="s">
        <v>5</v>
      </c>
      <c r="K5230" s="2" t="s">
        <v>5</v>
      </c>
      <c r="L5230" s="2" t="s">
        <v>5</v>
      </c>
      <c r="M5230" s="2" t="s">
        <v>5</v>
      </c>
      <c r="N5230" s="4">
        <v>0</v>
      </c>
    </row>
    <row r="5231" spans="1:14" x14ac:dyDescent="0.25">
      <c r="A5231" s="2" t="s">
        <v>165</v>
      </c>
      <c r="B5231" s="2" t="s">
        <v>166</v>
      </c>
      <c r="C5231" s="3">
        <v>13</v>
      </c>
      <c r="D5231" s="4">
        <v>454.61</v>
      </c>
      <c r="E5231" s="4">
        <v>305.5</v>
      </c>
      <c r="F5231" s="4">
        <f t="shared" si="303"/>
        <v>149.11000000000001</v>
      </c>
      <c r="G5231" s="5">
        <f t="shared" si="304"/>
        <v>0.32799542464969977</v>
      </c>
      <c r="H5231" s="2" t="s">
        <v>5</v>
      </c>
      <c r="I5231" s="6" t="s">
        <v>2300</v>
      </c>
      <c r="J5231" s="2" t="s">
        <v>5</v>
      </c>
      <c r="K5231" s="2" t="s">
        <v>5</v>
      </c>
      <c r="L5231" s="2" t="s">
        <v>5</v>
      </c>
      <c r="M5231" s="2" t="s">
        <v>5</v>
      </c>
      <c r="N5231" s="4">
        <v>0</v>
      </c>
    </row>
    <row r="5232" spans="1:14" x14ac:dyDescent="0.25">
      <c r="A5232" s="2" t="s">
        <v>165</v>
      </c>
      <c r="B5232" s="2" t="s">
        <v>166</v>
      </c>
      <c r="C5232" s="3">
        <v>5.8</v>
      </c>
      <c r="D5232" s="4">
        <v>202.82599999999999</v>
      </c>
      <c r="E5232" s="4">
        <v>136.30000000000001</v>
      </c>
      <c r="F5232" s="4">
        <f t="shared" si="303"/>
        <v>66.525999999999982</v>
      </c>
      <c r="G5232" s="5">
        <f t="shared" si="304"/>
        <v>0.32799542464969966</v>
      </c>
      <c r="H5232" s="2" t="s">
        <v>5</v>
      </c>
      <c r="I5232" s="6" t="s">
        <v>2300</v>
      </c>
      <c r="J5232" s="2" t="s">
        <v>5</v>
      </c>
      <c r="K5232" s="2" t="s">
        <v>5</v>
      </c>
      <c r="L5232" s="2" t="s">
        <v>5</v>
      </c>
      <c r="M5232" s="2" t="s">
        <v>5</v>
      </c>
      <c r="N5232" s="4">
        <v>0</v>
      </c>
    </row>
    <row r="5233" spans="1:14" x14ac:dyDescent="0.25">
      <c r="A5233" s="2" t="s">
        <v>165</v>
      </c>
      <c r="B5233" s="2" t="s">
        <v>166</v>
      </c>
      <c r="C5233" s="3">
        <v>6.24</v>
      </c>
      <c r="D5233" s="4">
        <v>218.21279999999999</v>
      </c>
      <c r="E5233" s="4">
        <v>146.63999999999999</v>
      </c>
      <c r="F5233" s="4">
        <f t="shared" si="303"/>
        <v>71.572800000000001</v>
      </c>
      <c r="G5233" s="5">
        <f t="shared" si="304"/>
        <v>0.32799542464969977</v>
      </c>
      <c r="H5233" s="2" t="s">
        <v>5</v>
      </c>
      <c r="I5233" s="6" t="s">
        <v>2300</v>
      </c>
      <c r="J5233" s="2" t="s">
        <v>5</v>
      </c>
      <c r="K5233" s="2" t="s">
        <v>5</v>
      </c>
      <c r="L5233" s="2" t="s">
        <v>5</v>
      </c>
      <c r="M5233" s="2" t="s">
        <v>5</v>
      </c>
      <c r="N5233" s="4">
        <v>0</v>
      </c>
    </row>
    <row r="5234" spans="1:14" x14ac:dyDescent="0.25">
      <c r="A5234" s="2" t="s">
        <v>735</v>
      </c>
      <c r="B5234" s="2" t="s">
        <v>736</v>
      </c>
      <c r="C5234" s="3">
        <v>20.2</v>
      </c>
      <c r="D5234" s="4">
        <v>393.69799999999998</v>
      </c>
      <c r="E5234" s="4">
        <v>342.39</v>
      </c>
      <c r="F5234" s="4">
        <f t="shared" si="303"/>
        <v>51.307999999999993</v>
      </c>
      <c r="G5234" s="5">
        <f t="shared" si="304"/>
        <v>0.13032324268855822</v>
      </c>
      <c r="H5234" s="2" t="s">
        <v>5</v>
      </c>
      <c r="I5234" s="6" t="s">
        <v>2300</v>
      </c>
      <c r="J5234" s="2" t="s">
        <v>5</v>
      </c>
      <c r="K5234" s="2" t="s">
        <v>5</v>
      </c>
      <c r="L5234" s="2" t="s">
        <v>5</v>
      </c>
      <c r="M5234" s="2" t="s">
        <v>5</v>
      </c>
      <c r="N5234" s="4">
        <v>0</v>
      </c>
    </row>
    <row r="5235" spans="1:14" x14ac:dyDescent="0.25">
      <c r="A5235" s="2" t="s">
        <v>581</v>
      </c>
      <c r="B5235" s="2" t="s">
        <v>582</v>
      </c>
      <c r="C5235" s="3">
        <v>22.25</v>
      </c>
      <c r="D5235" s="4">
        <v>326.185</v>
      </c>
      <c r="E5235" s="4">
        <v>193.57499999999999</v>
      </c>
      <c r="F5235" s="4">
        <f t="shared" si="303"/>
        <v>132.61000000000001</v>
      </c>
      <c r="G5235" s="5">
        <f t="shared" si="304"/>
        <v>0.40654843110504779</v>
      </c>
      <c r="H5235" s="2" t="s">
        <v>5</v>
      </c>
      <c r="I5235" s="6" t="s">
        <v>2300</v>
      </c>
      <c r="J5235" s="2" t="s">
        <v>5</v>
      </c>
      <c r="K5235" s="2" t="s">
        <v>5</v>
      </c>
      <c r="L5235" s="2" t="s">
        <v>5</v>
      </c>
      <c r="M5235" s="2" t="s">
        <v>5</v>
      </c>
      <c r="N5235" s="4">
        <v>0</v>
      </c>
    </row>
    <row r="5236" spans="1:14" x14ac:dyDescent="0.25">
      <c r="A5236" s="2" t="s">
        <v>581</v>
      </c>
      <c r="B5236" s="2" t="s">
        <v>582</v>
      </c>
      <c r="C5236" s="3">
        <v>22.62</v>
      </c>
      <c r="D5236" s="4">
        <v>316.00139999999999</v>
      </c>
      <c r="E5236" s="4">
        <v>196.79400000000001</v>
      </c>
      <c r="F5236" s="4">
        <f t="shared" si="303"/>
        <v>119.20739999999998</v>
      </c>
      <c r="G5236" s="5">
        <f t="shared" si="304"/>
        <v>0.37723693629205435</v>
      </c>
      <c r="H5236" s="2" t="s">
        <v>5</v>
      </c>
      <c r="I5236" s="6" t="s">
        <v>2300</v>
      </c>
      <c r="J5236" s="2" t="s">
        <v>5</v>
      </c>
      <c r="K5236" s="2" t="s">
        <v>5</v>
      </c>
      <c r="L5236" s="2" t="s">
        <v>5</v>
      </c>
      <c r="M5236" s="2" t="s">
        <v>5</v>
      </c>
      <c r="N5236" s="4">
        <v>0</v>
      </c>
    </row>
    <row r="5237" spans="1:14" x14ac:dyDescent="0.25">
      <c r="A5237" s="2" t="s">
        <v>581</v>
      </c>
      <c r="B5237" s="2" t="s">
        <v>582</v>
      </c>
      <c r="C5237" s="3">
        <v>21.02</v>
      </c>
      <c r="D5237" s="4">
        <v>295.12079999999997</v>
      </c>
      <c r="E5237" s="4">
        <v>182.874</v>
      </c>
      <c r="F5237" s="4">
        <f t="shared" si="303"/>
        <v>112.24679999999998</v>
      </c>
      <c r="G5237" s="5">
        <f t="shared" si="304"/>
        <v>0.38034188034188032</v>
      </c>
      <c r="H5237" s="2" t="s">
        <v>5</v>
      </c>
      <c r="I5237" s="6" t="s">
        <v>2300</v>
      </c>
      <c r="J5237" s="2" t="s">
        <v>5</v>
      </c>
      <c r="K5237" s="2" t="s">
        <v>5</v>
      </c>
      <c r="L5237" s="2" t="s">
        <v>5</v>
      </c>
      <c r="M5237" s="2" t="s">
        <v>5</v>
      </c>
      <c r="N5237" s="4">
        <v>0</v>
      </c>
    </row>
    <row r="5238" spans="1:14" x14ac:dyDescent="0.25">
      <c r="A5238" s="2" t="s">
        <v>581</v>
      </c>
      <c r="B5238" s="2" t="s">
        <v>582</v>
      </c>
      <c r="C5238" s="3">
        <v>127.94</v>
      </c>
      <c r="D5238" s="4">
        <v>1774.5278000000001</v>
      </c>
      <c r="E5238" s="4">
        <v>1113.078</v>
      </c>
      <c r="F5238" s="4">
        <f t="shared" si="303"/>
        <v>661.4498000000001</v>
      </c>
      <c r="G5238" s="5">
        <f t="shared" si="304"/>
        <v>0.37274693583273255</v>
      </c>
      <c r="H5238" s="2" t="s">
        <v>5</v>
      </c>
      <c r="I5238" s="6" t="s">
        <v>2300</v>
      </c>
      <c r="J5238" s="2" t="s">
        <v>5</v>
      </c>
      <c r="K5238" s="2" t="s">
        <v>5</v>
      </c>
      <c r="L5238" s="2" t="s">
        <v>5</v>
      </c>
      <c r="M5238" s="2" t="s">
        <v>5</v>
      </c>
      <c r="N5238" s="4">
        <v>0</v>
      </c>
    </row>
    <row r="5239" spans="1:14" x14ac:dyDescent="0.25">
      <c r="A5239" s="2" t="s">
        <v>581</v>
      </c>
      <c r="B5239" s="2" t="s">
        <v>582</v>
      </c>
      <c r="C5239" s="3">
        <v>45.99</v>
      </c>
      <c r="D5239" s="4">
        <v>631.44269999999995</v>
      </c>
      <c r="E5239" s="4">
        <v>400.113</v>
      </c>
      <c r="F5239" s="4">
        <f t="shared" si="303"/>
        <v>231.32969999999995</v>
      </c>
      <c r="G5239" s="5">
        <f t="shared" si="304"/>
        <v>0.36635105608157315</v>
      </c>
      <c r="H5239" s="2" t="s">
        <v>5</v>
      </c>
      <c r="I5239" s="6" t="s">
        <v>2300</v>
      </c>
      <c r="J5239" s="2" t="s">
        <v>5</v>
      </c>
      <c r="K5239" s="2" t="s">
        <v>5</v>
      </c>
      <c r="L5239" s="2" t="s">
        <v>5</v>
      </c>
      <c r="M5239" s="2" t="s">
        <v>5</v>
      </c>
      <c r="N5239" s="4">
        <v>0</v>
      </c>
    </row>
    <row r="5240" spans="1:14" x14ac:dyDescent="0.25">
      <c r="A5240" s="2" t="s">
        <v>581</v>
      </c>
      <c r="B5240" s="2" t="s">
        <v>582</v>
      </c>
      <c r="C5240" s="3">
        <v>60.28</v>
      </c>
      <c r="D5240" s="4">
        <v>781.22879999999998</v>
      </c>
      <c r="E5240" s="4">
        <v>524.43600000000004</v>
      </c>
      <c r="F5240" s="4">
        <f t="shared" si="303"/>
        <v>256.79279999999994</v>
      </c>
      <c r="G5240" s="5">
        <f t="shared" si="304"/>
        <v>0.32870370370370366</v>
      </c>
      <c r="H5240" s="2" t="s">
        <v>5</v>
      </c>
      <c r="I5240" s="6" t="s">
        <v>2300</v>
      </c>
      <c r="J5240" s="2" t="s">
        <v>5</v>
      </c>
      <c r="K5240" s="2" t="s">
        <v>5</v>
      </c>
      <c r="L5240" s="2" t="s">
        <v>5</v>
      </c>
      <c r="M5240" s="2" t="s">
        <v>5</v>
      </c>
      <c r="N5240" s="4">
        <v>0</v>
      </c>
    </row>
    <row r="5241" spans="1:14" x14ac:dyDescent="0.25">
      <c r="A5241" s="2" t="s">
        <v>581</v>
      </c>
      <c r="B5241" s="2" t="s">
        <v>582</v>
      </c>
      <c r="C5241" s="3">
        <v>105.68</v>
      </c>
      <c r="D5241" s="4">
        <v>1465.7816</v>
      </c>
      <c r="E5241" s="4">
        <v>919.41600000000005</v>
      </c>
      <c r="F5241" s="4">
        <f t="shared" si="303"/>
        <v>546.36559999999997</v>
      </c>
      <c r="G5241" s="5">
        <f t="shared" si="304"/>
        <v>0.3727469358327325</v>
      </c>
      <c r="H5241" s="2" t="s">
        <v>5</v>
      </c>
      <c r="I5241" s="6" t="s">
        <v>2300</v>
      </c>
      <c r="J5241" s="2" t="s">
        <v>5</v>
      </c>
      <c r="K5241" s="2" t="s">
        <v>5</v>
      </c>
      <c r="L5241" s="2" t="s">
        <v>5</v>
      </c>
      <c r="M5241" s="2" t="s">
        <v>5</v>
      </c>
      <c r="N5241" s="4">
        <v>0</v>
      </c>
    </row>
    <row r="5242" spans="1:14" x14ac:dyDescent="0.25">
      <c r="A5242" s="2" t="s">
        <v>581</v>
      </c>
      <c r="B5242" s="2" t="s">
        <v>582</v>
      </c>
      <c r="C5242" s="3">
        <v>9.43</v>
      </c>
      <c r="D5242" s="4">
        <v>144.4676</v>
      </c>
      <c r="E5242" s="4">
        <v>82.040999999999997</v>
      </c>
      <c r="F5242" s="4">
        <f t="shared" si="303"/>
        <v>62.426600000000008</v>
      </c>
      <c r="G5242" s="5">
        <f t="shared" si="304"/>
        <v>0.43211488250652746</v>
      </c>
      <c r="H5242" s="2" t="s">
        <v>5</v>
      </c>
      <c r="I5242" s="6" t="s">
        <v>2300</v>
      </c>
      <c r="J5242" s="2" t="s">
        <v>5</v>
      </c>
      <c r="K5242" s="2" t="s">
        <v>5</v>
      </c>
      <c r="L5242" s="2" t="s">
        <v>5</v>
      </c>
      <c r="M5242" s="2" t="s">
        <v>5</v>
      </c>
      <c r="N5242" s="4">
        <v>0</v>
      </c>
    </row>
    <row r="5243" spans="1:14" x14ac:dyDescent="0.25">
      <c r="A5243" s="2" t="s">
        <v>581</v>
      </c>
      <c r="B5243" s="2" t="s">
        <v>582</v>
      </c>
      <c r="C5243" s="3">
        <v>22.88</v>
      </c>
      <c r="D5243" s="4">
        <v>317.34559999999999</v>
      </c>
      <c r="E5243" s="4">
        <v>199.05600000000001</v>
      </c>
      <c r="F5243" s="4">
        <f t="shared" si="303"/>
        <v>118.28959999999998</v>
      </c>
      <c r="G5243" s="5">
        <f t="shared" si="304"/>
        <v>0.37274693583273244</v>
      </c>
      <c r="H5243" s="2" t="s">
        <v>5</v>
      </c>
      <c r="I5243" s="6" t="s">
        <v>2300</v>
      </c>
      <c r="J5243" s="2" t="s">
        <v>5</v>
      </c>
      <c r="K5243" s="2" t="s">
        <v>5</v>
      </c>
      <c r="L5243" s="2" t="s">
        <v>5</v>
      </c>
      <c r="M5243" s="2" t="s">
        <v>5</v>
      </c>
      <c r="N5243" s="4">
        <v>0</v>
      </c>
    </row>
    <row r="5244" spans="1:14" x14ac:dyDescent="0.25">
      <c r="A5244" s="2" t="s">
        <v>581</v>
      </c>
      <c r="B5244" s="2" t="s">
        <v>582</v>
      </c>
      <c r="C5244" s="3">
        <v>21.14</v>
      </c>
      <c r="D5244" s="4">
        <v>323.8648</v>
      </c>
      <c r="E5244" s="4">
        <v>183.91800000000001</v>
      </c>
      <c r="F5244" s="4">
        <f t="shared" si="303"/>
        <v>139.9468</v>
      </c>
      <c r="G5244" s="5">
        <f t="shared" si="304"/>
        <v>0.43211488250652741</v>
      </c>
      <c r="H5244" s="2" t="s">
        <v>5</v>
      </c>
      <c r="I5244" s="6" t="s">
        <v>2300</v>
      </c>
      <c r="J5244" s="2" t="s">
        <v>5</v>
      </c>
      <c r="K5244" s="2" t="s">
        <v>5</v>
      </c>
      <c r="L5244" s="2" t="s">
        <v>5</v>
      </c>
      <c r="M5244" s="2" t="s">
        <v>5</v>
      </c>
      <c r="N5244" s="4">
        <v>0</v>
      </c>
    </row>
    <row r="5245" spans="1:14" x14ac:dyDescent="0.25">
      <c r="A5245" s="2" t="s">
        <v>334</v>
      </c>
      <c r="B5245" s="2" t="s">
        <v>335</v>
      </c>
      <c r="C5245" s="3">
        <v>22.68</v>
      </c>
      <c r="D5245" s="4">
        <v>390.77640000000002</v>
      </c>
      <c r="E5245" s="4">
        <v>335.66399999999999</v>
      </c>
      <c r="F5245" s="4">
        <f t="shared" si="303"/>
        <v>55.112400000000036</v>
      </c>
      <c r="G5245" s="5">
        <f t="shared" si="304"/>
        <v>0.14103308183401053</v>
      </c>
      <c r="H5245" s="2" t="s">
        <v>5</v>
      </c>
      <c r="I5245" s="6" t="s">
        <v>2300</v>
      </c>
      <c r="J5245" s="2" t="s">
        <v>5</v>
      </c>
      <c r="K5245" s="2" t="s">
        <v>5</v>
      </c>
      <c r="L5245" s="2" t="s">
        <v>5</v>
      </c>
      <c r="M5245" s="2" t="s">
        <v>5</v>
      </c>
      <c r="N5245" s="4">
        <v>0</v>
      </c>
    </row>
    <row r="5246" spans="1:14" x14ac:dyDescent="0.25">
      <c r="A5246" s="2" t="s">
        <v>334</v>
      </c>
      <c r="B5246" s="2" t="s">
        <v>335</v>
      </c>
      <c r="C5246" s="3">
        <v>24.36</v>
      </c>
      <c r="D5246" s="4">
        <v>419.72280000000001</v>
      </c>
      <c r="E5246" s="4">
        <v>360.52800000000002</v>
      </c>
      <c r="F5246" s="4">
        <f t="shared" si="303"/>
        <v>59.194799999999987</v>
      </c>
      <c r="G5246" s="5">
        <f t="shared" si="304"/>
        <v>0.14103308183401042</v>
      </c>
      <c r="H5246" s="2" t="s">
        <v>5</v>
      </c>
      <c r="I5246" s="6" t="s">
        <v>2300</v>
      </c>
      <c r="J5246" s="2" t="s">
        <v>5</v>
      </c>
      <c r="K5246" s="2" t="s">
        <v>5</v>
      </c>
      <c r="L5246" s="2" t="s">
        <v>5</v>
      </c>
      <c r="M5246" s="2" t="s">
        <v>5</v>
      </c>
      <c r="N5246" s="4">
        <v>0</v>
      </c>
    </row>
    <row r="5247" spans="1:14" x14ac:dyDescent="0.25">
      <c r="A5247" s="2" t="s">
        <v>334</v>
      </c>
      <c r="B5247" s="2" t="s">
        <v>335</v>
      </c>
      <c r="C5247" s="3">
        <v>13.3</v>
      </c>
      <c r="D5247" s="4">
        <v>229.15899999999999</v>
      </c>
      <c r="E5247" s="4">
        <v>196.84</v>
      </c>
      <c r="F5247" s="4">
        <f t="shared" si="303"/>
        <v>32.318999999999988</v>
      </c>
      <c r="G5247" s="5">
        <f t="shared" si="304"/>
        <v>0.14103308183401039</v>
      </c>
      <c r="H5247" s="2" t="s">
        <v>5</v>
      </c>
      <c r="I5247" s="6" t="s">
        <v>2300</v>
      </c>
      <c r="J5247" s="2" t="s">
        <v>5</v>
      </c>
      <c r="K5247" s="2" t="s">
        <v>5</v>
      </c>
      <c r="L5247" s="2" t="s">
        <v>5</v>
      </c>
      <c r="M5247" s="2" t="s">
        <v>5</v>
      </c>
      <c r="N5247" s="4">
        <v>0</v>
      </c>
    </row>
    <row r="5248" spans="1:14" x14ac:dyDescent="0.25">
      <c r="A5248" s="2" t="s">
        <v>334</v>
      </c>
      <c r="B5248" s="2" t="s">
        <v>335</v>
      </c>
      <c r="C5248" s="3">
        <v>25.34</v>
      </c>
      <c r="D5248" s="4">
        <v>436.60820000000001</v>
      </c>
      <c r="E5248" s="4">
        <v>375.03199999999998</v>
      </c>
      <c r="F5248" s="4">
        <f t="shared" si="303"/>
        <v>61.576200000000028</v>
      </c>
      <c r="G5248" s="5">
        <f t="shared" si="304"/>
        <v>0.1410330818340105</v>
      </c>
      <c r="H5248" s="2" t="s">
        <v>5</v>
      </c>
      <c r="I5248" s="6" t="s">
        <v>2300</v>
      </c>
      <c r="J5248" s="2" t="s">
        <v>5</v>
      </c>
      <c r="K5248" s="2" t="s">
        <v>5</v>
      </c>
      <c r="L5248" s="2" t="s">
        <v>5</v>
      </c>
      <c r="M5248" s="2" t="s">
        <v>5</v>
      </c>
      <c r="N5248" s="4">
        <v>0</v>
      </c>
    </row>
    <row r="5249" spans="1:14" x14ac:dyDescent="0.25">
      <c r="A5249" s="2" t="s">
        <v>668</v>
      </c>
      <c r="B5249" s="2" t="s">
        <v>669</v>
      </c>
      <c r="C5249" s="3">
        <v>11.33</v>
      </c>
      <c r="D5249" s="4">
        <v>234.98419999999999</v>
      </c>
      <c r="E5249" s="4">
        <v>183.54599999999999</v>
      </c>
      <c r="F5249" s="4">
        <f t="shared" si="303"/>
        <v>51.438199999999995</v>
      </c>
      <c r="G5249" s="5">
        <f t="shared" si="304"/>
        <v>0.21890067502410798</v>
      </c>
      <c r="H5249" s="2" t="s">
        <v>5</v>
      </c>
      <c r="I5249" s="6" t="s">
        <v>2300</v>
      </c>
      <c r="J5249" s="2" t="s">
        <v>5</v>
      </c>
      <c r="K5249" s="2" t="s">
        <v>5</v>
      </c>
      <c r="L5249" s="2" t="s">
        <v>5</v>
      </c>
      <c r="M5249" s="2" t="s">
        <v>5</v>
      </c>
      <c r="N5249" s="4">
        <v>0</v>
      </c>
    </row>
    <row r="5250" spans="1:14" x14ac:dyDescent="0.25">
      <c r="A5250" s="2" t="s">
        <v>62</v>
      </c>
      <c r="B5250" s="2" t="s">
        <v>63</v>
      </c>
      <c r="C5250" s="3">
        <v>3.302</v>
      </c>
      <c r="D5250" s="4">
        <v>55.308500000000002</v>
      </c>
      <c r="E5250" s="4">
        <v>41.274999999999999</v>
      </c>
      <c r="F5250" s="4">
        <f t="shared" si="303"/>
        <v>14.033500000000004</v>
      </c>
      <c r="G5250" s="5">
        <f t="shared" si="304"/>
        <v>0.25373134328358216</v>
      </c>
      <c r="H5250" s="2" t="s">
        <v>5</v>
      </c>
      <c r="I5250" s="6" t="s">
        <v>2300</v>
      </c>
      <c r="J5250" s="2" t="s">
        <v>5</v>
      </c>
      <c r="K5250" s="2" t="s">
        <v>5</v>
      </c>
      <c r="L5250" s="2" t="s">
        <v>5</v>
      </c>
      <c r="M5250" s="2" t="s">
        <v>5</v>
      </c>
      <c r="N5250" s="4">
        <v>0</v>
      </c>
    </row>
    <row r="5251" spans="1:14" x14ac:dyDescent="0.25">
      <c r="A5251" s="2" t="s">
        <v>66</v>
      </c>
      <c r="B5251" s="2" t="s">
        <v>67</v>
      </c>
      <c r="C5251" s="3">
        <v>20.22</v>
      </c>
      <c r="D5251" s="4">
        <v>296.22300000000001</v>
      </c>
      <c r="E5251" s="4">
        <v>222.42</v>
      </c>
      <c r="F5251" s="4">
        <f t="shared" si="303"/>
        <v>73.803000000000026</v>
      </c>
      <c r="G5251" s="5">
        <f t="shared" si="304"/>
        <v>0.24914675767918096</v>
      </c>
      <c r="H5251" s="2" t="s">
        <v>5</v>
      </c>
      <c r="I5251" s="6" t="s">
        <v>2300</v>
      </c>
      <c r="J5251" s="2" t="s">
        <v>5</v>
      </c>
      <c r="K5251" s="2" t="s">
        <v>5</v>
      </c>
      <c r="L5251" s="2" t="s">
        <v>5</v>
      </c>
      <c r="M5251" s="2" t="s">
        <v>5</v>
      </c>
      <c r="N5251" s="4">
        <v>0</v>
      </c>
    </row>
    <row r="5252" spans="1:14" x14ac:dyDescent="0.25">
      <c r="A5252" s="2" t="s">
        <v>66</v>
      </c>
      <c r="B5252" s="2" t="s">
        <v>67</v>
      </c>
      <c r="C5252" s="3">
        <v>9.8550000000000004</v>
      </c>
      <c r="D5252" s="4">
        <v>144.37575000000001</v>
      </c>
      <c r="E5252" s="4">
        <v>108.405</v>
      </c>
      <c r="F5252" s="4">
        <f t="shared" si="303"/>
        <v>35.97075000000001</v>
      </c>
      <c r="G5252" s="5">
        <f t="shared" si="304"/>
        <v>0.24914675767918093</v>
      </c>
      <c r="H5252" s="2" t="s">
        <v>5</v>
      </c>
      <c r="I5252" s="6" t="s">
        <v>2300</v>
      </c>
      <c r="J5252" s="2" t="s">
        <v>5</v>
      </c>
      <c r="K5252" s="2" t="s">
        <v>5</v>
      </c>
      <c r="L5252" s="2" t="s">
        <v>5</v>
      </c>
      <c r="M5252" s="2" t="s">
        <v>5</v>
      </c>
      <c r="N5252" s="4">
        <v>0</v>
      </c>
    </row>
    <row r="5253" spans="1:14" x14ac:dyDescent="0.25">
      <c r="A5253" s="2" t="s">
        <v>71</v>
      </c>
      <c r="B5253" s="2" t="s">
        <v>72</v>
      </c>
      <c r="C5253" s="3">
        <v>39.695</v>
      </c>
      <c r="D5253" s="4">
        <v>542.2337</v>
      </c>
      <c r="E5253" s="4">
        <v>273.89550000000003</v>
      </c>
      <c r="F5253" s="4">
        <f t="shared" si="303"/>
        <v>268.33819999999997</v>
      </c>
      <c r="G5253" s="5">
        <f t="shared" si="304"/>
        <v>0.49487554904831621</v>
      </c>
      <c r="H5253" s="2" t="s">
        <v>5</v>
      </c>
      <c r="I5253" s="6" t="s">
        <v>2300</v>
      </c>
      <c r="J5253" s="2" t="s">
        <v>5</v>
      </c>
      <c r="K5253" s="2" t="s">
        <v>5</v>
      </c>
      <c r="L5253" s="2" t="s">
        <v>5</v>
      </c>
      <c r="M5253" s="2" t="s">
        <v>5</v>
      </c>
      <c r="N5253" s="4">
        <v>0</v>
      </c>
    </row>
    <row r="5254" spans="1:14" x14ac:dyDescent="0.25">
      <c r="A5254" s="2" t="s">
        <v>71</v>
      </c>
      <c r="B5254" s="2" t="s">
        <v>72</v>
      </c>
      <c r="C5254" s="3">
        <v>5.26</v>
      </c>
      <c r="D5254" s="4">
        <v>71.851600000000005</v>
      </c>
      <c r="E5254" s="4">
        <v>36.293999999999997</v>
      </c>
      <c r="F5254" s="4">
        <f t="shared" si="303"/>
        <v>35.557600000000008</v>
      </c>
      <c r="G5254" s="5">
        <f t="shared" si="304"/>
        <v>0.49487554904831632</v>
      </c>
      <c r="H5254" s="2" t="s">
        <v>5</v>
      </c>
      <c r="I5254" s="6" t="s">
        <v>2300</v>
      </c>
      <c r="J5254" s="2" t="s">
        <v>5</v>
      </c>
      <c r="K5254" s="2" t="s">
        <v>5</v>
      </c>
      <c r="L5254" s="2" t="s">
        <v>5</v>
      </c>
      <c r="M5254" s="2" t="s">
        <v>5</v>
      </c>
      <c r="N5254" s="4">
        <v>0</v>
      </c>
    </row>
    <row r="5255" spans="1:14" x14ac:dyDescent="0.25">
      <c r="A5255" s="2" t="s">
        <v>71</v>
      </c>
      <c r="B5255" s="2" t="s">
        <v>72</v>
      </c>
      <c r="C5255" s="3">
        <v>20.55</v>
      </c>
      <c r="D5255" s="4">
        <v>280.71300000000002</v>
      </c>
      <c r="E5255" s="4">
        <v>141.79499999999999</v>
      </c>
      <c r="F5255" s="4">
        <f t="shared" si="303"/>
        <v>138.91800000000003</v>
      </c>
      <c r="G5255" s="5">
        <f t="shared" si="304"/>
        <v>0.49487554904831632</v>
      </c>
      <c r="H5255" s="2" t="s">
        <v>5</v>
      </c>
      <c r="I5255" s="6" t="s">
        <v>2300</v>
      </c>
      <c r="J5255" s="2" t="s">
        <v>5</v>
      </c>
      <c r="K5255" s="2" t="s">
        <v>5</v>
      </c>
      <c r="L5255" s="2" t="s">
        <v>5</v>
      </c>
      <c r="M5255" s="2" t="s">
        <v>5</v>
      </c>
      <c r="N5255" s="4">
        <v>0</v>
      </c>
    </row>
    <row r="5256" spans="1:14" x14ac:dyDescent="0.25">
      <c r="A5256" s="2" t="s">
        <v>71</v>
      </c>
      <c r="B5256" s="2" t="s">
        <v>72</v>
      </c>
      <c r="C5256" s="3">
        <v>20.004999999999999</v>
      </c>
      <c r="D5256" s="4">
        <v>273.26830000000001</v>
      </c>
      <c r="E5256" s="4">
        <v>138.03450000000001</v>
      </c>
      <c r="F5256" s="4">
        <f t="shared" si="303"/>
        <v>135.2338</v>
      </c>
      <c r="G5256" s="5">
        <f t="shared" si="304"/>
        <v>0.49487554904831627</v>
      </c>
      <c r="H5256" s="2" t="s">
        <v>5</v>
      </c>
      <c r="I5256" s="6" t="s">
        <v>2300</v>
      </c>
      <c r="J5256" s="2" t="s">
        <v>5</v>
      </c>
      <c r="K5256" s="2" t="s">
        <v>5</v>
      </c>
      <c r="L5256" s="2" t="s">
        <v>5</v>
      </c>
      <c r="M5256" s="2" t="s">
        <v>5</v>
      </c>
      <c r="N5256" s="4">
        <v>0</v>
      </c>
    </row>
    <row r="5257" spans="1:14" x14ac:dyDescent="0.25">
      <c r="A5257" s="2" t="s">
        <v>78</v>
      </c>
      <c r="B5257" s="2" t="s">
        <v>79</v>
      </c>
      <c r="C5257" s="3">
        <v>9.44</v>
      </c>
      <c r="D5257" s="4">
        <v>147.73599999999999</v>
      </c>
      <c r="E5257" s="4">
        <v>70.8</v>
      </c>
      <c r="F5257" s="4">
        <f t="shared" si="303"/>
        <v>76.935999999999993</v>
      </c>
      <c r="G5257" s="5">
        <f t="shared" si="304"/>
        <v>0.52076677316293929</v>
      </c>
      <c r="H5257" s="2" t="s">
        <v>5</v>
      </c>
      <c r="I5257" s="6" t="s">
        <v>2300</v>
      </c>
      <c r="J5257" s="2" t="s">
        <v>5</v>
      </c>
      <c r="K5257" s="2" t="s">
        <v>5</v>
      </c>
      <c r="L5257" s="2" t="s">
        <v>5</v>
      </c>
      <c r="M5257" s="2" t="s">
        <v>5</v>
      </c>
      <c r="N5257" s="4">
        <v>0</v>
      </c>
    </row>
    <row r="5258" spans="1:14" x14ac:dyDescent="0.25">
      <c r="A5258" s="2" t="s">
        <v>80</v>
      </c>
      <c r="B5258" s="2" t="s">
        <v>81</v>
      </c>
      <c r="C5258" s="3">
        <v>2.5</v>
      </c>
      <c r="D5258" s="4">
        <v>49.825000000000003</v>
      </c>
      <c r="E5258" s="4">
        <v>34.9</v>
      </c>
      <c r="F5258" s="4">
        <f t="shared" si="303"/>
        <v>14.925000000000004</v>
      </c>
      <c r="G5258" s="5">
        <f t="shared" si="304"/>
        <v>0.29954841946813854</v>
      </c>
      <c r="H5258" s="2" t="s">
        <v>5</v>
      </c>
      <c r="I5258" s="6" t="s">
        <v>2300</v>
      </c>
      <c r="J5258" s="2" t="s">
        <v>5</v>
      </c>
      <c r="K5258" s="2" t="s">
        <v>5</v>
      </c>
      <c r="L5258" s="2" t="s">
        <v>5</v>
      </c>
      <c r="M5258" s="2" t="s">
        <v>5</v>
      </c>
      <c r="N5258" s="4">
        <v>0</v>
      </c>
    </row>
    <row r="5259" spans="1:14" x14ac:dyDescent="0.25">
      <c r="A5259" s="2" t="s">
        <v>82</v>
      </c>
      <c r="B5259" s="2" t="s">
        <v>83</v>
      </c>
      <c r="C5259" s="3">
        <v>4.76</v>
      </c>
      <c r="D5259" s="4">
        <v>27.37</v>
      </c>
      <c r="E5259" s="4">
        <v>17.135999999999999</v>
      </c>
      <c r="F5259" s="4">
        <f t="shared" si="303"/>
        <v>10.234000000000002</v>
      </c>
      <c r="G5259" s="5">
        <f t="shared" si="304"/>
        <v>0.37391304347826093</v>
      </c>
      <c r="H5259" s="2" t="s">
        <v>5</v>
      </c>
      <c r="I5259" s="6" t="s">
        <v>2300</v>
      </c>
      <c r="J5259" s="2" t="s">
        <v>5</v>
      </c>
      <c r="K5259" s="2" t="s">
        <v>5</v>
      </c>
      <c r="L5259" s="2" t="s">
        <v>5</v>
      </c>
      <c r="M5259" s="2" t="s">
        <v>5</v>
      </c>
      <c r="N5259" s="4">
        <v>0</v>
      </c>
    </row>
    <row r="5260" spans="1:14" x14ac:dyDescent="0.25">
      <c r="A5260" s="2" t="s">
        <v>86</v>
      </c>
      <c r="B5260" s="2" t="s">
        <v>87</v>
      </c>
      <c r="C5260" s="3">
        <v>19.251999999999999</v>
      </c>
      <c r="D5260" s="4">
        <v>249.69844000000001</v>
      </c>
      <c r="E5260" s="4">
        <v>132.83879999999999</v>
      </c>
      <c r="F5260" s="4">
        <f t="shared" si="303"/>
        <v>116.85964000000001</v>
      </c>
      <c r="G5260" s="5">
        <f t="shared" si="304"/>
        <v>0.46800308404009255</v>
      </c>
      <c r="H5260" s="2" t="s">
        <v>5</v>
      </c>
      <c r="I5260" s="6" t="s">
        <v>2300</v>
      </c>
      <c r="J5260" s="2" t="s">
        <v>5</v>
      </c>
      <c r="K5260" s="2" t="s">
        <v>5</v>
      </c>
      <c r="L5260" s="2" t="s">
        <v>5</v>
      </c>
      <c r="M5260" s="2" t="s">
        <v>5</v>
      </c>
      <c r="N5260" s="4">
        <v>0</v>
      </c>
    </row>
    <row r="5261" spans="1:14" x14ac:dyDescent="0.25">
      <c r="A5261" s="2" t="s">
        <v>86</v>
      </c>
      <c r="B5261" s="2" t="s">
        <v>87</v>
      </c>
      <c r="C5261" s="3">
        <v>11.6</v>
      </c>
      <c r="D5261" s="4">
        <v>150.452</v>
      </c>
      <c r="E5261" s="4">
        <v>80.040000000000006</v>
      </c>
      <c r="F5261" s="4">
        <f t="shared" si="303"/>
        <v>70.411999999999992</v>
      </c>
      <c r="G5261" s="5">
        <f t="shared" si="304"/>
        <v>0.4680030840400925</v>
      </c>
      <c r="H5261" s="2" t="s">
        <v>5</v>
      </c>
      <c r="I5261" s="6" t="s">
        <v>2300</v>
      </c>
      <c r="J5261" s="2" t="s">
        <v>5</v>
      </c>
      <c r="K5261" s="2" t="s">
        <v>5</v>
      </c>
      <c r="L5261" s="2" t="s">
        <v>5</v>
      </c>
      <c r="M5261" s="2" t="s">
        <v>5</v>
      </c>
      <c r="N5261" s="4">
        <v>0</v>
      </c>
    </row>
    <row r="5262" spans="1:14" x14ac:dyDescent="0.25">
      <c r="A5262" s="2" t="s">
        <v>86</v>
      </c>
      <c r="B5262" s="2" t="s">
        <v>87</v>
      </c>
      <c r="C5262" s="3">
        <v>19.75</v>
      </c>
      <c r="D5262" s="4">
        <v>256.15750000000003</v>
      </c>
      <c r="E5262" s="4">
        <v>136.27500000000001</v>
      </c>
      <c r="F5262" s="4">
        <f t="shared" si="303"/>
        <v>119.88250000000002</v>
      </c>
      <c r="G5262" s="5">
        <f t="shared" si="304"/>
        <v>0.46800308404009255</v>
      </c>
      <c r="H5262" s="2" t="s">
        <v>5</v>
      </c>
      <c r="I5262" s="6" t="s">
        <v>2300</v>
      </c>
      <c r="J5262" s="2" t="s">
        <v>5</v>
      </c>
      <c r="K5262" s="2" t="s">
        <v>5</v>
      </c>
      <c r="L5262" s="2" t="s">
        <v>5</v>
      </c>
      <c r="M5262" s="2" t="s">
        <v>5</v>
      </c>
      <c r="N5262" s="4">
        <v>0</v>
      </c>
    </row>
    <row r="5263" spans="1:14" x14ac:dyDescent="0.25">
      <c r="A5263" s="2" t="s">
        <v>86</v>
      </c>
      <c r="B5263" s="2" t="s">
        <v>87</v>
      </c>
      <c r="C5263" s="3">
        <v>25.77</v>
      </c>
      <c r="D5263" s="4">
        <v>334.23689999999999</v>
      </c>
      <c r="E5263" s="4">
        <v>177.81299999999999</v>
      </c>
      <c r="F5263" s="4">
        <f t="shared" si="303"/>
        <v>156.4239</v>
      </c>
      <c r="G5263" s="5">
        <f t="shared" si="304"/>
        <v>0.46800308404009255</v>
      </c>
      <c r="H5263" s="2" t="s">
        <v>5</v>
      </c>
      <c r="I5263" s="6" t="s">
        <v>2300</v>
      </c>
      <c r="J5263" s="2" t="s">
        <v>5</v>
      </c>
      <c r="K5263" s="2" t="s">
        <v>5</v>
      </c>
      <c r="L5263" s="2" t="s">
        <v>5</v>
      </c>
      <c r="M5263" s="2" t="s">
        <v>5</v>
      </c>
      <c r="N5263" s="4">
        <v>0</v>
      </c>
    </row>
    <row r="5264" spans="1:14" x14ac:dyDescent="0.25">
      <c r="A5264" s="2" t="s">
        <v>88</v>
      </c>
      <c r="B5264" s="2" t="s">
        <v>89</v>
      </c>
      <c r="C5264" s="3">
        <v>15</v>
      </c>
      <c r="D5264" s="4">
        <v>178.8</v>
      </c>
      <c r="E5264" s="4">
        <v>103.5</v>
      </c>
      <c r="F5264" s="4">
        <f t="shared" si="303"/>
        <v>75.300000000000011</v>
      </c>
      <c r="G5264" s="5">
        <f t="shared" si="304"/>
        <v>0.42114093959731547</v>
      </c>
      <c r="H5264" s="2" t="s">
        <v>5</v>
      </c>
      <c r="I5264" s="6" t="s">
        <v>2300</v>
      </c>
      <c r="J5264" s="2" t="s">
        <v>5</v>
      </c>
      <c r="K5264" s="2" t="s">
        <v>5</v>
      </c>
      <c r="L5264" s="2" t="s">
        <v>5</v>
      </c>
      <c r="M5264" s="2" t="s">
        <v>5</v>
      </c>
      <c r="N5264" s="4">
        <v>0</v>
      </c>
    </row>
    <row r="5265" spans="1:14" x14ac:dyDescent="0.25">
      <c r="A5265" s="2" t="s">
        <v>90</v>
      </c>
      <c r="B5265" s="2" t="s">
        <v>91</v>
      </c>
      <c r="C5265" s="3">
        <v>5.5119999999999996</v>
      </c>
      <c r="D5265" s="4">
        <v>254.48903999999999</v>
      </c>
      <c r="E5265" s="4">
        <v>154.33600000000001</v>
      </c>
      <c r="F5265" s="4">
        <f t="shared" si="303"/>
        <v>100.15303999999998</v>
      </c>
      <c r="G5265" s="5">
        <f t="shared" si="304"/>
        <v>0.39354559237600167</v>
      </c>
      <c r="H5265" s="2" t="s">
        <v>5</v>
      </c>
      <c r="I5265" s="6" t="s">
        <v>2300</v>
      </c>
      <c r="J5265" s="2" t="s">
        <v>5</v>
      </c>
      <c r="K5265" s="2" t="s">
        <v>5</v>
      </c>
      <c r="L5265" s="2" t="s">
        <v>5</v>
      </c>
      <c r="M5265" s="2" t="s">
        <v>5</v>
      </c>
      <c r="N5265" s="4">
        <v>0</v>
      </c>
    </row>
    <row r="5266" spans="1:14" x14ac:dyDescent="0.25">
      <c r="A5266" s="2" t="s">
        <v>90</v>
      </c>
      <c r="B5266" s="2" t="s">
        <v>91</v>
      </c>
      <c r="C5266" s="3">
        <v>3.6219999999999999</v>
      </c>
      <c r="D5266" s="4">
        <v>167.22774000000001</v>
      </c>
      <c r="E5266" s="4">
        <v>101.416</v>
      </c>
      <c r="F5266" s="4">
        <f t="shared" si="303"/>
        <v>65.811740000000015</v>
      </c>
      <c r="G5266" s="5">
        <f t="shared" si="304"/>
        <v>0.39354559237600178</v>
      </c>
      <c r="H5266" s="2" t="s">
        <v>5</v>
      </c>
      <c r="I5266" s="6" t="s">
        <v>2300</v>
      </c>
      <c r="J5266" s="2" t="s">
        <v>5</v>
      </c>
      <c r="K5266" s="2" t="s">
        <v>5</v>
      </c>
      <c r="L5266" s="2" t="s">
        <v>5</v>
      </c>
      <c r="M5266" s="2" t="s">
        <v>5</v>
      </c>
      <c r="N5266" s="4">
        <v>0</v>
      </c>
    </row>
    <row r="5267" spans="1:14" x14ac:dyDescent="0.25">
      <c r="A5267" s="2" t="s">
        <v>90</v>
      </c>
      <c r="B5267" s="2" t="s">
        <v>91</v>
      </c>
      <c r="C5267" s="3">
        <v>7.9349999999999996</v>
      </c>
      <c r="D5267" s="4">
        <v>366.35894999999999</v>
      </c>
      <c r="E5267" s="4">
        <v>222.18</v>
      </c>
      <c r="F5267" s="4">
        <f t="shared" si="303"/>
        <v>144.17894999999999</v>
      </c>
      <c r="G5267" s="5">
        <f t="shared" si="304"/>
        <v>0.39354559237600173</v>
      </c>
      <c r="H5267" s="2" t="s">
        <v>5</v>
      </c>
      <c r="I5267" s="6" t="s">
        <v>2300</v>
      </c>
      <c r="J5267" s="2" t="s">
        <v>5</v>
      </c>
      <c r="K5267" s="2" t="s">
        <v>5</v>
      </c>
      <c r="L5267" s="2" t="s">
        <v>5</v>
      </c>
      <c r="M5267" s="2" t="s">
        <v>5</v>
      </c>
      <c r="N5267" s="4">
        <v>0</v>
      </c>
    </row>
    <row r="5268" spans="1:14" x14ac:dyDescent="0.25">
      <c r="A5268" s="2" t="s">
        <v>92</v>
      </c>
      <c r="B5268" s="2" t="s">
        <v>93</v>
      </c>
      <c r="C5268" s="3">
        <v>4</v>
      </c>
      <c r="D5268" s="4">
        <v>52.56</v>
      </c>
      <c r="E5268" s="4">
        <v>40</v>
      </c>
      <c r="F5268" s="4">
        <f t="shared" si="303"/>
        <v>12.560000000000002</v>
      </c>
      <c r="G5268" s="5">
        <f t="shared" si="304"/>
        <v>0.23896499238964997</v>
      </c>
      <c r="H5268" s="2" t="s">
        <v>5</v>
      </c>
      <c r="I5268" s="6" t="s">
        <v>2300</v>
      </c>
      <c r="J5268" s="2" t="s">
        <v>5</v>
      </c>
      <c r="K5268" s="2" t="s">
        <v>5</v>
      </c>
      <c r="L5268" s="2" t="s">
        <v>5</v>
      </c>
      <c r="M5268" s="2" t="s">
        <v>5</v>
      </c>
      <c r="N5268" s="4">
        <v>0</v>
      </c>
    </row>
    <row r="5269" spans="1:14" x14ac:dyDescent="0.25">
      <c r="A5269" s="2" t="s">
        <v>92</v>
      </c>
      <c r="B5269" s="2" t="s">
        <v>93</v>
      </c>
      <c r="C5269" s="3">
        <v>3</v>
      </c>
      <c r="D5269" s="4">
        <v>39.42</v>
      </c>
      <c r="E5269" s="4">
        <v>30</v>
      </c>
      <c r="F5269" s="4">
        <f t="shared" si="303"/>
        <v>9.4200000000000017</v>
      </c>
      <c r="G5269" s="5">
        <f t="shared" si="304"/>
        <v>0.23896499238964997</v>
      </c>
      <c r="H5269" s="2" t="s">
        <v>5</v>
      </c>
      <c r="I5269" s="6" t="s">
        <v>2300</v>
      </c>
      <c r="J5269" s="2" t="s">
        <v>5</v>
      </c>
      <c r="K5269" s="2" t="s">
        <v>5</v>
      </c>
      <c r="L5269" s="2" t="s">
        <v>5</v>
      </c>
      <c r="M5269" s="2" t="s">
        <v>5</v>
      </c>
      <c r="N5269" s="4">
        <v>0</v>
      </c>
    </row>
    <row r="5270" spans="1:14" x14ac:dyDescent="0.25">
      <c r="A5270" s="2" t="s">
        <v>92</v>
      </c>
      <c r="B5270" s="2" t="s">
        <v>93</v>
      </c>
      <c r="C5270" s="3">
        <v>8</v>
      </c>
      <c r="D5270" s="4">
        <v>105.12</v>
      </c>
      <c r="E5270" s="4">
        <v>80</v>
      </c>
      <c r="F5270" s="4">
        <f t="shared" si="303"/>
        <v>25.120000000000005</v>
      </c>
      <c r="G5270" s="5">
        <f t="shared" si="304"/>
        <v>0.23896499238964997</v>
      </c>
      <c r="H5270" s="2" t="s">
        <v>5</v>
      </c>
      <c r="I5270" s="6" t="s">
        <v>2300</v>
      </c>
      <c r="J5270" s="2" t="s">
        <v>5</v>
      </c>
      <c r="K5270" s="2" t="s">
        <v>5</v>
      </c>
      <c r="L5270" s="2" t="s">
        <v>5</v>
      </c>
      <c r="M5270" s="2" t="s">
        <v>5</v>
      </c>
      <c r="N5270" s="4">
        <v>0</v>
      </c>
    </row>
    <row r="5271" spans="1:14" x14ac:dyDescent="0.25">
      <c r="A5271" s="2" t="s">
        <v>94</v>
      </c>
      <c r="B5271" s="2" t="s">
        <v>95</v>
      </c>
      <c r="C5271" s="3">
        <v>16.61</v>
      </c>
      <c r="D5271" s="4">
        <v>186.86250000000001</v>
      </c>
      <c r="E5271" s="4">
        <v>121.253</v>
      </c>
      <c r="F5271" s="4">
        <f t="shared" si="303"/>
        <v>65.609500000000011</v>
      </c>
      <c r="G5271" s="5">
        <f t="shared" si="304"/>
        <v>0.35111111111111115</v>
      </c>
      <c r="H5271" s="2" t="s">
        <v>5</v>
      </c>
      <c r="I5271" s="6" t="s">
        <v>2300</v>
      </c>
      <c r="J5271" s="2" t="s">
        <v>5</v>
      </c>
      <c r="K5271" s="2" t="s">
        <v>5</v>
      </c>
      <c r="L5271" s="2" t="s">
        <v>5</v>
      </c>
      <c r="M5271" s="2" t="s">
        <v>5</v>
      </c>
      <c r="N5271" s="4">
        <v>0</v>
      </c>
    </row>
    <row r="5272" spans="1:14" x14ac:dyDescent="0.25">
      <c r="A5272" s="2" t="s">
        <v>96</v>
      </c>
      <c r="B5272" s="2" t="s">
        <v>97</v>
      </c>
      <c r="C5272" s="3">
        <v>6.3449999999999998</v>
      </c>
      <c r="D5272" s="4">
        <v>166.30244999999999</v>
      </c>
      <c r="E5272" s="4">
        <v>90.733500000000006</v>
      </c>
      <c r="F5272" s="4">
        <f t="shared" si="303"/>
        <v>75.568949999999987</v>
      </c>
      <c r="G5272" s="5">
        <f t="shared" si="304"/>
        <v>0.45440671499427693</v>
      </c>
      <c r="H5272" s="2" t="s">
        <v>5</v>
      </c>
      <c r="I5272" s="6" t="s">
        <v>2300</v>
      </c>
      <c r="J5272" s="2" t="s">
        <v>5</v>
      </c>
      <c r="K5272" s="2" t="s">
        <v>5</v>
      </c>
      <c r="L5272" s="2" t="s">
        <v>5</v>
      </c>
      <c r="M5272" s="2" t="s">
        <v>5</v>
      </c>
      <c r="N5272" s="4">
        <v>0</v>
      </c>
    </row>
    <row r="5273" spans="1:14" x14ac:dyDescent="0.25">
      <c r="A5273" s="2" t="s">
        <v>96</v>
      </c>
      <c r="B5273" s="2" t="s">
        <v>97</v>
      </c>
      <c r="C5273" s="3">
        <v>7.8</v>
      </c>
      <c r="D5273" s="4">
        <v>204.43799999999999</v>
      </c>
      <c r="E5273" s="4">
        <v>111.54</v>
      </c>
      <c r="F5273" s="4">
        <f t="shared" si="303"/>
        <v>92.897999999999982</v>
      </c>
      <c r="G5273" s="5">
        <f t="shared" si="304"/>
        <v>0.45440671499427693</v>
      </c>
      <c r="H5273" s="2" t="s">
        <v>5</v>
      </c>
      <c r="I5273" s="6" t="s">
        <v>2300</v>
      </c>
      <c r="J5273" s="2" t="s">
        <v>5</v>
      </c>
      <c r="K5273" s="2" t="s">
        <v>5</v>
      </c>
      <c r="L5273" s="2" t="s">
        <v>5</v>
      </c>
      <c r="M5273" s="2" t="s">
        <v>5</v>
      </c>
      <c r="N5273" s="4">
        <v>0</v>
      </c>
    </row>
    <row r="5274" spans="1:14" x14ac:dyDescent="0.25">
      <c r="A5274" s="2" t="s">
        <v>96</v>
      </c>
      <c r="B5274" s="2" t="s">
        <v>97</v>
      </c>
      <c r="C5274" s="3">
        <v>5.26</v>
      </c>
      <c r="D5274" s="4">
        <v>137.8646</v>
      </c>
      <c r="E5274" s="4">
        <v>75.218000000000004</v>
      </c>
      <c r="F5274" s="4">
        <f t="shared" si="303"/>
        <v>62.646599999999992</v>
      </c>
      <c r="G5274" s="5">
        <f t="shared" si="304"/>
        <v>0.45440671499427693</v>
      </c>
      <c r="H5274" s="2" t="s">
        <v>5</v>
      </c>
      <c r="I5274" s="6" t="s">
        <v>2300</v>
      </c>
      <c r="J5274" s="2" t="s">
        <v>5</v>
      </c>
      <c r="K5274" s="2" t="s">
        <v>5</v>
      </c>
      <c r="L5274" s="2" t="s">
        <v>5</v>
      </c>
      <c r="M5274" s="2" t="s">
        <v>5</v>
      </c>
      <c r="N5274" s="4">
        <v>0</v>
      </c>
    </row>
    <row r="5275" spans="1:14" x14ac:dyDescent="0.25">
      <c r="A5275" s="2" t="s">
        <v>98</v>
      </c>
      <c r="B5275" s="2" t="s">
        <v>99</v>
      </c>
      <c r="C5275" s="3">
        <v>12.234999999999999</v>
      </c>
      <c r="D5275" s="4">
        <v>629.98014999999998</v>
      </c>
      <c r="E5275" s="4">
        <v>501.63499999999999</v>
      </c>
      <c r="F5275" s="4">
        <f t="shared" si="303"/>
        <v>128.34514999999999</v>
      </c>
      <c r="G5275" s="5">
        <f t="shared" si="304"/>
        <v>0.20372887939405709</v>
      </c>
      <c r="H5275" s="2" t="s">
        <v>5</v>
      </c>
      <c r="I5275" s="6" t="s">
        <v>2300</v>
      </c>
      <c r="J5275" s="2" t="s">
        <v>5</v>
      </c>
      <c r="K5275" s="2" t="s">
        <v>5</v>
      </c>
      <c r="L5275" s="2" t="s">
        <v>5</v>
      </c>
      <c r="M5275" s="2" t="s">
        <v>5</v>
      </c>
      <c r="N5275" s="4">
        <v>0</v>
      </c>
    </row>
    <row r="5276" spans="1:14" x14ac:dyDescent="0.25">
      <c r="A5276" s="2" t="s">
        <v>100</v>
      </c>
      <c r="B5276" s="2" t="s">
        <v>101</v>
      </c>
      <c r="C5276" s="3">
        <v>11.345000000000001</v>
      </c>
      <c r="D5276" s="4">
        <v>263.65780000000001</v>
      </c>
      <c r="E5276" s="4">
        <v>158.83000000000001</v>
      </c>
      <c r="F5276" s="4">
        <f t="shared" si="303"/>
        <v>104.8278</v>
      </c>
      <c r="G5276" s="5">
        <f t="shared" si="304"/>
        <v>0.39759036144578308</v>
      </c>
      <c r="H5276" s="2" t="s">
        <v>5</v>
      </c>
      <c r="I5276" s="6" t="s">
        <v>2300</v>
      </c>
      <c r="J5276" s="2" t="s">
        <v>5</v>
      </c>
      <c r="K5276" s="2" t="s">
        <v>5</v>
      </c>
      <c r="L5276" s="2" t="s">
        <v>5</v>
      </c>
      <c r="M5276" s="2" t="s">
        <v>5</v>
      </c>
      <c r="N5276" s="4">
        <v>0</v>
      </c>
    </row>
    <row r="5277" spans="1:14" x14ac:dyDescent="0.25">
      <c r="A5277" s="2" t="s">
        <v>102</v>
      </c>
      <c r="B5277" s="2" t="s">
        <v>103</v>
      </c>
      <c r="C5277" s="3">
        <v>12.57</v>
      </c>
      <c r="D5277" s="4">
        <v>321.28919999999999</v>
      </c>
      <c r="E5277" s="4">
        <v>185.4075</v>
      </c>
      <c r="F5277" s="4">
        <f t="shared" si="303"/>
        <v>135.8817</v>
      </c>
      <c r="G5277" s="5">
        <f t="shared" si="304"/>
        <v>0.4229264475743349</v>
      </c>
      <c r="H5277" s="2" t="s">
        <v>5</v>
      </c>
      <c r="I5277" s="6" t="s">
        <v>2300</v>
      </c>
      <c r="J5277" s="2" t="s">
        <v>5</v>
      </c>
      <c r="K5277" s="2" t="s">
        <v>5</v>
      </c>
      <c r="L5277" s="2" t="s">
        <v>5</v>
      </c>
      <c r="M5277" s="2" t="s">
        <v>5</v>
      </c>
      <c r="N5277" s="4">
        <v>0</v>
      </c>
    </row>
    <row r="5278" spans="1:14" x14ac:dyDescent="0.25">
      <c r="A5278" s="2" t="s">
        <v>102</v>
      </c>
      <c r="B5278" s="2" t="s">
        <v>103</v>
      </c>
      <c r="C5278" s="3">
        <v>27.524999999999999</v>
      </c>
      <c r="D5278" s="4">
        <v>703.53899999999999</v>
      </c>
      <c r="E5278" s="4">
        <v>405.99374999999998</v>
      </c>
      <c r="F5278" s="4">
        <f t="shared" si="303"/>
        <v>297.54525000000001</v>
      </c>
      <c r="G5278" s="5">
        <f t="shared" si="304"/>
        <v>0.4229264475743349</v>
      </c>
      <c r="H5278" s="2" t="s">
        <v>5</v>
      </c>
      <c r="I5278" s="6" t="s">
        <v>2300</v>
      </c>
      <c r="J5278" s="2" t="s">
        <v>5</v>
      </c>
      <c r="K5278" s="2" t="s">
        <v>5</v>
      </c>
      <c r="L5278" s="2" t="s">
        <v>5</v>
      </c>
      <c r="M5278" s="2" t="s">
        <v>5</v>
      </c>
      <c r="N5278" s="4">
        <v>0</v>
      </c>
    </row>
    <row r="5279" spans="1:14" x14ac:dyDescent="0.25">
      <c r="A5279" s="2" t="s">
        <v>104</v>
      </c>
      <c r="B5279" s="2" t="s">
        <v>105</v>
      </c>
      <c r="C5279" s="3">
        <v>37.664999999999999</v>
      </c>
      <c r="D5279" s="4">
        <v>904.7133</v>
      </c>
      <c r="E5279" s="4">
        <v>546.14250000000004</v>
      </c>
      <c r="F5279" s="4">
        <f t="shared" si="303"/>
        <v>358.57079999999996</v>
      </c>
      <c r="G5279" s="5">
        <f t="shared" si="304"/>
        <v>0.39633638634471269</v>
      </c>
      <c r="H5279" s="2" t="s">
        <v>5</v>
      </c>
      <c r="I5279" s="6" t="s">
        <v>2300</v>
      </c>
      <c r="J5279" s="2" t="s">
        <v>5</v>
      </c>
      <c r="K5279" s="2" t="s">
        <v>5</v>
      </c>
      <c r="L5279" s="2" t="s">
        <v>5</v>
      </c>
      <c r="M5279" s="2" t="s">
        <v>5</v>
      </c>
      <c r="N5279" s="4">
        <v>0</v>
      </c>
    </row>
    <row r="5280" spans="1:14" x14ac:dyDescent="0.25">
      <c r="A5280" s="2" t="s">
        <v>104</v>
      </c>
      <c r="B5280" s="2" t="s">
        <v>105</v>
      </c>
      <c r="C5280" s="3">
        <v>12.675000000000001</v>
      </c>
      <c r="D5280" s="4">
        <v>304.45350000000002</v>
      </c>
      <c r="E5280" s="4">
        <v>183.78749999999999</v>
      </c>
      <c r="F5280" s="4">
        <f t="shared" si="303"/>
        <v>120.66600000000003</v>
      </c>
      <c r="G5280" s="5">
        <f t="shared" si="304"/>
        <v>0.3963363863447128</v>
      </c>
      <c r="H5280" s="2" t="s">
        <v>5</v>
      </c>
      <c r="I5280" s="6" t="s">
        <v>2300</v>
      </c>
      <c r="J5280" s="2" t="s">
        <v>5</v>
      </c>
      <c r="K5280" s="2" t="s">
        <v>5</v>
      </c>
      <c r="L5280" s="2" t="s">
        <v>5</v>
      </c>
      <c r="M5280" s="2" t="s">
        <v>5</v>
      </c>
      <c r="N5280" s="4">
        <v>0</v>
      </c>
    </row>
    <row r="5281" spans="1:14" x14ac:dyDescent="0.25">
      <c r="A5281" s="2" t="s">
        <v>104</v>
      </c>
      <c r="B5281" s="2" t="s">
        <v>105</v>
      </c>
      <c r="C5281" s="3">
        <v>25.225000000000001</v>
      </c>
      <c r="D5281" s="4">
        <v>605.90449999999998</v>
      </c>
      <c r="E5281" s="4">
        <v>365.76249999999999</v>
      </c>
      <c r="F5281" s="4">
        <f t="shared" ref="F5281:F5344" si="305">D5281-E5281</f>
        <v>240.142</v>
      </c>
      <c r="G5281" s="5">
        <f t="shared" ref="G5281:G5344" si="306">IF(((D5281)=0),0,(D5281-E5281)/ D5281)</f>
        <v>0.39633638634471274</v>
      </c>
      <c r="H5281" s="2" t="s">
        <v>5</v>
      </c>
      <c r="I5281" s="6" t="s">
        <v>2300</v>
      </c>
      <c r="J5281" s="2" t="s">
        <v>5</v>
      </c>
      <c r="K5281" s="2" t="s">
        <v>5</v>
      </c>
      <c r="L5281" s="2" t="s">
        <v>5</v>
      </c>
      <c r="M5281" s="2" t="s">
        <v>5</v>
      </c>
      <c r="N5281" s="4">
        <v>0</v>
      </c>
    </row>
    <row r="5282" spans="1:14" x14ac:dyDescent="0.25">
      <c r="A5282" s="2" t="s">
        <v>106</v>
      </c>
      <c r="B5282" s="2" t="s">
        <v>107</v>
      </c>
      <c r="C5282" s="3">
        <v>19.579999999999998</v>
      </c>
      <c r="D5282" s="4">
        <v>298.39920000000001</v>
      </c>
      <c r="E5282" s="4">
        <v>244.75</v>
      </c>
      <c r="F5282" s="4">
        <f t="shared" si="305"/>
        <v>53.649200000000008</v>
      </c>
      <c r="G5282" s="5">
        <f t="shared" si="306"/>
        <v>0.17979002624671919</v>
      </c>
      <c r="H5282" s="2" t="s">
        <v>5</v>
      </c>
      <c r="I5282" s="6" t="s">
        <v>2300</v>
      </c>
      <c r="J5282" s="2" t="s">
        <v>5</v>
      </c>
      <c r="K5282" s="2" t="s">
        <v>5</v>
      </c>
      <c r="L5282" s="2" t="s">
        <v>5</v>
      </c>
      <c r="M5282" s="2" t="s">
        <v>5</v>
      </c>
      <c r="N5282" s="4">
        <v>0</v>
      </c>
    </row>
    <row r="5283" spans="1:14" x14ac:dyDescent="0.25">
      <c r="A5283" s="2" t="s">
        <v>106</v>
      </c>
      <c r="B5283" s="2" t="s">
        <v>107</v>
      </c>
      <c r="C5283" s="3">
        <v>10.06</v>
      </c>
      <c r="D5283" s="4">
        <v>153.31440000000001</v>
      </c>
      <c r="E5283" s="4">
        <v>125.75</v>
      </c>
      <c r="F5283" s="4">
        <f t="shared" si="305"/>
        <v>27.564400000000006</v>
      </c>
      <c r="G5283" s="5">
        <f t="shared" si="306"/>
        <v>0.17979002624671919</v>
      </c>
      <c r="H5283" s="2" t="s">
        <v>5</v>
      </c>
      <c r="I5283" s="6" t="s">
        <v>2300</v>
      </c>
      <c r="J5283" s="2" t="s">
        <v>5</v>
      </c>
      <c r="K5283" s="2" t="s">
        <v>5</v>
      </c>
      <c r="L5283" s="2" t="s">
        <v>5</v>
      </c>
      <c r="M5283" s="2" t="s">
        <v>5</v>
      </c>
      <c r="N5283" s="4">
        <v>0</v>
      </c>
    </row>
    <row r="5284" spans="1:14" x14ac:dyDescent="0.25">
      <c r="A5284" s="2" t="s">
        <v>108</v>
      </c>
      <c r="B5284" s="2" t="s">
        <v>109</v>
      </c>
      <c r="C5284" s="3">
        <v>6.08</v>
      </c>
      <c r="D5284" s="4">
        <v>87.977599999999995</v>
      </c>
      <c r="E5284" s="4">
        <v>51.68</v>
      </c>
      <c r="F5284" s="4">
        <f t="shared" si="305"/>
        <v>36.297599999999996</v>
      </c>
      <c r="G5284" s="5">
        <f t="shared" si="306"/>
        <v>0.41257774706288869</v>
      </c>
      <c r="H5284" s="2" t="s">
        <v>5</v>
      </c>
      <c r="I5284" s="6" t="s">
        <v>2300</v>
      </c>
      <c r="J5284" s="2" t="s">
        <v>5</v>
      </c>
      <c r="K5284" s="2" t="s">
        <v>5</v>
      </c>
      <c r="L5284" s="2" t="s">
        <v>5</v>
      </c>
      <c r="M5284" s="2" t="s">
        <v>5</v>
      </c>
      <c r="N5284" s="4">
        <v>0</v>
      </c>
    </row>
    <row r="5285" spans="1:14" x14ac:dyDescent="0.25">
      <c r="A5285" s="2" t="s">
        <v>110</v>
      </c>
      <c r="B5285" s="2" t="s">
        <v>111</v>
      </c>
      <c r="C5285" s="3">
        <v>5.66</v>
      </c>
      <c r="D5285" s="4">
        <v>56.486800000000002</v>
      </c>
      <c r="E5285" s="4">
        <v>53.77</v>
      </c>
      <c r="F5285" s="4">
        <f t="shared" si="305"/>
        <v>2.7167999999999992</v>
      </c>
      <c r="G5285" s="5">
        <f t="shared" si="306"/>
        <v>4.8096192384769525E-2</v>
      </c>
      <c r="H5285" s="2" t="s">
        <v>5</v>
      </c>
      <c r="I5285" s="6" t="s">
        <v>2300</v>
      </c>
      <c r="J5285" s="2" t="s">
        <v>5</v>
      </c>
      <c r="K5285" s="2" t="s">
        <v>5</v>
      </c>
      <c r="L5285" s="2" t="s">
        <v>5</v>
      </c>
      <c r="M5285" s="2" t="s">
        <v>5</v>
      </c>
      <c r="N5285" s="4">
        <v>0</v>
      </c>
    </row>
    <row r="5286" spans="1:14" x14ac:dyDescent="0.25">
      <c r="A5286" s="2" t="s">
        <v>1156</v>
      </c>
      <c r="B5286" s="2" t="s">
        <v>1157</v>
      </c>
      <c r="C5286" s="3">
        <v>1</v>
      </c>
      <c r="D5286" s="4">
        <v>20.9</v>
      </c>
      <c r="E5286" s="4">
        <v>14.1</v>
      </c>
      <c r="F5286" s="4">
        <f t="shared" si="305"/>
        <v>6.7999999999999989</v>
      </c>
      <c r="G5286" s="5">
        <f t="shared" si="306"/>
        <v>0.32535885167464113</v>
      </c>
      <c r="H5286" s="2" t="s">
        <v>5</v>
      </c>
      <c r="I5286" s="6" t="s">
        <v>2300</v>
      </c>
      <c r="J5286" s="2" t="s">
        <v>5</v>
      </c>
      <c r="K5286" s="2" t="s">
        <v>5</v>
      </c>
      <c r="L5286" s="2" t="s">
        <v>5</v>
      </c>
      <c r="M5286" s="2" t="s">
        <v>5</v>
      </c>
      <c r="N5286" s="4">
        <v>0</v>
      </c>
    </row>
    <row r="5287" spans="1:14" x14ac:dyDescent="0.25">
      <c r="A5287" s="2" t="s">
        <v>1156</v>
      </c>
      <c r="B5287" s="2" t="s">
        <v>1157</v>
      </c>
      <c r="C5287" s="3">
        <v>1</v>
      </c>
      <c r="D5287" s="4">
        <v>20.9</v>
      </c>
      <c r="E5287" s="4">
        <v>14.1</v>
      </c>
      <c r="F5287" s="4">
        <f t="shared" si="305"/>
        <v>6.7999999999999989</v>
      </c>
      <c r="G5287" s="5">
        <f t="shared" si="306"/>
        <v>0.32535885167464113</v>
      </c>
      <c r="H5287" s="2" t="s">
        <v>5</v>
      </c>
      <c r="I5287" s="6" t="s">
        <v>2300</v>
      </c>
      <c r="J5287" s="2" t="s">
        <v>5</v>
      </c>
      <c r="K5287" s="2" t="s">
        <v>5</v>
      </c>
      <c r="L5287" s="2" t="s">
        <v>5</v>
      </c>
      <c r="M5287" s="2" t="s">
        <v>5</v>
      </c>
      <c r="N5287" s="4">
        <v>0</v>
      </c>
    </row>
    <row r="5288" spans="1:14" x14ac:dyDescent="0.25">
      <c r="A5288" s="2" t="s">
        <v>1158</v>
      </c>
      <c r="B5288" s="2" t="s">
        <v>1159</v>
      </c>
      <c r="C5288" s="3">
        <v>1</v>
      </c>
      <c r="D5288" s="4">
        <v>94.89</v>
      </c>
      <c r="E5288" s="4">
        <v>54.4</v>
      </c>
      <c r="F5288" s="4">
        <f t="shared" si="305"/>
        <v>40.49</v>
      </c>
      <c r="G5288" s="5">
        <f t="shared" si="306"/>
        <v>0.42670460533249027</v>
      </c>
      <c r="H5288" s="2" t="s">
        <v>5</v>
      </c>
      <c r="I5288" s="6" t="s">
        <v>2300</v>
      </c>
      <c r="J5288" s="2" t="s">
        <v>5</v>
      </c>
      <c r="K5288" s="2" t="s">
        <v>5</v>
      </c>
      <c r="L5288" s="2" t="s">
        <v>5</v>
      </c>
      <c r="M5288" s="2" t="s">
        <v>5</v>
      </c>
      <c r="N5288" s="4">
        <v>0</v>
      </c>
    </row>
    <row r="5289" spans="1:14" x14ac:dyDescent="0.25">
      <c r="A5289" s="2" t="s">
        <v>524</v>
      </c>
      <c r="B5289" s="2" t="s">
        <v>525</v>
      </c>
      <c r="C5289" s="3">
        <v>6.86</v>
      </c>
      <c r="D5289" s="4">
        <v>90.071799999999996</v>
      </c>
      <c r="E5289" s="4">
        <v>46.648000000000003</v>
      </c>
      <c r="F5289" s="4">
        <f t="shared" si="305"/>
        <v>43.423799999999993</v>
      </c>
      <c r="G5289" s="5">
        <f t="shared" si="306"/>
        <v>0.48210205635948206</v>
      </c>
      <c r="H5289" s="2" t="s">
        <v>5</v>
      </c>
      <c r="I5289" s="6" t="s">
        <v>2300</v>
      </c>
      <c r="J5289" s="2" t="s">
        <v>5</v>
      </c>
      <c r="K5289" s="2" t="s">
        <v>5</v>
      </c>
      <c r="L5289" s="2" t="s">
        <v>5</v>
      </c>
      <c r="M5289" s="2" t="s">
        <v>5</v>
      </c>
      <c r="N5289" s="4">
        <v>0</v>
      </c>
    </row>
    <row r="5290" spans="1:14" x14ac:dyDescent="0.25">
      <c r="A5290" s="2" t="s">
        <v>524</v>
      </c>
      <c r="B5290" s="2" t="s">
        <v>525</v>
      </c>
      <c r="C5290" s="3">
        <v>25.05</v>
      </c>
      <c r="D5290" s="4">
        <v>264.52800000000002</v>
      </c>
      <c r="E5290" s="4">
        <v>170.34</v>
      </c>
      <c r="F5290" s="4">
        <f t="shared" si="305"/>
        <v>94.188000000000017</v>
      </c>
      <c r="G5290" s="5">
        <f t="shared" si="306"/>
        <v>0.35606060606060608</v>
      </c>
      <c r="H5290" s="2" t="s">
        <v>5</v>
      </c>
      <c r="I5290" s="6" t="s">
        <v>2300</v>
      </c>
      <c r="J5290" s="2" t="s">
        <v>5</v>
      </c>
      <c r="K5290" s="2" t="s">
        <v>5</v>
      </c>
      <c r="L5290" s="2" t="s">
        <v>5</v>
      </c>
      <c r="M5290" s="2" t="s">
        <v>5</v>
      </c>
      <c r="N5290" s="4">
        <v>0</v>
      </c>
    </row>
    <row r="5291" spans="1:14" x14ac:dyDescent="0.25">
      <c r="A5291" s="2" t="s">
        <v>1160</v>
      </c>
      <c r="B5291" s="2" t="s">
        <v>1161</v>
      </c>
      <c r="C5291" s="3">
        <v>1</v>
      </c>
      <c r="D5291" s="4">
        <v>23.35</v>
      </c>
      <c r="E5291" s="4">
        <v>15.75</v>
      </c>
      <c r="F5291" s="4">
        <f t="shared" si="305"/>
        <v>7.6000000000000014</v>
      </c>
      <c r="G5291" s="5">
        <f t="shared" si="306"/>
        <v>0.32548179871520344</v>
      </c>
      <c r="H5291" s="2" t="s">
        <v>5</v>
      </c>
      <c r="I5291" s="6" t="s">
        <v>2300</v>
      </c>
      <c r="J5291" s="2" t="s">
        <v>5</v>
      </c>
      <c r="K5291" s="2" t="s">
        <v>5</v>
      </c>
      <c r="L5291" s="2" t="s">
        <v>5</v>
      </c>
      <c r="M5291" s="2" t="s">
        <v>5</v>
      </c>
      <c r="N5291" s="4">
        <v>0</v>
      </c>
    </row>
    <row r="5292" spans="1:14" x14ac:dyDescent="0.25">
      <c r="A5292" s="2" t="s">
        <v>1162</v>
      </c>
      <c r="B5292" s="2" t="s">
        <v>1163</v>
      </c>
      <c r="C5292" s="3">
        <v>1</v>
      </c>
      <c r="D5292" s="4">
        <v>11.27</v>
      </c>
      <c r="E5292" s="4">
        <v>7.6</v>
      </c>
      <c r="F5292" s="4">
        <f t="shared" si="305"/>
        <v>3.67</v>
      </c>
      <c r="G5292" s="5">
        <f t="shared" si="306"/>
        <v>0.32564330079858028</v>
      </c>
      <c r="H5292" s="2" t="s">
        <v>5</v>
      </c>
      <c r="I5292" s="6" t="s">
        <v>2300</v>
      </c>
      <c r="J5292" s="2" t="s">
        <v>5</v>
      </c>
      <c r="K5292" s="2" t="s">
        <v>5</v>
      </c>
      <c r="L5292" s="2" t="s">
        <v>5</v>
      </c>
      <c r="M5292" s="2" t="s">
        <v>5</v>
      </c>
      <c r="N5292" s="4">
        <v>0</v>
      </c>
    </row>
    <row r="5293" spans="1:14" x14ac:dyDescent="0.25">
      <c r="A5293" s="2" t="s">
        <v>1162</v>
      </c>
      <c r="B5293" s="2" t="s">
        <v>1163</v>
      </c>
      <c r="C5293" s="3">
        <v>1</v>
      </c>
      <c r="D5293" s="4">
        <v>11.27</v>
      </c>
      <c r="E5293" s="4">
        <v>7.6</v>
      </c>
      <c r="F5293" s="4">
        <f t="shared" si="305"/>
        <v>3.67</v>
      </c>
      <c r="G5293" s="5">
        <f t="shared" si="306"/>
        <v>0.32564330079858028</v>
      </c>
      <c r="H5293" s="2" t="s">
        <v>5</v>
      </c>
      <c r="I5293" s="6" t="s">
        <v>2300</v>
      </c>
      <c r="J5293" s="2" t="s">
        <v>5</v>
      </c>
      <c r="K5293" s="2" t="s">
        <v>5</v>
      </c>
      <c r="L5293" s="2" t="s">
        <v>5</v>
      </c>
      <c r="M5293" s="2" t="s">
        <v>5</v>
      </c>
      <c r="N5293" s="4">
        <v>0</v>
      </c>
    </row>
    <row r="5294" spans="1:14" x14ac:dyDescent="0.25">
      <c r="A5294" s="2" t="s">
        <v>1164</v>
      </c>
      <c r="B5294" s="2" t="s">
        <v>1165</v>
      </c>
      <c r="C5294" s="3">
        <v>1</v>
      </c>
      <c r="D5294" s="4">
        <v>59.01</v>
      </c>
      <c r="E5294" s="4">
        <v>39.799999999999997</v>
      </c>
      <c r="F5294" s="4">
        <f t="shared" si="305"/>
        <v>19.21</v>
      </c>
      <c r="G5294" s="5">
        <f t="shared" si="306"/>
        <v>0.32553804439925438</v>
      </c>
      <c r="H5294" s="2" t="s">
        <v>5</v>
      </c>
      <c r="I5294" s="6" t="s">
        <v>2300</v>
      </c>
      <c r="J5294" s="2" t="s">
        <v>5</v>
      </c>
      <c r="K5294" s="2" t="s">
        <v>5</v>
      </c>
      <c r="L5294" s="2" t="s">
        <v>5</v>
      </c>
      <c r="M5294" s="2" t="s">
        <v>5</v>
      </c>
      <c r="N5294" s="4">
        <v>0</v>
      </c>
    </row>
    <row r="5295" spans="1:14" x14ac:dyDescent="0.25">
      <c r="A5295" s="2" t="s">
        <v>1107</v>
      </c>
      <c r="B5295" s="2" t="s">
        <v>1108</v>
      </c>
      <c r="C5295" s="3">
        <v>9</v>
      </c>
      <c r="D5295" s="4">
        <v>374.31</v>
      </c>
      <c r="E5295" s="4">
        <v>261</v>
      </c>
      <c r="F5295" s="4">
        <f t="shared" si="305"/>
        <v>113.31</v>
      </c>
      <c r="G5295" s="5">
        <f t="shared" si="306"/>
        <v>0.30271699927867274</v>
      </c>
      <c r="H5295" s="2" t="s">
        <v>5</v>
      </c>
      <c r="I5295" s="6" t="s">
        <v>2300</v>
      </c>
      <c r="J5295" s="2" t="s">
        <v>5</v>
      </c>
      <c r="K5295" s="2" t="s">
        <v>5</v>
      </c>
      <c r="L5295" s="2" t="s">
        <v>5</v>
      </c>
      <c r="M5295" s="2" t="s">
        <v>5</v>
      </c>
      <c r="N5295" s="4">
        <v>0</v>
      </c>
    </row>
    <row r="5296" spans="1:14" x14ac:dyDescent="0.25">
      <c r="A5296" s="2" t="s">
        <v>1107</v>
      </c>
      <c r="B5296" s="2" t="s">
        <v>1108</v>
      </c>
      <c r="C5296" s="3">
        <v>4</v>
      </c>
      <c r="D5296" s="4">
        <v>166.36</v>
      </c>
      <c r="E5296" s="4">
        <v>116</v>
      </c>
      <c r="F5296" s="4">
        <f t="shared" si="305"/>
        <v>50.360000000000014</v>
      </c>
      <c r="G5296" s="5">
        <f t="shared" si="306"/>
        <v>0.30271699927867279</v>
      </c>
      <c r="H5296" s="2" t="s">
        <v>5</v>
      </c>
      <c r="I5296" s="6" t="s">
        <v>2300</v>
      </c>
      <c r="J5296" s="2" t="s">
        <v>5</v>
      </c>
      <c r="K5296" s="2" t="s">
        <v>5</v>
      </c>
      <c r="L5296" s="2" t="s">
        <v>5</v>
      </c>
      <c r="M5296" s="2" t="s">
        <v>5</v>
      </c>
      <c r="N5296" s="4">
        <v>0</v>
      </c>
    </row>
    <row r="5297" spans="1:14" x14ac:dyDescent="0.25">
      <c r="A5297" s="2" t="s">
        <v>1107</v>
      </c>
      <c r="B5297" s="2" t="s">
        <v>1108</v>
      </c>
      <c r="C5297" s="3">
        <v>4</v>
      </c>
      <c r="D5297" s="4">
        <v>166.36</v>
      </c>
      <c r="E5297" s="4">
        <v>116</v>
      </c>
      <c r="F5297" s="4">
        <f t="shared" si="305"/>
        <v>50.360000000000014</v>
      </c>
      <c r="G5297" s="5">
        <f t="shared" si="306"/>
        <v>0.30271699927867279</v>
      </c>
      <c r="H5297" s="2" t="s">
        <v>5</v>
      </c>
      <c r="I5297" s="6" t="s">
        <v>2300</v>
      </c>
      <c r="J5297" s="2" t="s">
        <v>5</v>
      </c>
      <c r="K5297" s="2" t="s">
        <v>5</v>
      </c>
      <c r="L5297" s="2" t="s">
        <v>5</v>
      </c>
      <c r="M5297" s="2" t="s">
        <v>5</v>
      </c>
      <c r="N5297" s="4">
        <v>0</v>
      </c>
    </row>
    <row r="5298" spans="1:14" x14ac:dyDescent="0.25">
      <c r="A5298" s="2" t="s">
        <v>1107</v>
      </c>
      <c r="B5298" s="2" t="s">
        <v>1108</v>
      </c>
      <c r="C5298" s="3">
        <v>2</v>
      </c>
      <c r="D5298" s="4">
        <v>83.18</v>
      </c>
      <c r="E5298" s="4">
        <v>58</v>
      </c>
      <c r="F5298" s="4">
        <f t="shared" si="305"/>
        <v>25.180000000000007</v>
      </c>
      <c r="G5298" s="5">
        <f t="shared" si="306"/>
        <v>0.30271699927867279</v>
      </c>
      <c r="H5298" s="2" t="s">
        <v>5</v>
      </c>
      <c r="I5298" s="6" t="s">
        <v>2300</v>
      </c>
      <c r="J5298" s="2" t="s">
        <v>5</v>
      </c>
      <c r="K5298" s="2" t="s">
        <v>5</v>
      </c>
      <c r="L5298" s="2" t="s">
        <v>5</v>
      </c>
      <c r="M5298" s="2" t="s">
        <v>5</v>
      </c>
      <c r="N5298" s="4">
        <v>0</v>
      </c>
    </row>
    <row r="5299" spans="1:14" x14ac:dyDescent="0.25">
      <c r="A5299" s="2" t="s">
        <v>1107</v>
      </c>
      <c r="B5299" s="2" t="s">
        <v>1108</v>
      </c>
      <c r="C5299" s="3">
        <v>5</v>
      </c>
      <c r="D5299" s="4">
        <v>207.95</v>
      </c>
      <c r="E5299" s="4">
        <v>145</v>
      </c>
      <c r="F5299" s="4">
        <f t="shared" si="305"/>
        <v>62.949999999999989</v>
      </c>
      <c r="G5299" s="5">
        <f t="shared" si="306"/>
        <v>0.30271699927867274</v>
      </c>
      <c r="H5299" s="2" t="s">
        <v>5</v>
      </c>
      <c r="I5299" s="6" t="s">
        <v>2300</v>
      </c>
      <c r="J5299" s="2" t="s">
        <v>5</v>
      </c>
      <c r="K5299" s="2" t="s">
        <v>5</v>
      </c>
      <c r="L5299" s="2" t="s">
        <v>5</v>
      </c>
      <c r="M5299" s="2" t="s">
        <v>5</v>
      </c>
      <c r="N5299" s="4">
        <v>0</v>
      </c>
    </row>
    <row r="5300" spans="1:14" x14ac:dyDescent="0.25">
      <c r="A5300" s="2" t="s">
        <v>1107</v>
      </c>
      <c r="B5300" s="2" t="s">
        <v>1108</v>
      </c>
      <c r="C5300" s="3">
        <v>5</v>
      </c>
      <c r="D5300" s="4">
        <v>207.95</v>
      </c>
      <c r="E5300" s="4">
        <v>145</v>
      </c>
      <c r="F5300" s="4">
        <f t="shared" si="305"/>
        <v>62.949999999999989</v>
      </c>
      <c r="G5300" s="5">
        <f t="shared" si="306"/>
        <v>0.30271699927867274</v>
      </c>
      <c r="H5300" s="2" t="s">
        <v>5</v>
      </c>
      <c r="I5300" s="6" t="s">
        <v>2300</v>
      </c>
      <c r="J5300" s="2" t="s">
        <v>5</v>
      </c>
      <c r="K5300" s="2" t="s">
        <v>5</v>
      </c>
      <c r="L5300" s="2" t="s">
        <v>5</v>
      </c>
      <c r="M5300" s="2" t="s">
        <v>5</v>
      </c>
      <c r="N5300" s="4">
        <v>0</v>
      </c>
    </row>
    <row r="5301" spans="1:14" x14ac:dyDescent="0.25">
      <c r="A5301" s="2" t="s">
        <v>1107</v>
      </c>
      <c r="B5301" s="2" t="s">
        <v>1108</v>
      </c>
      <c r="C5301" s="3">
        <v>5</v>
      </c>
      <c r="D5301" s="4">
        <v>207.95</v>
      </c>
      <c r="E5301" s="4">
        <v>145</v>
      </c>
      <c r="F5301" s="4">
        <f t="shared" si="305"/>
        <v>62.949999999999989</v>
      </c>
      <c r="G5301" s="5">
        <f t="shared" si="306"/>
        <v>0.30271699927867274</v>
      </c>
      <c r="H5301" s="2" t="s">
        <v>5</v>
      </c>
      <c r="I5301" s="6" t="s">
        <v>2300</v>
      </c>
      <c r="J5301" s="2" t="s">
        <v>5</v>
      </c>
      <c r="K5301" s="2" t="s">
        <v>5</v>
      </c>
      <c r="L5301" s="2" t="s">
        <v>5</v>
      </c>
      <c r="M5301" s="2" t="s">
        <v>5</v>
      </c>
      <c r="N5301" s="4">
        <v>0</v>
      </c>
    </row>
    <row r="5302" spans="1:14" x14ac:dyDescent="0.25">
      <c r="A5302" s="2" t="s">
        <v>1107</v>
      </c>
      <c r="B5302" s="2" t="s">
        <v>1108</v>
      </c>
      <c r="C5302" s="3">
        <v>6</v>
      </c>
      <c r="D5302" s="4">
        <v>249.54</v>
      </c>
      <c r="E5302" s="4">
        <v>174</v>
      </c>
      <c r="F5302" s="4">
        <f t="shared" si="305"/>
        <v>75.539999999999992</v>
      </c>
      <c r="G5302" s="5">
        <f t="shared" si="306"/>
        <v>0.30271699927867274</v>
      </c>
      <c r="H5302" s="2" t="s">
        <v>5</v>
      </c>
      <c r="I5302" s="6" t="s">
        <v>2300</v>
      </c>
      <c r="J5302" s="2" t="s">
        <v>5</v>
      </c>
      <c r="K5302" s="2" t="s">
        <v>5</v>
      </c>
      <c r="L5302" s="2" t="s">
        <v>5</v>
      </c>
      <c r="M5302" s="2" t="s">
        <v>5</v>
      </c>
      <c r="N5302" s="4">
        <v>0</v>
      </c>
    </row>
    <row r="5303" spans="1:14" x14ac:dyDescent="0.25">
      <c r="A5303" s="2" t="s">
        <v>1109</v>
      </c>
      <c r="B5303" s="2" t="s">
        <v>1110</v>
      </c>
      <c r="C5303" s="3">
        <v>1</v>
      </c>
      <c r="D5303" s="4">
        <v>41.96</v>
      </c>
      <c r="E5303" s="4">
        <v>29.3</v>
      </c>
      <c r="F5303" s="4">
        <f t="shared" si="305"/>
        <v>12.66</v>
      </c>
      <c r="G5303" s="5">
        <f t="shared" si="306"/>
        <v>0.30171591992373686</v>
      </c>
      <c r="H5303" s="2" t="s">
        <v>5</v>
      </c>
      <c r="I5303" s="6" t="s">
        <v>2300</v>
      </c>
      <c r="J5303" s="2" t="s">
        <v>5</v>
      </c>
      <c r="K5303" s="2" t="s">
        <v>5</v>
      </c>
      <c r="L5303" s="2" t="s">
        <v>5</v>
      </c>
      <c r="M5303" s="2" t="s">
        <v>5</v>
      </c>
      <c r="N5303" s="4">
        <v>0</v>
      </c>
    </row>
    <row r="5304" spans="1:14" x14ac:dyDescent="0.25">
      <c r="A5304" s="2" t="s">
        <v>1109</v>
      </c>
      <c r="B5304" s="2" t="s">
        <v>1110</v>
      </c>
      <c r="C5304" s="3">
        <v>1</v>
      </c>
      <c r="D5304" s="4">
        <v>41.96</v>
      </c>
      <c r="E5304" s="4">
        <v>29.3</v>
      </c>
      <c r="F5304" s="4">
        <f t="shared" si="305"/>
        <v>12.66</v>
      </c>
      <c r="G5304" s="5">
        <f t="shared" si="306"/>
        <v>0.30171591992373686</v>
      </c>
      <c r="H5304" s="2" t="s">
        <v>5</v>
      </c>
      <c r="I5304" s="6" t="s">
        <v>2300</v>
      </c>
      <c r="J5304" s="2" t="s">
        <v>5</v>
      </c>
      <c r="K5304" s="2" t="s">
        <v>5</v>
      </c>
      <c r="L5304" s="2" t="s">
        <v>5</v>
      </c>
      <c r="M5304" s="2" t="s">
        <v>5</v>
      </c>
      <c r="N5304" s="4">
        <v>0</v>
      </c>
    </row>
    <row r="5305" spans="1:14" x14ac:dyDescent="0.25">
      <c r="A5305" s="2" t="s">
        <v>1109</v>
      </c>
      <c r="B5305" s="2" t="s">
        <v>1110</v>
      </c>
      <c r="C5305" s="3">
        <v>1</v>
      </c>
      <c r="D5305" s="4">
        <v>41.96</v>
      </c>
      <c r="E5305" s="4">
        <v>29.3</v>
      </c>
      <c r="F5305" s="4">
        <f t="shared" si="305"/>
        <v>12.66</v>
      </c>
      <c r="G5305" s="5">
        <f t="shared" si="306"/>
        <v>0.30171591992373686</v>
      </c>
      <c r="H5305" s="2" t="s">
        <v>5</v>
      </c>
      <c r="I5305" s="6" t="s">
        <v>2300</v>
      </c>
      <c r="J5305" s="2" t="s">
        <v>5</v>
      </c>
      <c r="K5305" s="2" t="s">
        <v>5</v>
      </c>
      <c r="L5305" s="2" t="s">
        <v>5</v>
      </c>
      <c r="M5305" s="2" t="s">
        <v>5</v>
      </c>
      <c r="N5305" s="4">
        <v>0</v>
      </c>
    </row>
    <row r="5306" spans="1:14" x14ac:dyDescent="0.25">
      <c r="A5306" s="2" t="s">
        <v>1109</v>
      </c>
      <c r="B5306" s="2" t="s">
        <v>1110</v>
      </c>
      <c r="C5306" s="3">
        <v>2</v>
      </c>
      <c r="D5306" s="4">
        <v>83.92</v>
      </c>
      <c r="E5306" s="4">
        <v>58.6</v>
      </c>
      <c r="F5306" s="4">
        <f t="shared" si="305"/>
        <v>25.32</v>
      </c>
      <c r="G5306" s="5">
        <f t="shared" si="306"/>
        <v>0.30171591992373686</v>
      </c>
      <c r="H5306" s="2" t="s">
        <v>5</v>
      </c>
      <c r="I5306" s="6" t="s">
        <v>2300</v>
      </c>
      <c r="J5306" s="2" t="s">
        <v>5</v>
      </c>
      <c r="K5306" s="2" t="s">
        <v>5</v>
      </c>
      <c r="L5306" s="2" t="s">
        <v>5</v>
      </c>
      <c r="M5306" s="2" t="s">
        <v>5</v>
      </c>
      <c r="N5306" s="4">
        <v>0</v>
      </c>
    </row>
    <row r="5307" spans="1:14" x14ac:dyDescent="0.25">
      <c r="A5307" s="2" t="s">
        <v>1109</v>
      </c>
      <c r="B5307" s="2" t="s">
        <v>1110</v>
      </c>
      <c r="C5307" s="3">
        <v>5</v>
      </c>
      <c r="D5307" s="4">
        <v>209.8</v>
      </c>
      <c r="E5307" s="4">
        <v>146.5</v>
      </c>
      <c r="F5307" s="4">
        <f t="shared" si="305"/>
        <v>63.300000000000011</v>
      </c>
      <c r="G5307" s="5">
        <f t="shared" si="306"/>
        <v>0.30171591992373692</v>
      </c>
      <c r="H5307" s="2" t="s">
        <v>5</v>
      </c>
      <c r="I5307" s="6" t="s">
        <v>2300</v>
      </c>
      <c r="J5307" s="2" t="s">
        <v>5</v>
      </c>
      <c r="K5307" s="2" t="s">
        <v>5</v>
      </c>
      <c r="L5307" s="2" t="s">
        <v>5</v>
      </c>
      <c r="M5307" s="2" t="s">
        <v>5</v>
      </c>
      <c r="N5307" s="4">
        <v>0</v>
      </c>
    </row>
    <row r="5308" spans="1:14" x14ac:dyDescent="0.25">
      <c r="A5308" s="2" t="s">
        <v>1109</v>
      </c>
      <c r="B5308" s="2" t="s">
        <v>1110</v>
      </c>
      <c r="C5308" s="3">
        <v>2</v>
      </c>
      <c r="D5308" s="4">
        <v>83.92</v>
      </c>
      <c r="E5308" s="4">
        <v>58.6</v>
      </c>
      <c r="F5308" s="4">
        <f t="shared" si="305"/>
        <v>25.32</v>
      </c>
      <c r="G5308" s="5">
        <f t="shared" si="306"/>
        <v>0.30171591992373686</v>
      </c>
      <c r="H5308" s="2" t="s">
        <v>5</v>
      </c>
      <c r="I5308" s="6" t="s">
        <v>2300</v>
      </c>
      <c r="J5308" s="2" t="s">
        <v>5</v>
      </c>
      <c r="K5308" s="2" t="s">
        <v>5</v>
      </c>
      <c r="L5308" s="2" t="s">
        <v>5</v>
      </c>
      <c r="M5308" s="2" t="s">
        <v>5</v>
      </c>
      <c r="N5308" s="4">
        <v>0</v>
      </c>
    </row>
    <row r="5309" spans="1:14" x14ac:dyDescent="0.25">
      <c r="A5309" s="2" t="s">
        <v>1109</v>
      </c>
      <c r="B5309" s="2" t="s">
        <v>1110</v>
      </c>
      <c r="C5309" s="3">
        <v>2</v>
      </c>
      <c r="D5309" s="4">
        <v>83.92</v>
      </c>
      <c r="E5309" s="4">
        <v>58.6</v>
      </c>
      <c r="F5309" s="4">
        <f t="shared" si="305"/>
        <v>25.32</v>
      </c>
      <c r="G5309" s="5">
        <f t="shared" si="306"/>
        <v>0.30171591992373686</v>
      </c>
      <c r="H5309" s="2" t="s">
        <v>5</v>
      </c>
      <c r="I5309" s="6" t="s">
        <v>2300</v>
      </c>
      <c r="J5309" s="2" t="s">
        <v>5</v>
      </c>
      <c r="K5309" s="2" t="s">
        <v>5</v>
      </c>
      <c r="L5309" s="2" t="s">
        <v>5</v>
      </c>
      <c r="M5309" s="2" t="s">
        <v>5</v>
      </c>
      <c r="N5309" s="4">
        <v>0</v>
      </c>
    </row>
    <row r="5310" spans="1:14" x14ac:dyDescent="0.25">
      <c r="A5310" s="2" t="s">
        <v>1109</v>
      </c>
      <c r="B5310" s="2" t="s">
        <v>1110</v>
      </c>
      <c r="C5310" s="3">
        <v>1</v>
      </c>
      <c r="D5310" s="4">
        <v>41.96</v>
      </c>
      <c r="E5310" s="4">
        <v>29.3</v>
      </c>
      <c r="F5310" s="4">
        <f t="shared" si="305"/>
        <v>12.66</v>
      </c>
      <c r="G5310" s="5">
        <f t="shared" si="306"/>
        <v>0.30171591992373686</v>
      </c>
      <c r="H5310" s="2" t="s">
        <v>5</v>
      </c>
      <c r="I5310" s="6" t="s">
        <v>2300</v>
      </c>
      <c r="J5310" s="2" t="s">
        <v>5</v>
      </c>
      <c r="K5310" s="2" t="s">
        <v>5</v>
      </c>
      <c r="L5310" s="2" t="s">
        <v>5</v>
      </c>
      <c r="M5310" s="2" t="s">
        <v>5</v>
      </c>
      <c r="N5310" s="4">
        <v>0</v>
      </c>
    </row>
    <row r="5311" spans="1:14" x14ac:dyDescent="0.25">
      <c r="A5311" s="2" t="s">
        <v>1111</v>
      </c>
      <c r="B5311" s="2" t="s">
        <v>1112</v>
      </c>
      <c r="C5311" s="3">
        <v>1</v>
      </c>
      <c r="D5311" s="4">
        <v>41.66</v>
      </c>
      <c r="E5311" s="4">
        <v>29.08</v>
      </c>
      <c r="F5311" s="4">
        <f t="shared" si="305"/>
        <v>12.579999999999998</v>
      </c>
      <c r="G5311" s="5">
        <f t="shared" si="306"/>
        <v>0.30196831493038884</v>
      </c>
      <c r="H5311" s="2" t="s">
        <v>5</v>
      </c>
      <c r="I5311" s="6" t="s">
        <v>2300</v>
      </c>
      <c r="J5311" s="2" t="s">
        <v>5</v>
      </c>
      <c r="K5311" s="2" t="s">
        <v>5</v>
      </c>
      <c r="L5311" s="2" t="s">
        <v>5</v>
      </c>
      <c r="M5311" s="2" t="s">
        <v>5</v>
      </c>
      <c r="N5311" s="4">
        <v>0</v>
      </c>
    </row>
    <row r="5312" spans="1:14" x14ac:dyDescent="0.25">
      <c r="A5312" s="2" t="s">
        <v>1111</v>
      </c>
      <c r="B5312" s="2" t="s">
        <v>1112</v>
      </c>
      <c r="C5312" s="3">
        <v>1</v>
      </c>
      <c r="D5312" s="4">
        <v>41.66</v>
      </c>
      <c r="E5312" s="4">
        <v>29.08</v>
      </c>
      <c r="F5312" s="4">
        <f t="shared" si="305"/>
        <v>12.579999999999998</v>
      </c>
      <c r="G5312" s="5">
        <f t="shared" si="306"/>
        <v>0.30196831493038884</v>
      </c>
      <c r="H5312" s="2" t="s">
        <v>5</v>
      </c>
      <c r="I5312" s="6" t="s">
        <v>2300</v>
      </c>
      <c r="J5312" s="2" t="s">
        <v>5</v>
      </c>
      <c r="K5312" s="2" t="s">
        <v>5</v>
      </c>
      <c r="L5312" s="2" t="s">
        <v>5</v>
      </c>
      <c r="M5312" s="2" t="s">
        <v>5</v>
      </c>
      <c r="N5312" s="4">
        <v>0</v>
      </c>
    </row>
    <row r="5313" spans="1:14" x14ac:dyDescent="0.25">
      <c r="A5313" s="2" t="s">
        <v>1111</v>
      </c>
      <c r="B5313" s="2" t="s">
        <v>1112</v>
      </c>
      <c r="C5313" s="3">
        <v>1</v>
      </c>
      <c r="D5313" s="4">
        <v>41.66</v>
      </c>
      <c r="E5313" s="4">
        <v>29.08</v>
      </c>
      <c r="F5313" s="4">
        <f t="shared" si="305"/>
        <v>12.579999999999998</v>
      </c>
      <c r="G5313" s="5">
        <f t="shared" si="306"/>
        <v>0.30196831493038884</v>
      </c>
      <c r="H5313" s="2" t="s">
        <v>5</v>
      </c>
      <c r="I5313" s="6" t="s">
        <v>2300</v>
      </c>
      <c r="J5313" s="2" t="s">
        <v>5</v>
      </c>
      <c r="K5313" s="2" t="s">
        <v>5</v>
      </c>
      <c r="L5313" s="2" t="s">
        <v>5</v>
      </c>
      <c r="M5313" s="2" t="s">
        <v>5</v>
      </c>
      <c r="N5313" s="4">
        <v>0</v>
      </c>
    </row>
    <row r="5314" spans="1:14" x14ac:dyDescent="0.25">
      <c r="A5314" s="2" t="s">
        <v>1111</v>
      </c>
      <c r="B5314" s="2" t="s">
        <v>1112</v>
      </c>
      <c r="C5314" s="3">
        <v>1</v>
      </c>
      <c r="D5314" s="4">
        <v>41.66</v>
      </c>
      <c r="E5314" s="4">
        <v>29.08</v>
      </c>
      <c r="F5314" s="4">
        <f t="shared" si="305"/>
        <v>12.579999999999998</v>
      </c>
      <c r="G5314" s="5">
        <f t="shared" si="306"/>
        <v>0.30196831493038884</v>
      </c>
      <c r="H5314" s="2" t="s">
        <v>5</v>
      </c>
      <c r="I5314" s="6" t="s">
        <v>2300</v>
      </c>
      <c r="J5314" s="2" t="s">
        <v>5</v>
      </c>
      <c r="K5314" s="2" t="s">
        <v>5</v>
      </c>
      <c r="L5314" s="2" t="s">
        <v>5</v>
      </c>
      <c r="M5314" s="2" t="s">
        <v>5</v>
      </c>
      <c r="N5314" s="4">
        <v>0</v>
      </c>
    </row>
    <row r="5315" spans="1:14" x14ac:dyDescent="0.25">
      <c r="A5315" s="2" t="s">
        <v>1111</v>
      </c>
      <c r="B5315" s="2" t="s">
        <v>1112</v>
      </c>
      <c r="C5315" s="3">
        <v>1</v>
      </c>
      <c r="D5315" s="4">
        <v>41.66</v>
      </c>
      <c r="E5315" s="4">
        <v>29.08</v>
      </c>
      <c r="F5315" s="4">
        <f t="shared" si="305"/>
        <v>12.579999999999998</v>
      </c>
      <c r="G5315" s="5">
        <f t="shared" si="306"/>
        <v>0.30196831493038884</v>
      </c>
      <c r="H5315" s="2" t="s">
        <v>5</v>
      </c>
      <c r="I5315" s="6" t="s">
        <v>2300</v>
      </c>
      <c r="J5315" s="2" t="s">
        <v>5</v>
      </c>
      <c r="K5315" s="2" t="s">
        <v>5</v>
      </c>
      <c r="L5315" s="2" t="s">
        <v>5</v>
      </c>
      <c r="M5315" s="2" t="s">
        <v>5</v>
      </c>
      <c r="N5315" s="4">
        <v>0</v>
      </c>
    </row>
    <row r="5316" spans="1:14" x14ac:dyDescent="0.25">
      <c r="A5316" s="2" t="s">
        <v>1111</v>
      </c>
      <c r="B5316" s="2" t="s">
        <v>1112</v>
      </c>
      <c r="C5316" s="3">
        <v>2</v>
      </c>
      <c r="D5316" s="4">
        <v>83.32</v>
      </c>
      <c r="E5316" s="4">
        <v>58.16</v>
      </c>
      <c r="F5316" s="4">
        <f t="shared" si="305"/>
        <v>25.159999999999997</v>
      </c>
      <c r="G5316" s="5">
        <f t="shared" si="306"/>
        <v>0.30196831493038884</v>
      </c>
      <c r="H5316" s="2" t="s">
        <v>5</v>
      </c>
      <c r="I5316" s="6" t="s">
        <v>2300</v>
      </c>
      <c r="J5316" s="2" t="s">
        <v>5</v>
      </c>
      <c r="K5316" s="2" t="s">
        <v>5</v>
      </c>
      <c r="L5316" s="2" t="s">
        <v>5</v>
      </c>
      <c r="M5316" s="2" t="s">
        <v>5</v>
      </c>
      <c r="N5316" s="4">
        <v>0</v>
      </c>
    </row>
    <row r="5317" spans="1:14" x14ac:dyDescent="0.25">
      <c r="A5317" s="2" t="s">
        <v>1111</v>
      </c>
      <c r="B5317" s="2" t="s">
        <v>1112</v>
      </c>
      <c r="C5317" s="3">
        <v>1</v>
      </c>
      <c r="D5317" s="4">
        <v>41.66</v>
      </c>
      <c r="E5317" s="4">
        <v>29.08</v>
      </c>
      <c r="F5317" s="4">
        <f t="shared" si="305"/>
        <v>12.579999999999998</v>
      </c>
      <c r="G5317" s="5">
        <f t="shared" si="306"/>
        <v>0.30196831493038884</v>
      </c>
      <c r="H5317" s="2" t="s">
        <v>5</v>
      </c>
      <c r="I5317" s="6" t="s">
        <v>2300</v>
      </c>
      <c r="J5317" s="2" t="s">
        <v>5</v>
      </c>
      <c r="K5317" s="2" t="s">
        <v>5</v>
      </c>
      <c r="L5317" s="2" t="s">
        <v>5</v>
      </c>
      <c r="M5317" s="2" t="s">
        <v>5</v>
      </c>
      <c r="N5317" s="4">
        <v>0</v>
      </c>
    </row>
    <row r="5318" spans="1:14" x14ac:dyDescent="0.25">
      <c r="A5318" s="2" t="s">
        <v>1234</v>
      </c>
      <c r="B5318" s="2" t="s">
        <v>1235</v>
      </c>
      <c r="C5318" s="3">
        <v>10.52</v>
      </c>
      <c r="D5318" s="4">
        <v>271.83679999999998</v>
      </c>
      <c r="E5318" s="4">
        <v>194.09399999999999</v>
      </c>
      <c r="F5318" s="4">
        <f t="shared" si="305"/>
        <v>77.742799999999988</v>
      </c>
      <c r="G5318" s="5">
        <f t="shared" si="306"/>
        <v>0.28599071207430338</v>
      </c>
      <c r="H5318" s="2" t="s">
        <v>5</v>
      </c>
      <c r="I5318" s="6" t="s">
        <v>2300</v>
      </c>
      <c r="J5318" s="2" t="s">
        <v>5</v>
      </c>
      <c r="K5318" s="2" t="s">
        <v>5</v>
      </c>
      <c r="L5318" s="2" t="s">
        <v>5</v>
      </c>
      <c r="M5318" s="2" t="s">
        <v>5</v>
      </c>
      <c r="N5318" s="4">
        <v>0</v>
      </c>
    </row>
    <row r="5319" spans="1:14" x14ac:dyDescent="0.25">
      <c r="A5319" s="2" t="s">
        <v>215</v>
      </c>
      <c r="B5319" s="2" t="s">
        <v>216</v>
      </c>
      <c r="C5319" s="3">
        <v>15.56</v>
      </c>
      <c r="D5319" s="4">
        <v>286.77080000000001</v>
      </c>
      <c r="E5319" s="4">
        <v>237.29</v>
      </c>
      <c r="F5319" s="4">
        <f t="shared" si="305"/>
        <v>49.480800000000016</v>
      </c>
      <c r="G5319" s="5">
        <f t="shared" si="306"/>
        <v>0.1725447639717852</v>
      </c>
      <c r="H5319" s="2" t="s">
        <v>5</v>
      </c>
      <c r="I5319" s="6" t="s">
        <v>2300</v>
      </c>
      <c r="J5319" s="2" t="s">
        <v>5</v>
      </c>
      <c r="K5319" s="2" t="s">
        <v>5</v>
      </c>
      <c r="L5319" s="2" t="s">
        <v>5</v>
      </c>
      <c r="M5319" s="2" t="s">
        <v>5</v>
      </c>
      <c r="N5319" s="4">
        <v>0</v>
      </c>
    </row>
    <row r="5320" spans="1:14" x14ac:dyDescent="0.25">
      <c r="A5320" s="2" t="s">
        <v>215</v>
      </c>
      <c r="B5320" s="2" t="s">
        <v>216</v>
      </c>
      <c r="C5320" s="3">
        <v>4.83</v>
      </c>
      <c r="D5320" s="4">
        <v>100.1742</v>
      </c>
      <c r="E5320" s="4">
        <v>73.657499999999999</v>
      </c>
      <c r="F5320" s="4">
        <f t="shared" si="305"/>
        <v>26.5167</v>
      </c>
      <c r="G5320" s="5">
        <f t="shared" si="306"/>
        <v>0.26470588235294118</v>
      </c>
      <c r="H5320" s="2" t="s">
        <v>5</v>
      </c>
      <c r="I5320" s="6" t="s">
        <v>2300</v>
      </c>
      <c r="J5320" s="2" t="s">
        <v>5</v>
      </c>
      <c r="K5320" s="2" t="s">
        <v>5</v>
      </c>
      <c r="L5320" s="2" t="s">
        <v>5</v>
      </c>
      <c r="M5320" s="2" t="s">
        <v>5</v>
      </c>
      <c r="N5320" s="4">
        <v>0</v>
      </c>
    </row>
    <row r="5321" spans="1:14" x14ac:dyDescent="0.25">
      <c r="A5321" s="2" t="s">
        <v>215</v>
      </c>
      <c r="B5321" s="2" t="s">
        <v>216</v>
      </c>
      <c r="C5321" s="3">
        <v>4.2919999999999998</v>
      </c>
      <c r="D5321" s="4">
        <v>89.016080000000002</v>
      </c>
      <c r="E5321" s="4">
        <v>65.453000000000003</v>
      </c>
      <c r="F5321" s="4">
        <f t="shared" si="305"/>
        <v>23.563079999999999</v>
      </c>
      <c r="G5321" s="5">
        <f t="shared" si="306"/>
        <v>0.26470588235294118</v>
      </c>
      <c r="H5321" s="2" t="s">
        <v>5</v>
      </c>
      <c r="I5321" s="6" t="s">
        <v>2300</v>
      </c>
      <c r="J5321" s="2" t="s">
        <v>5</v>
      </c>
      <c r="K5321" s="2" t="s">
        <v>5</v>
      </c>
      <c r="L5321" s="2" t="s">
        <v>5</v>
      </c>
      <c r="M5321" s="2" t="s">
        <v>5</v>
      </c>
      <c r="N5321" s="4">
        <v>0</v>
      </c>
    </row>
    <row r="5322" spans="1:14" x14ac:dyDescent="0.25">
      <c r="A5322" s="2" t="s">
        <v>215</v>
      </c>
      <c r="B5322" s="2" t="s">
        <v>216</v>
      </c>
      <c r="C5322" s="3">
        <v>91.68</v>
      </c>
      <c r="D5322" s="4">
        <v>1924.3632</v>
      </c>
      <c r="E5322" s="4">
        <v>1398.12</v>
      </c>
      <c r="F5322" s="4">
        <f t="shared" si="305"/>
        <v>526.24320000000012</v>
      </c>
      <c r="G5322" s="5">
        <f t="shared" si="306"/>
        <v>0.27346355407336831</v>
      </c>
      <c r="H5322" s="2" t="s">
        <v>5</v>
      </c>
      <c r="I5322" s="6" t="s">
        <v>2300</v>
      </c>
      <c r="J5322" s="2" t="s">
        <v>5</v>
      </c>
      <c r="K5322" s="2" t="s">
        <v>5</v>
      </c>
      <c r="L5322" s="2" t="s">
        <v>5</v>
      </c>
      <c r="M5322" s="2" t="s">
        <v>5</v>
      </c>
      <c r="N5322" s="4">
        <v>0</v>
      </c>
    </row>
    <row r="5323" spans="1:14" x14ac:dyDescent="0.25">
      <c r="A5323" s="2" t="s">
        <v>215</v>
      </c>
      <c r="B5323" s="2" t="s">
        <v>216</v>
      </c>
      <c r="C5323" s="3">
        <v>30.58</v>
      </c>
      <c r="D5323" s="4">
        <v>574.904</v>
      </c>
      <c r="E5323" s="4">
        <v>466.34500000000003</v>
      </c>
      <c r="F5323" s="4">
        <f t="shared" si="305"/>
        <v>108.55899999999997</v>
      </c>
      <c r="G5323" s="5">
        <f t="shared" si="306"/>
        <v>0.18882978723404251</v>
      </c>
      <c r="H5323" s="2" t="s">
        <v>5</v>
      </c>
      <c r="I5323" s="6" t="s">
        <v>2300</v>
      </c>
      <c r="J5323" s="2" t="s">
        <v>5</v>
      </c>
      <c r="K5323" s="2" t="s">
        <v>5</v>
      </c>
      <c r="L5323" s="2" t="s">
        <v>5</v>
      </c>
      <c r="M5323" s="2" t="s">
        <v>5</v>
      </c>
      <c r="N5323" s="4">
        <v>0</v>
      </c>
    </row>
    <row r="5324" spans="1:14" x14ac:dyDescent="0.25">
      <c r="A5324" s="2" t="s">
        <v>215</v>
      </c>
      <c r="B5324" s="2" t="s">
        <v>216</v>
      </c>
      <c r="C5324" s="3">
        <v>10.355</v>
      </c>
      <c r="D5324" s="4">
        <v>214.7627</v>
      </c>
      <c r="E5324" s="4">
        <v>157.91374999999999</v>
      </c>
      <c r="F5324" s="4">
        <f t="shared" si="305"/>
        <v>56.848950000000002</v>
      </c>
      <c r="G5324" s="5">
        <f t="shared" si="306"/>
        <v>0.26470588235294118</v>
      </c>
      <c r="H5324" s="2" t="s">
        <v>5</v>
      </c>
      <c r="I5324" s="6" t="s">
        <v>2300</v>
      </c>
      <c r="J5324" s="2" t="s">
        <v>5</v>
      </c>
      <c r="K5324" s="2" t="s">
        <v>5</v>
      </c>
      <c r="L5324" s="2" t="s">
        <v>5</v>
      </c>
      <c r="M5324" s="2" t="s">
        <v>5</v>
      </c>
      <c r="N5324" s="4">
        <v>0</v>
      </c>
    </row>
    <row r="5325" spans="1:14" x14ac:dyDescent="0.25">
      <c r="A5325" s="2" t="s">
        <v>215</v>
      </c>
      <c r="B5325" s="2" t="s">
        <v>216</v>
      </c>
      <c r="C5325" s="3">
        <v>43.06</v>
      </c>
      <c r="D5325" s="4">
        <v>802.20780000000002</v>
      </c>
      <c r="E5325" s="4">
        <v>656.66499999999996</v>
      </c>
      <c r="F5325" s="4">
        <f t="shared" si="305"/>
        <v>145.54280000000006</v>
      </c>
      <c r="G5325" s="5">
        <f t="shared" si="306"/>
        <v>0.18142780461621047</v>
      </c>
      <c r="H5325" s="2" t="s">
        <v>5</v>
      </c>
      <c r="I5325" s="6" t="s">
        <v>2300</v>
      </c>
      <c r="J5325" s="2" t="s">
        <v>5</v>
      </c>
      <c r="K5325" s="2" t="s">
        <v>5</v>
      </c>
      <c r="L5325" s="2" t="s">
        <v>5</v>
      </c>
      <c r="M5325" s="2" t="s">
        <v>5</v>
      </c>
      <c r="N5325" s="4">
        <v>0</v>
      </c>
    </row>
    <row r="5326" spans="1:14" x14ac:dyDescent="0.25">
      <c r="A5326" s="2" t="s">
        <v>215</v>
      </c>
      <c r="B5326" s="2" t="s">
        <v>216</v>
      </c>
      <c r="C5326" s="3">
        <v>57.44</v>
      </c>
      <c r="D5326" s="4">
        <v>1205.6656</v>
      </c>
      <c r="E5326" s="4">
        <v>875.96</v>
      </c>
      <c r="F5326" s="4">
        <f t="shared" si="305"/>
        <v>329.7056</v>
      </c>
      <c r="G5326" s="5">
        <f t="shared" si="306"/>
        <v>0.27346355407336825</v>
      </c>
      <c r="H5326" s="2" t="s">
        <v>5</v>
      </c>
      <c r="I5326" s="6" t="s">
        <v>2300</v>
      </c>
      <c r="J5326" s="2" t="s">
        <v>5</v>
      </c>
      <c r="K5326" s="2" t="s">
        <v>5</v>
      </c>
      <c r="L5326" s="2" t="s">
        <v>5</v>
      </c>
      <c r="M5326" s="2" t="s">
        <v>5</v>
      </c>
      <c r="N5326" s="4">
        <v>0</v>
      </c>
    </row>
    <row r="5327" spans="1:14" x14ac:dyDescent="0.25">
      <c r="A5327" s="2" t="s">
        <v>215</v>
      </c>
      <c r="B5327" s="2" t="s">
        <v>216</v>
      </c>
      <c r="C5327" s="3">
        <v>38.799999999999997</v>
      </c>
      <c r="D5327" s="4">
        <v>690.64</v>
      </c>
      <c r="E5327" s="4">
        <v>591.70000000000005</v>
      </c>
      <c r="F5327" s="4">
        <f t="shared" si="305"/>
        <v>98.939999999999941</v>
      </c>
      <c r="G5327" s="5">
        <f t="shared" si="306"/>
        <v>0.14325842696629204</v>
      </c>
      <c r="H5327" s="2" t="s">
        <v>5</v>
      </c>
      <c r="I5327" s="6" t="s">
        <v>2300</v>
      </c>
      <c r="J5327" s="2" t="s">
        <v>5</v>
      </c>
      <c r="K5327" s="2" t="s">
        <v>5</v>
      </c>
      <c r="L5327" s="2" t="s">
        <v>5</v>
      </c>
      <c r="M5327" s="2" t="s">
        <v>5</v>
      </c>
      <c r="N5327" s="4">
        <v>0</v>
      </c>
    </row>
    <row r="5328" spans="1:14" x14ac:dyDescent="0.25">
      <c r="A5328" s="2" t="s">
        <v>215</v>
      </c>
      <c r="B5328" s="2" t="s">
        <v>216</v>
      </c>
      <c r="C5328" s="3">
        <v>13.14</v>
      </c>
      <c r="D5328" s="4">
        <v>272.52359999999999</v>
      </c>
      <c r="E5328" s="4">
        <v>200.38499999999999</v>
      </c>
      <c r="F5328" s="4">
        <f t="shared" si="305"/>
        <v>72.138599999999997</v>
      </c>
      <c r="G5328" s="5">
        <f t="shared" si="306"/>
        <v>0.26470588235294118</v>
      </c>
      <c r="H5328" s="2" t="s">
        <v>5</v>
      </c>
      <c r="I5328" s="6" t="s">
        <v>2300</v>
      </c>
      <c r="J5328" s="2" t="s">
        <v>5</v>
      </c>
      <c r="K5328" s="2" t="s">
        <v>5</v>
      </c>
      <c r="L5328" s="2" t="s">
        <v>5</v>
      </c>
      <c r="M5328" s="2" t="s">
        <v>5</v>
      </c>
      <c r="N5328" s="4">
        <v>0</v>
      </c>
    </row>
    <row r="5329" spans="1:14" x14ac:dyDescent="0.25">
      <c r="A5329" s="2" t="s">
        <v>215</v>
      </c>
      <c r="B5329" s="2" t="s">
        <v>216</v>
      </c>
      <c r="C5329" s="3">
        <v>19.3</v>
      </c>
      <c r="D5329" s="4">
        <v>400.28199999999998</v>
      </c>
      <c r="E5329" s="4">
        <v>294.32499999999999</v>
      </c>
      <c r="F5329" s="4">
        <f t="shared" si="305"/>
        <v>105.95699999999999</v>
      </c>
      <c r="G5329" s="5">
        <f t="shared" si="306"/>
        <v>0.26470588235294118</v>
      </c>
      <c r="H5329" s="2" t="s">
        <v>5</v>
      </c>
      <c r="I5329" s="6" t="s">
        <v>2300</v>
      </c>
      <c r="J5329" s="2" t="s">
        <v>5</v>
      </c>
      <c r="K5329" s="2" t="s">
        <v>5</v>
      </c>
      <c r="L5329" s="2" t="s">
        <v>5</v>
      </c>
      <c r="M5329" s="2" t="s">
        <v>5</v>
      </c>
      <c r="N5329" s="4">
        <v>0</v>
      </c>
    </row>
    <row r="5330" spans="1:14" x14ac:dyDescent="0.25">
      <c r="A5330" s="2" t="s">
        <v>215</v>
      </c>
      <c r="B5330" s="2" t="s">
        <v>216</v>
      </c>
      <c r="C5330" s="3">
        <v>13.78</v>
      </c>
      <c r="D5330" s="4">
        <v>285.79719999999998</v>
      </c>
      <c r="E5330" s="4">
        <v>210.14500000000001</v>
      </c>
      <c r="F5330" s="4">
        <f t="shared" si="305"/>
        <v>75.652199999999965</v>
      </c>
      <c r="G5330" s="5">
        <f t="shared" si="306"/>
        <v>0.26470588235294107</v>
      </c>
      <c r="H5330" s="2" t="s">
        <v>5</v>
      </c>
      <c r="I5330" s="6" t="s">
        <v>2300</v>
      </c>
      <c r="J5330" s="2" t="s">
        <v>5</v>
      </c>
      <c r="K5330" s="2" t="s">
        <v>5</v>
      </c>
      <c r="L5330" s="2" t="s">
        <v>5</v>
      </c>
      <c r="M5330" s="2" t="s">
        <v>5</v>
      </c>
      <c r="N5330" s="4">
        <v>0</v>
      </c>
    </row>
    <row r="5331" spans="1:14" x14ac:dyDescent="0.25">
      <c r="A5331" s="2" t="s">
        <v>215</v>
      </c>
      <c r="B5331" s="2" t="s">
        <v>216</v>
      </c>
      <c r="C5331" s="3">
        <v>4.3600000000000003</v>
      </c>
      <c r="D5331" s="4">
        <v>90.426400000000001</v>
      </c>
      <c r="E5331" s="4">
        <v>66.489999999999995</v>
      </c>
      <c r="F5331" s="4">
        <f t="shared" si="305"/>
        <v>23.936400000000006</v>
      </c>
      <c r="G5331" s="5">
        <f t="shared" si="306"/>
        <v>0.26470588235294124</v>
      </c>
      <c r="H5331" s="2" t="s">
        <v>5</v>
      </c>
      <c r="I5331" s="6" t="s">
        <v>2300</v>
      </c>
      <c r="J5331" s="2" t="s">
        <v>5</v>
      </c>
      <c r="K5331" s="2" t="s">
        <v>5</v>
      </c>
      <c r="L5331" s="2" t="s">
        <v>5</v>
      </c>
      <c r="M5331" s="2" t="s">
        <v>5</v>
      </c>
      <c r="N5331" s="4">
        <v>0</v>
      </c>
    </row>
    <row r="5332" spans="1:14" x14ac:dyDescent="0.25">
      <c r="A5332" s="2" t="s">
        <v>684</v>
      </c>
      <c r="B5332" s="2" t="s">
        <v>685</v>
      </c>
      <c r="C5332" s="3">
        <v>28.66</v>
      </c>
      <c r="D5332" s="4">
        <v>92.858400000000003</v>
      </c>
      <c r="E5332" s="4">
        <v>51.588000000000001</v>
      </c>
      <c r="F5332" s="4">
        <f t="shared" si="305"/>
        <v>41.270400000000002</v>
      </c>
      <c r="G5332" s="5">
        <f t="shared" si="306"/>
        <v>0.44444444444444448</v>
      </c>
      <c r="H5332" s="2" t="s">
        <v>5</v>
      </c>
      <c r="I5332" s="6" t="s">
        <v>2300</v>
      </c>
      <c r="J5332" s="2" t="s">
        <v>5</v>
      </c>
      <c r="K5332" s="2" t="s">
        <v>5</v>
      </c>
      <c r="L5332" s="2" t="s">
        <v>5</v>
      </c>
      <c r="M5332" s="2" t="s">
        <v>5</v>
      </c>
      <c r="N5332" s="4">
        <v>0</v>
      </c>
    </row>
    <row r="5333" spans="1:14" x14ac:dyDescent="0.25">
      <c r="A5333" s="2" t="s">
        <v>684</v>
      </c>
      <c r="B5333" s="2" t="s">
        <v>685</v>
      </c>
      <c r="C5333" s="3">
        <v>12.61</v>
      </c>
      <c r="D5333" s="4">
        <v>40.856400000000001</v>
      </c>
      <c r="E5333" s="4">
        <v>22.698</v>
      </c>
      <c r="F5333" s="4">
        <f t="shared" si="305"/>
        <v>18.1584</v>
      </c>
      <c r="G5333" s="5">
        <f t="shared" si="306"/>
        <v>0.44444444444444442</v>
      </c>
      <c r="H5333" s="2" t="s">
        <v>5</v>
      </c>
      <c r="I5333" s="6" t="s">
        <v>2300</v>
      </c>
      <c r="J5333" s="2" t="s">
        <v>5</v>
      </c>
      <c r="K5333" s="2" t="s">
        <v>5</v>
      </c>
      <c r="L5333" s="2" t="s">
        <v>5</v>
      </c>
      <c r="M5333" s="2" t="s">
        <v>5</v>
      </c>
      <c r="N5333" s="4">
        <v>0</v>
      </c>
    </row>
    <row r="5334" spans="1:14" x14ac:dyDescent="0.25">
      <c r="A5334" s="2" t="s">
        <v>217</v>
      </c>
      <c r="B5334" s="2" t="s">
        <v>218</v>
      </c>
      <c r="C5334" s="3">
        <v>7.61</v>
      </c>
      <c r="D5334" s="4">
        <v>120.0097</v>
      </c>
      <c r="E5334" s="4">
        <v>82.948999999999998</v>
      </c>
      <c r="F5334" s="4">
        <f t="shared" si="305"/>
        <v>37.060699999999997</v>
      </c>
      <c r="G5334" s="5">
        <f t="shared" si="306"/>
        <v>0.3088142041851617</v>
      </c>
      <c r="H5334" s="2" t="s">
        <v>5</v>
      </c>
      <c r="I5334" s="6" t="s">
        <v>2300</v>
      </c>
      <c r="J5334" s="2" t="s">
        <v>5</v>
      </c>
      <c r="K5334" s="2" t="s">
        <v>5</v>
      </c>
      <c r="L5334" s="2" t="s">
        <v>5</v>
      </c>
      <c r="M5334" s="2" t="s">
        <v>5</v>
      </c>
      <c r="N5334" s="4">
        <v>0</v>
      </c>
    </row>
    <row r="5335" spans="1:14" x14ac:dyDescent="0.25">
      <c r="A5335" s="2" t="s">
        <v>217</v>
      </c>
      <c r="B5335" s="2" t="s">
        <v>218</v>
      </c>
      <c r="C5335" s="3">
        <v>27.5</v>
      </c>
      <c r="D5335" s="4">
        <v>368.5</v>
      </c>
      <c r="E5335" s="4">
        <v>299.75</v>
      </c>
      <c r="F5335" s="4">
        <f t="shared" si="305"/>
        <v>68.75</v>
      </c>
      <c r="G5335" s="5">
        <f t="shared" si="306"/>
        <v>0.18656716417910449</v>
      </c>
      <c r="H5335" s="2" t="s">
        <v>5</v>
      </c>
      <c r="I5335" s="6" t="s">
        <v>2300</v>
      </c>
      <c r="J5335" s="2" t="s">
        <v>5</v>
      </c>
      <c r="K5335" s="2" t="s">
        <v>5</v>
      </c>
      <c r="L5335" s="2" t="s">
        <v>5</v>
      </c>
      <c r="M5335" s="2" t="s">
        <v>5</v>
      </c>
      <c r="N5335" s="4">
        <v>0</v>
      </c>
    </row>
    <row r="5336" spans="1:14" x14ac:dyDescent="0.25">
      <c r="A5336" s="2" t="s">
        <v>217</v>
      </c>
      <c r="B5336" s="2" t="s">
        <v>218</v>
      </c>
      <c r="C5336" s="3">
        <v>57.31</v>
      </c>
      <c r="D5336" s="4">
        <v>836.726</v>
      </c>
      <c r="E5336" s="4">
        <v>624.67899999999997</v>
      </c>
      <c r="F5336" s="4">
        <f t="shared" si="305"/>
        <v>212.04700000000003</v>
      </c>
      <c r="G5336" s="5">
        <f t="shared" si="306"/>
        <v>0.25342465753424659</v>
      </c>
      <c r="H5336" s="2" t="s">
        <v>5</v>
      </c>
      <c r="I5336" s="6" t="s">
        <v>2300</v>
      </c>
      <c r="J5336" s="2" t="s">
        <v>5</v>
      </c>
      <c r="K5336" s="2" t="s">
        <v>5</v>
      </c>
      <c r="L5336" s="2" t="s">
        <v>5</v>
      </c>
      <c r="M5336" s="2" t="s">
        <v>5</v>
      </c>
      <c r="N5336" s="4">
        <v>0</v>
      </c>
    </row>
    <row r="5337" spans="1:14" x14ac:dyDescent="0.25">
      <c r="A5337" s="2" t="s">
        <v>217</v>
      </c>
      <c r="B5337" s="2" t="s">
        <v>218</v>
      </c>
      <c r="C5337" s="3">
        <v>26.48</v>
      </c>
      <c r="D5337" s="4">
        <v>357.21519999999998</v>
      </c>
      <c r="E5337" s="4">
        <v>288.63200000000001</v>
      </c>
      <c r="F5337" s="4">
        <f t="shared" si="305"/>
        <v>68.583199999999977</v>
      </c>
      <c r="G5337" s="5">
        <f t="shared" si="306"/>
        <v>0.1919940696812453</v>
      </c>
      <c r="H5337" s="2" t="s">
        <v>5</v>
      </c>
      <c r="I5337" s="6" t="s">
        <v>2300</v>
      </c>
      <c r="J5337" s="2" t="s">
        <v>5</v>
      </c>
      <c r="K5337" s="2" t="s">
        <v>5</v>
      </c>
      <c r="L5337" s="2" t="s">
        <v>5</v>
      </c>
      <c r="M5337" s="2" t="s">
        <v>5</v>
      </c>
      <c r="N5337" s="4">
        <v>0</v>
      </c>
    </row>
    <row r="5338" spans="1:14" x14ac:dyDescent="0.25">
      <c r="A5338" s="2" t="s">
        <v>217</v>
      </c>
      <c r="B5338" s="2" t="s">
        <v>218</v>
      </c>
      <c r="C5338" s="3">
        <v>14.17</v>
      </c>
      <c r="D5338" s="4">
        <v>191.1533</v>
      </c>
      <c r="E5338" s="4">
        <v>154.453</v>
      </c>
      <c r="F5338" s="4">
        <f t="shared" si="305"/>
        <v>36.700299999999999</v>
      </c>
      <c r="G5338" s="5">
        <f t="shared" si="306"/>
        <v>0.19199406968124536</v>
      </c>
      <c r="H5338" s="2" t="s">
        <v>5</v>
      </c>
      <c r="I5338" s="6" t="s">
        <v>2300</v>
      </c>
      <c r="J5338" s="2" t="s">
        <v>5</v>
      </c>
      <c r="K5338" s="2" t="s">
        <v>5</v>
      </c>
      <c r="L5338" s="2" t="s">
        <v>5</v>
      </c>
      <c r="M5338" s="2" t="s">
        <v>5</v>
      </c>
      <c r="N5338" s="4">
        <v>0</v>
      </c>
    </row>
    <row r="5339" spans="1:14" x14ac:dyDescent="0.25">
      <c r="A5339" s="2" t="s">
        <v>217</v>
      </c>
      <c r="B5339" s="2" t="s">
        <v>218</v>
      </c>
      <c r="C5339" s="3">
        <v>80.84</v>
      </c>
      <c r="D5339" s="4">
        <v>1177.8388</v>
      </c>
      <c r="E5339" s="4">
        <v>881.15599999999995</v>
      </c>
      <c r="F5339" s="4">
        <f t="shared" si="305"/>
        <v>296.68280000000004</v>
      </c>
      <c r="G5339" s="5">
        <f t="shared" si="306"/>
        <v>0.25188743994509272</v>
      </c>
      <c r="H5339" s="2" t="s">
        <v>5</v>
      </c>
      <c r="I5339" s="6" t="s">
        <v>2300</v>
      </c>
      <c r="J5339" s="2" t="s">
        <v>5</v>
      </c>
      <c r="K5339" s="2" t="s">
        <v>5</v>
      </c>
      <c r="L5339" s="2" t="s">
        <v>5</v>
      </c>
      <c r="M5339" s="2" t="s">
        <v>5</v>
      </c>
      <c r="N5339" s="4">
        <v>0</v>
      </c>
    </row>
    <row r="5340" spans="1:14" x14ac:dyDescent="0.25">
      <c r="A5340" s="2" t="s">
        <v>217</v>
      </c>
      <c r="B5340" s="2" t="s">
        <v>218</v>
      </c>
      <c r="C5340" s="3">
        <v>12.67</v>
      </c>
      <c r="D5340" s="4">
        <v>171.80520000000001</v>
      </c>
      <c r="E5340" s="4">
        <v>138.10300000000001</v>
      </c>
      <c r="F5340" s="4">
        <f t="shared" si="305"/>
        <v>33.702200000000005</v>
      </c>
      <c r="G5340" s="5">
        <f t="shared" si="306"/>
        <v>0.196165191740413</v>
      </c>
      <c r="H5340" s="2" t="s">
        <v>5</v>
      </c>
      <c r="I5340" s="6" t="s">
        <v>2300</v>
      </c>
      <c r="J5340" s="2" t="s">
        <v>5</v>
      </c>
      <c r="K5340" s="2" t="s">
        <v>5</v>
      </c>
      <c r="L5340" s="2" t="s">
        <v>5</v>
      </c>
      <c r="M5340" s="2" t="s">
        <v>5</v>
      </c>
      <c r="N5340" s="4">
        <v>0</v>
      </c>
    </row>
    <row r="5341" spans="1:14" x14ac:dyDescent="0.25">
      <c r="A5341" s="2" t="s">
        <v>217</v>
      </c>
      <c r="B5341" s="2" t="s">
        <v>218</v>
      </c>
      <c r="C5341" s="3">
        <v>40.69</v>
      </c>
      <c r="D5341" s="4">
        <v>548.90809999999999</v>
      </c>
      <c r="E5341" s="4">
        <v>443.52100000000002</v>
      </c>
      <c r="F5341" s="4">
        <f t="shared" si="305"/>
        <v>105.38709999999998</v>
      </c>
      <c r="G5341" s="5">
        <f t="shared" si="306"/>
        <v>0.19199406968124533</v>
      </c>
      <c r="H5341" s="2" t="s">
        <v>5</v>
      </c>
      <c r="I5341" s="6" t="s">
        <v>2300</v>
      </c>
      <c r="J5341" s="2" t="s">
        <v>5</v>
      </c>
      <c r="K5341" s="2" t="s">
        <v>5</v>
      </c>
      <c r="L5341" s="2" t="s">
        <v>5</v>
      </c>
      <c r="M5341" s="2" t="s">
        <v>5</v>
      </c>
      <c r="N5341" s="4">
        <v>0</v>
      </c>
    </row>
    <row r="5342" spans="1:14" x14ac:dyDescent="0.25">
      <c r="A5342" s="2" t="s">
        <v>1266</v>
      </c>
      <c r="B5342" s="2" t="s">
        <v>1267</v>
      </c>
      <c r="C5342" s="3">
        <v>15.19</v>
      </c>
      <c r="D5342" s="4">
        <v>265.82499999999999</v>
      </c>
      <c r="E5342" s="4">
        <v>188.35599999999999</v>
      </c>
      <c r="F5342" s="4">
        <f t="shared" si="305"/>
        <v>77.468999999999994</v>
      </c>
      <c r="G5342" s="5">
        <f t="shared" si="306"/>
        <v>0.29142857142857143</v>
      </c>
      <c r="H5342" s="2" t="s">
        <v>5</v>
      </c>
      <c r="I5342" s="6" t="s">
        <v>2300</v>
      </c>
      <c r="J5342" s="2" t="s">
        <v>5</v>
      </c>
      <c r="K5342" s="2" t="s">
        <v>5</v>
      </c>
      <c r="L5342" s="2" t="s">
        <v>5</v>
      </c>
      <c r="M5342" s="2" t="s">
        <v>5</v>
      </c>
      <c r="N5342" s="4">
        <v>0</v>
      </c>
    </row>
    <row r="5343" spans="1:14" x14ac:dyDescent="0.25">
      <c r="A5343" s="2" t="s">
        <v>1266</v>
      </c>
      <c r="B5343" s="2" t="s">
        <v>1267</v>
      </c>
      <c r="C5343" s="3">
        <v>5.1479999999999997</v>
      </c>
      <c r="D5343" s="4">
        <v>85.971599999999995</v>
      </c>
      <c r="E5343" s="4">
        <v>63.8352</v>
      </c>
      <c r="F5343" s="4">
        <f t="shared" si="305"/>
        <v>22.136399999999995</v>
      </c>
      <c r="G5343" s="5">
        <f t="shared" si="306"/>
        <v>0.25748502994011974</v>
      </c>
      <c r="H5343" s="2" t="s">
        <v>5</v>
      </c>
      <c r="I5343" s="6" t="s">
        <v>2300</v>
      </c>
      <c r="J5343" s="2" t="s">
        <v>5</v>
      </c>
      <c r="K5343" s="2" t="s">
        <v>5</v>
      </c>
      <c r="L5343" s="2" t="s">
        <v>5</v>
      </c>
      <c r="M5343" s="2" t="s">
        <v>5</v>
      </c>
      <c r="N5343" s="4">
        <v>0</v>
      </c>
    </row>
    <row r="5344" spans="1:14" x14ac:dyDescent="0.25">
      <c r="A5344" s="2" t="s">
        <v>1944</v>
      </c>
      <c r="B5344" s="2" t="s">
        <v>1945</v>
      </c>
      <c r="C5344" s="3">
        <v>56</v>
      </c>
      <c r="D5344" s="4">
        <v>10894.8</v>
      </c>
      <c r="E5344" s="4">
        <v>6720</v>
      </c>
      <c r="F5344" s="4">
        <f t="shared" si="305"/>
        <v>4174.7999999999993</v>
      </c>
      <c r="G5344" s="5">
        <f t="shared" si="306"/>
        <v>0.38319198149575939</v>
      </c>
      <c r="H5344" s="2" t="s">
        <v>5</v>
      </c>
      <c r="I5344" s="6" t="s">
        <v>2300</v>
      </c>
      <c r="J5344" s="2" t="s">
        <v>5</v>
      </c>
      <c r="K5344" s="2" t="s">
        <v>5</v>
      </c>
      <c r="L5344" s="2" t="s">
        <v>5</v>
      </c>
      <c r="M5344" s="2" t="s">
        <v>5</v>
      </c>
      <c r="N5344" s="4">
        <v>0</v>
      </c>
    </row>
    <row r="5345" spans="1:14" x14ac:dyDescent="0.25">
      <c r="A5345" s="2" t="s">
        <v>1502</v>
      </c>
      <c r="B5345" s="2" t="s">
        <v>1503</v>
      </c>
      <c r="C5345" s="3">
        <v>9.56</v>
      </c>
      <c r="D5345" s="4">
        <v>108.1236</v>
      </c>
      <c r="E5345" s="4">
        <v>67.876000000000005</v>
      </c>
      <c r="F5345" s="4">
        <f t="shared" ref="F5345:F5408" si="307">D5345-E5345</f>
        <v>40.247599999999991</v>
      </c>
      <c r="G5345" s="5">
        <f t="shared" ref="G5345:G5408" si="308">IF(((D5345)=0),0,(D5345-E5345)/ D5345)</f>
        <v>0.3722369584438549</v>
      </c>
      <c r="H5345" s="2" t="s">
        <v>5</v>
      </c>
      <c r="I5345" s="6" t="s">
        <v>2300</v>
      </c>
      <c r="J5345" s="2" t="s">
        <v>5</v>
      </c>
      <c r="K5345" s="2" t="s">
        <v>5</v>
      </c>
      <c r="L5345" s="2" t="s">
        <v>5</v>
      </c>
      <c r="M5345" s="2" t="s">
        <v>5</v>
      </c>
      <c r="N5345" s="4">
        <v>0</v>
      </c>
    </row>
    <row r="5346" spans="1:14" x14ac:dyDescent="0.25">
      <c r="A5346" s="2" t="s">
        <v>713</v>
      </c>
      <c r="B5346" s="2" t="s">
        <v>714</v>
      </c>
      <c r="C5346" s="3">
        <v>60</v>
      </c>
      <c r="D5346" s="4">
        <v>727.8</v>
      </c>
      <c r="E5346" s="4">
        <v>525</v>
      </c>
      <c r="F5346" s="4">
        <f t="shared" si="307"/>
        <v>202.79999999999995</v>
      </c>
      <c r="G5346" s="5">
        <f t="shared" si="308"/>
        <v>0.27864798021434456</v>
      </c>
      <c r="H5346" s="2" t="s">
        <v>5</v>
      </c>
      <c r="I5346" s="6" t="s">
        <v>2300</v>
      </c>
      <c r="J5346" s="2" t="s">
        <v>5</v>
      </c>
      <c r="K5346" s="2" t="s">
        <v>5</v>
      </c>
      <c r="L5346" s="2" t="s">
        <v>5</v>
      </c>
      <c r="M5346" s="2" t="s">
        <v>5</v>
      </c>
      <c r="N5346" s="4">
        <v>0</v>
      </c>
    </row>
    <row r="5347" spans="1:14" x14ac:dyDescent="0.25">
      <c r="A5347" s="2" t="s">
        <v>713</v>
      </c>
      <c r="B5347" s="2" t="s">
        <v>714</v>
      </c>
      <c r="C5347" s="3">
        <v>50</v>
      </c>
      <c r="D5347" s="4">
        <v>510</v>
      </c>
      <c r="E5347" s="4">
        <v>437.5</v>
      </c>
      <c r="F5347" s="4">
        <f t="shared" si="307"/>
        <v>72.5</v>
      </c>
      <c r="G5347" s="5">
        <f t="shared" si="308"/>
        <v>0.14215686274509803</v>
      </c>
      <c r="H5347" s="2" t="s">
        <v>5</v>
      </c>
      <c r="I5347" s="6" t="s">
        <v>2300</v>
      </c>
      <c r="J5347" s="2" t="s">
        <v>5</v>
      </c>
      <c r="K5347" s="2" t="s">
        <v>5</v>
      </c>
      <c r="L5347" s="2" t="s">
        <v>5</v>
      </c>
      <c r="M5347" s="2" t="s">
        <v>5</v>
      </c>
      <c r="N5347" s="4">
        <v>0</v>
      </c>
    </row>
    <row r="5348" spans="1:14" x14ac:dyDescent="0.25">
      <c r="A5348" s="2" t="s">
        <v>713</v>
      </c>
      <c r="B5348" s="2" t="s">
        <v>714</v>
      </c>
      <c r="C5348" s="3">
        <v>2.0329999999999999</v>
      </c>
      <c r="D5348" s="4">
        <v>28.462</v>
      </c>
      <c r="E5348" s="4">
        <v>17.78875</v>
      </c>
      <c r="F5348" s="4">
        <f t="shared" si="307"/>
        <v>10.673249999999999</v>
      </c>
      <c r="G5348" s="5">
        <f t="shared" si="308"/>
        <v>0.375</v>
      </c>
      <c r="H5348" s="2" t="s">
        <v>5</v>
      </c>
      <c r="I5348" s="6" t="s">
        <v>2300</v>
      </c>
      <c r="J5348" s="2" t="s">
        <v>5</v>
      </c>
      <c r="K5348" s="2" t="s">
        <v>5</v>
      </c>
      <c r="L5348" s="2" t="s">
        <v>5</v>
      </c>
      <c r="M5348" s="2" t="s">
        <v>5</v>
      </c>
      <c r="N5348" s="4">
        <v>0</v>
      </c>
    </row>
    <row r="5349" spans="1:14" x14ac:dyDescent="0.25">
      <c r="A5349" s="2" t="s">
        <v>713</v>
      </c>
      <c r="B5349" s="2" t="s">
        <v>714</v>
      </c>
      <c r="C5349" s="3">
        <v>2.448</v>
      </c>
      <c r="D5349" s="4">
        <v>34.271999999999998</v>
      </c>
      <c r="E5349" s="4">
        <v>21.42</v>
      </c>
      <c r="F5349" s="4">
        <f t="shared" si="307"/>
        <v>12.851999999999997</v>
      </c>
      <c r="G5349" s="5">
        <f t="shared" si="308"/>
        <v>0.37499999999999994</v>
      </c>
      <c r="H5349" s="2" t="s">
        <v>5</v>
      </c>
      <c r="I5349" s="6" t="s">
        <v>2300</v>
      </c>
      <c r="J5349" s="2" t="s">
        <v>5</v>
      </c>
      <c r="K5349" s="2" t="s">
        <v>5</v>
      </c>
      <c r="L5349" s="2" t="s">
        <v>5</v>
      </c>
      <c r="M5349" s="2" t="s">
        <v>5</v>
      </c>
      <c r="N5349" s="4">
        <v>0</v>
      </c>
    </row>
    <row r="5350" spans="1:14" x14ac:dyDescent="0.25">
      <c r="A5350" s="2" t="s">
        <v>713</v>
      </c>
      <c r="B5350" s="2" t="s">
        <v>714</v>
      </c>
      <c r="C5350" s="3">
        <v>2.4380000000000002</v>
      </c>
      <c r="D5350" s="4">
        <v>34.131999999999998</v>
      </c>
      <c r="E5350" s="4">
        <v>21.3325</v>
      </c>
      <c r="F5350" s="4">
        <f t="shared" si="307"/>
        <v>12.799499999999998</v>
      </c>
      <c r="G5350" s="5">
        <f t="shared" si="308"/>
        <v>0.375</v>
      </c>
      <c r="H5350" s="2" t="s">
        <v>5</v>
      </c>
      <c r="I5350" s="6" t="s">
        <v>2300</v>
      </c>
      <c r="J5350" s="2" t="s">
        <v>5</v>
      </c>
      <c r="K5350" s="2" t="s">
        <v>5</v>
      </c>
      <c r="L5350" s="2" t="s">
        <v>5</v>
      </c>
      <c r="M5350" s="2" t="s">
        <v>5</v>
      </c>
      <c r="N5350" s="4">
        <v>0</v>
      </c>
    </row>
    <row r="5351" spans="1:14" x14ac:dyDescent="0.25">
      <c r="A5351" s="2" t="s">
        <v>713</v>
      </c>
      <c r="B5351" s="2" t="s">
        <v>714</v>
      </c>
      <c r="C5351" s="3">
        <v>29.9</v>
      </c>
      <c r="D5351" s="4">
        <v>313.053</v>
      </c>
      <c r="E5351" s="4">
        <v>261.625</v>
      </c>
      <c r="F5351" s="4">
        <f t="shared" si="307"/>
        <v>51.427999999999997</v>
      </c>
      <c r="G5351" s="5">
        <f t="shared" si="308"/>
        <v>0.16427889207258833</v>
      </c>
      <c r="H5351" s="2" t="s">
        <v>5</v>
      </c>
      <c r="I5351" s="6" t="s">
        <v>2300</v>
      </c>
      <c r="J5351" s="2" t="s">
        <v>5</v>
      </c>
      <c r="K5351" s="2" t="s">
        <v>5</v>
      </c>
      <c r="L5351" s="2" t="s">
        <v>5</v>
      </c>
      <c r="M5351" s="2" t="s">
        <v>5</v>
      </c>
      <c r="N5351" s="4">
        <v>0</v>
      </c>
    </row>
    <row r="5352" spans="1:14" x14ac:dyDescent="0.25">
      <c r="A5352" s="2" t="s">
        <v>713</v>
      </c>
      <c r="B5352" s="2" t="s">
        <v>714</v>
      </c>
      <c r="C5352" s="3">
        <v>29.9</v>
      </c>
      <c r="D5352" s="4">
        <v>414.71300000000002</v>
      </c>
      <c r="E5352" s="4">
        <v>261.625</v>
      </c>
      <c r="F5352" s="4">
        <f t="shared" si="307"/>
        <v>153.08800000000002</v>
      </c>
      <c r="G5352" s="5">
        <f t="shared" si="308"/>
        <v>0.36914203316510458</v>
      </c>
      <c r="H5352" s="2" t="s">
        <v>5</v>
      </c>
      <c r="I5352" s="6" t="s">
        <v>2300</v>
      </c>
      <c r="J5352" s="2" t="s">
        <v>5</v>
      </c>
      <c r="K5352" s="2" t="s">
        <v>5</v>
      </c>
      <c r="L5352" s="2" t="s">
        <v>5</v>
      </c>
      <c r="M5352" s="2" t="s">
        <v>5</v>
      </c>
      <c r="N5352" s="4">
        <v>0</v>
      </c>
    </row>
    <row r="5353" spans="1:14" x14ac:dyDescent="0.25">
      <c r="A5353" s="2" t="s">
        <v>713</v>
      </c>
      <c r="B5353" s="2" t="s">
        <v>714</v>
      </c>
      <c r="C5353" s="3">
        <v>19.899999999999999</v>
      </c>
      <c r="D5353" s="4">
        <v>208.35300000000001</v>
      </c>
      <c r="E5353" s="4">
        <v>174.125</v>
      </c>
      <c r="F5353" s="4">
        <f t="shared" si="307"/>
        <v>34.228000000000009</v>
      </c>
      <c r="G5353" s="5">
        <f t="shared" si="308"/>
        <v>0.16427889207258839</v>
      </c>
      <c r="H5353" s="2" t="s">
        <v>5</v>
      </c>
      <c r="I5353" s="6" t="s">
        <v>2300</v>
      </c>
      <c r="J5353" s="2" t="s">
        <v>5</v>
      </c>
      <c r="K5353" s="2" t="s">
        <v>5</v>
      </c>
      <c r="L5353" s="2" t="s">
        <v>5</v>
      </c>
      <c r="M5353" s="2" t="s">
        <v>5</v>
      </c>
      <c r="N5353" s="4">
        <v>0</v>
      </c>
    </row>
    <row r="5354" spans="1:14" x14ac:dyDescent="0.25">
      <c r="A5354" s="2" t="s">
        <v>316</v>
      </c>
      <c r="B5354" s="2" t="s">
        <v>317</v>
      </c>
      <c r="C5354" s="3">
        <v>8.8000000000000007</v>
      </c>
      <c r="D5354" s="4">
        <v>200.376</v>
      </c>
      <c r="E5354" s="4">
        <v>132.88</v>
      </c>
      <c r="F5354" s="4">
        <f t="shared" si="307"/>
        <v>67.496000000000009</v>
      </c>
      <c r="G5354" s="5">
        <f t="shared" si="308"/>
        <v>0.33684672815107602</v>
      </c>
      <c r="H5354" s="2" t="s">
        <v>5</v>
      </c>
      <c r="I5354" s="6" t="s">
        <v>2300</v>
      </c>
      <c r="J5354" s="2" t="s">
        <v>5</v>
      </c>
      <c r="K5354" s="2" t="s">
        <v>5</v>
      </c>
      <c r="L5354" s="2" t="s">
        <v>5</v>
      </c>
      <c r="M5354" s="2" t="s">
        <v>5</v>
      </c>
      <c r="N5354" s="4">
        <v>0</v>
      </c>
    </row>
    <row r="5355" spans="1:14" x14ac:dyDescent="0.25">
      <c r="A5355" s="2" t="s">
        <v>316</v>
      </c>
      <c r="B5355" s="2" t="s">
        <v>317</v>
      </c>
      <c r="C5355" s="3">
        <v>3.782</v>
      </c>
      <c r="D5355" s="4">
        <v>84.073859999999996</v>
      </c>
      <c r="E5355" s="4">
        <v>57.108199999999997</v>
      </c>
      <c r="F5355" s="4">
        <f t="shared" si="307"/>
        <v>26.96566</v>
      </c>
      <c r="G5355" s="5">
        <f t="shared" si="308"/>
        <v>0.3207377417903734</v>
      </c>
      <c r="H5355" s="2" t="s">
        <v>5</v>
      </c>
      <c r="I5355" s="6" t="s">
        <v>2300</v>
      </c>
      <c r="J5355" s="2" t="s">
        <v>5</v>
      </c>
      <c r="K5355" s="2" t="s">
        <v>5</v>
      </c>
      <c r="L5355" s="2" t="s">
        <v>5</v>
      </c>
      <c r="M5355" s="2" t="s">
        <v>5</v>
      </c>
      <c r="N5355" s="4">
        <v>0</v>
      </c>
    </row>
    <row r="5356" spans="1:14" x14ac:dyDescent="0.25">
      <c r="A5356" s="2" t="s">
        <v>316</v>
      </c>
      <c r="B5356" s="2" t="s">
        <v>317</v>
      </c>
      <c r="C5356" s="3">
        <v>1.8819999999999999</v>
      </c>
      <c r="D5356" s="4">
        <v>41.836860000000001</v>
      </c>
      <c r="E5356" s="4">
        <v>28.418199999999999</v>
      </c>
      <c r="F5356" s="4">
        <f t="shared" si="307"/>
        <v>13.418660000000003</v>
      </c>
      <c r="G5356" s="5">
        <f t="shared" si="308"/>
        <v>0.3207377417903734</v>
      </c>
      <c r="H5356" s="2" t="s">
        <v>5</v>
      </c>
      <c r="I5356" s="6" t="s">
        <v>2300</v>
      </c>
      <c r="J5356" s="2" t="s">
        <v>5</v>
      </c>
      <c r="K5356" s="2" t="s">
        <v>5</v>
      </c>
      <c r="L5356" s="2" t="s">
        <v>5</v>
      </c>
      <c r="M5356" s="2" t="s">
        <v>5</v>
      </c>
      <c r="N5356" s="4">
        <v>0</v>
      </c>
    </row>
    <row r="5357" spans="1:14" x14ac:dyDescent="0.25">
      <c r="A5357" s="2" t="s">
        <v>316</v>
      </c>
      <c r="B5357" s="2" t="s">
        <v>317</v>
      </c>
      <c r="C5357" s="3">
        <v>7.07</v>
      </c>
      <c r="D5357" s="4">
        <v>157.1661</v>
      </c>
      <c r="E5357" s="4">
        <v>106.75700000000001</v>
      </c>
      <c r="F5357" s="4">
        <f t="shared" si="307"/>
        <v>50.409099999999995</v>
      </c>
      <c r="G5357" s="5">
        <f t="shared" si="308"/>
        <v>0.32073774179037334</v>
      </c>
      <c r="H5357" s="2" t="s">
        <v>5</v>
      </c>
      <c r="I5357" s="6" t="s">
        <v>2300</v>
      </c>
      <c r="J5357" s="2" t="s">
        <v>5</v>
      </c>
      <c r="K5357" s="2" t="s">
        <v>5</v>
      </c>
      <c r="L5357" s="2" t="s">
        <v>5</v>
      </c>
      <c r="M5357" s="2" t="s">
        <v>5</v>
      </c>
      <c r="N5357" s="4">
        <v>0</v>
      </c>
    </row>
    <row r="5358" spans="1:14" x14ac:dyDescent="0.25">
      <c r="A5358" s="2" t="s">
        <v>624</v>
      </c>
      <c r="B5358" s="2" t="s">
        <v>625</v>
      </c>
      <c r="C5358" s="3">
        <v>40.765000000000001</v>
      </c>
      <c r="D5358" s="4">
        <v>488.77235000000002</v>
      </c>
      <c r="E5358" s="4">
        <v>305.73750000000001</v>
      </c>
      <c r="F5358" s="4">
        <f t="shared" si="307"/>
        <v>183.03485000000001</v>
      </c>
      <c r="G5358" s="5">
        <f t="shared" si="308"/>
        <v>0.37447873227689743</v>
      </c>
      <c r="H5358" s="2" t="s">
        <v>5</v>
      </c>
      <c r="I5358" s="6" t="s">
        <v>2300</v>
      </c>
      <c r="J5358" s="2" t="s">
        <v>5</v>
      </c>
      <c r="K5358" s="2" t="s">
        <v>5</v>
      </c>
      <c r="L5358" s="2" t="s">
        <v>5</v>
      </c>
      <c r="M5358" s="2" t="s">
        <v>5</v>
      </c>
      <c r="N5358" s="4">
        <v>0</v>
      </c>
    </row>
    <row r="5359" spans="1:14" x14ac:dyDescent="0.25">
      <c r="A5359" s="2" t="s">
        <v>624</v>
      </c>
      <c r="B5359" s="2" t="s">
        <v>625</v>
      </c>
      <c r="C5359" s="3">
        <v>8.06</v>
      </c>
      <c r="D5359" s="4">
        <v>113.24299999999999</v>
      </c>
      <c r="E5359" s="4">
        <v>60.45</v>
      </c>
      <c r="F5359" s="4">
        <f t="shared" si="307"/>
        <v>52.792999999999992</v>
      </c>
      <c r="G5359" s="5">
        <f t="shared" si="308"/>
        <v>0.46619217081850528</v>
      </c>
      <c r="H5359" s="2" t="s">
        <v>5</v>
      </c>
      <c r="I5359" s="6" t="s">
        <v>2300</v>
      </c>
      <c r="J5359" s="2" t="s">
        <v>5</v>
      </c>
      <c r="K5359" s="2" t="s">
        <v>5</v>
      </c>
      <c r="L5359" s="2" t="s">
        <v>5</v>
      </c>
      <c r="M5359" s="2" t="s">
        <v>5</v>
      </c>
      <c r="N5359" s="4">
        <v>0</v>
      </c>
    </row>
    <row r="5360" spans="1:14" x14ac:dyDescent="0.25">
      <c r="A5360" s="2" t="s">
        <v>624</v>
      </c>
      <c r="B5360" s="2" t="s">
        <v>625</v>
      </c>
      <c r="C5360" s="3">
        <v>15.41</v>
      </c>
      <c r="D5360" s="4">
        <v>175.82810000000001</v>
      </c>
      <c r="E5360" s="4">
        <v>115.575</v>
      </c>
      <c r="F5360" s="4">
        <f t="shared" si="307"/>
        <v>60.253100000000003</v>
      </c>
      <c r="G5360" s="5">
        <f t="shared" si="308"/>
        <v>0.34268185801928136</v>
      </c>
      <c r="H5360" s="2" t="s">
        <v>5</v>
      </c>
      <c r="I5360" s="6" t="s">
        <v>2300</v>
      </c>
      <c r="J5360" s="2" t="s">
        <v>5</v>
      </c>
      <c r="K5360" s="2" t="s">
        <v>5</v>
      </c>
      <c r="L5360" s="2" t="s">
        <v>5</v>
      </c>
      <c r="M5360" s="2" t="s">
        <v>5</v>
      </c>
      <c r="N5360" s="4">
        <v>0</v>
      </c>
    </row>
    <row r="5361" spans="1:14" x14ac:dyDescent="0.25">
      <c r="A5361" s="2" t="s">
        <v>624</v>
      </c>
      <c r="B5361" s="2" t="s">
        <v>625</v>
      </c>
      <c r="C5361" s="3">
        <v>15.08</v>
      </c>
      <c r="D5361" s="4">
        <v>180.8092</v>
      </c>
      <c r="E5361" s="4">
        <v>113.1</v>
      </c>
      <c r="F5361" s="4">
        <f t="shared" si="307"/>
        <v>67.70920000000001</v>
      </c>
      <c r="G5361" s="5">
        <f t="shared" si="308"/>
        <v>0.37447873227689749</v>
      </c>
      <c r="H5361" s="2" t="s">
        <v>5</v>
      </c>
      <c r="I5361" s="6" t="s">
        <v>2300</v>
      </c>
      <c r="J5361" s="2" t="s">
        <v>5</v>
      </c>
      <c r="K5361" s="2" t="s">
        <v>5</v>
      </c>
      <c r="L5361" s="2" t="s">
        <v>5</v>
      </c>
      <c r="M5361" s="2" t="s">
        <v>5</v>
      </c>
      <c r="N5361" s="4">
        <v>0</v>
      </c>
    </row>
    <row r="5362" spans="1:14" x14ac:dyDescent="0.25">
      <c r="A5362" s="2" t="s">
        <v>624</v>
      </c>
      <c r="B5362" s="2" t="s">
        <v>625</v>
      </c>
      <c r="C5362" s="3">
        <v>15.59</v>
      </c>
      <c r="D5362" s="4">
        <v>197.21350000000001</v>
      </c>
      <c r="E5362" s="4">
        <v>116.925</v>
      </c>
      <c r="F5362" s="4">
        <f t="shared" si="307"/>
        <v>80.288500000000013</v>
      </c>
      <c r="G5362" s="5">
        <f t="shared" si="308"/>
        <v>0.40711462450592889</v>
      </c>
      <c r="H5362" s="2" t="s">
        <v>5</v>
      </c>
      <c r="I5362" s="6" t="s">
        <v>2300</v>
      </c>
      <c r="J5362" s="2" t="s">
        <v>5</v>
      </c>
      <c r="K5362" s="2" t="s">
        <v>5</v>
      </c>
      <c r="L5362" s="2" t="s">
        <v>5</v>
      </c>
      <c r="M5362" s="2" t="s">
        <v>5</v>
      </c>
      <c r="N5362" s="4">
        <v>0</v>
      </c>
    </row>
    <row r="5363" spans="1:14" x14ac:dyDescent="0.25">
      <c r="A5363" s="2" t="s">
        <v>624</v>
      </c>
      <c r="B5363" s="2" t="s">
        <v>625</v>
      </c>
      <c r="C5363" s="3">
        <v>15.23</v>
      </c>
      <c r="D5363" s="4">
        <v>182.60769999999999</v>
      </c>
      <c r="E5363" s="4">
        <v>114.22499999999999</v>
      </c>
      <c r="F5363" s="4">
        <f t="shared" si="307"/>
        <v>68.3827</v>
      </c>
      <c r="G5363" s="5">
        <f t="shared" si="308"/>
        <v>0.37447873227689743</v>
      </c>
      <c r="H5363" s="2" t="s">
        <v>5</v>
      </c>
      <c r="I5363" s="6" t="s">
        <v>2300</v>
      </c>
      <c r="J5363" s="2" t="s">
        <v>5</v>
      </c>
      <c r="K5363" s="2" t="s">
        <v>5</v>
      </c>
      <c r="L5363" s="2" t="s">
        <v>5</v>
      </c>
      <c r="M5363" s="2" t="s">
        <v>5</v>
      </c>
      <c r="N5363" s="4">
        <v>0</v>
      </c>
    </row>
    <row r="5364" spans="1:14" x14ac:dyDescent="0.25">
      <c r="A5364" s="2" t="s">
        <v>624</v>
      </c>
      <c r="B5364" s="2" t="s">
        <v>625</v>
      </c>
      <c r="C5364" s="3">
        <v>57.92</v>
      </c>
      <c r="D5364" s="4">
        <v>694.46079999999995</v>
      </c>
      <c r="E5364" s="4">
        <v>434.4</v>
      </c>
      <c r="F5364" s="4">
        <f t="shared" si="307"/>
        <v>260.06079999999997</v>
      </c>
      <c r="G5364" s="5">
        <f t="shared" si="308"/>
        <v>0.37447873227689737</v>
      </c>
      <c r="H5364" s="2" t="s">
        <v>5</v>
      </c>
      <c r="I5364" s="6" t="s">
        <v>2300</v>
      </c>
      <c r="J5364" s="2" t="s">
        <v>5</v>
      </c>
      <c r="K5364" s="2" t="s">
        <v>5</v>
      </c>
      <c r="L5364" s="2" t="s">
        <v>5</v>
      </c>
      <c r="M5364" s="2" t="s">
        <v>5</v>
      </c>
      <c r="N5364" s="4">
        <v>0</v>
      </c>
    </row>
    <row r="5365" spans="1:14" x14ac:dyDescent="0.25">
      <c r="A5365" s="2" t="s">
        <v>624</v>
      </c>
      <c r="B5365" s="2" t="s">
        <v>625</v>
      </c>
      <c r="C5365" s="3">
        <v>59.56</v>
      </c>
      <c r="D5365" s="4">
        <v>714.12440000000004</v>
      </c>
      <c r="E5365" s="4">
        <v>446.7</v>
      </c>
      <c r="F5365" s="4">
        <f t="shared" si="307"/>
        <v>267.42440000000005</v>
      </c>
      <c r="G5365" s="5">
        <f t="shared" si="308"/>
        <v>0.37447873227689749</v>
      </c>
      <c r="H5365" s="2" t="s">
        <v>5</v>
      </c>
      <c r="I5365" s="6" t="s">
        <v>2300</v>
      </c>
      <c r="J5365" s="2" t="s">
        <v>5</v>
      </c>
      <c r="K5365" s="2" t="s">
        <v>5</v>
      </c>
      <c r="L5365" s="2" t="s">
        <v>5</v>
      </c>
      <c r="M5365" s="2" t="s">
        <v>5</v>
      </c>
      <c r="N5365" s="4">
        <v>0</v>
      </c>
    </row>
    <row r="5366" spans="1:14" x14ac:dyDescent="0.25">
      <c r="A5366" s="2" t="s">
        <v>624</v>
      </c>
      <c r="B5366" s="2" t="s">
        <v>625</v>
      </c>
      <c r="C5366" s="3">
        <v>30.065000000000001</v>
      </c>
      <c r="D5366" s="4">
        <v>419.70740000000001</v>
      </c>
      <c r="E5366" s="4">
        <v>225.48750000000001</v>
      </c>
      <c r="F5366" s="4">
        <f t="shared" si="307"/>
        <v>194.2199</v>
      </c>
      <c r="G5366" s="5">
        <f t="shared" si="308"/>
        <v>0.46275071633237819</v>
      </c>
      <c r="H5366" s="2" t="s">
        <v>5</v>
      </c>
      <c r="I5366" s="6" t="s">
        <v>2300</v>
      </c>
      <c r="J5366" s="2" t="s">
        <v>5</v>
      </c>
      <c r="K5366" s="2" t="s">
        <v>5</v>
      </c>
      <c r="L5366" s="2" t="s">
        <v>5</v>
      </c>
      <c r="M5366" s="2" t="s">
        <v>5</v>
      </c>
      <c r="N5366" s="4">
        <v>0</v>
      </c>
    </row>
    <row r="5367" spans="1:14" x14ac:dyDescent="0.25">
      <c r="A5367" s="2" t="s">
        <v>624</v>
      </c>
      <c r="B5367" s="2" t="s">
        <v>625</v>
      </c>
      <c r="C5367" s="3">
        <v>15.39</v>
      </c>
      <c r="D5367" s="4">
        <v>164.82689999999999</v>
      </c>
      <c r="E5367" s="4">
        <v>115.425</v>
      </c>
      <c r="F5367" s="4">
        <f t="shared" si="307"/>
        <v>49.401899999999998</v>
      </c>
      <c r="G5367" s="5">
        <f t="shared" si="308"/>
        <v>0.29971988795518206</v>
      </c>
      <c r="H5367" s="2" t="s">
        <v>5</v>
      </c>
      <c r="I5367" s="6" t="s">
        <v>2300</v>
      </c>
      <c r="J5367" s="2" t="s">
        <v>5</v>
      </c>
      <c r="K5367" s="2" t="s">
        <v>5</v>
      </c>
      <c r="L5367" s="2" t="s">
        <v>5</v>
      </c>
      <c r="M5367" s="2" t="s">
        <v>5</v>
      </c>
      <c r="N5367" s="4">
        <v>0</v>
      </c>
    </row>
    <row r="5368" spans="1:14" x14ac:dyDescent="0.25">
      <c r="A5368" s="2" t="s">
        <v>624</v>
      </c>
      <c r="B5368" s="2" t="s">
        <v>625</v>
      </c>
      <c r="C5368" s="3">
        <v>15.13</v>
      </c>
      <c r="D5368" s="4">
        <v>170.3638</v>
      </c>
      <c r="E5368" s="4">
        <v>113.47499999999999</v>
      </c>
      <c r="F5368" s="4">
        <f t="shared" si="307"/>
        <v>56.888800000000003</v>
      </c>
      <c r="G5368" s="5">
        <f t="shared" si="308"/>
        <v>0.33392539964476026</v>
      </c>
      <c r="H5368" s="2" t="s">
        <v>5</v>
      </c>
      <c r="I5368" s="6" t="s">
        <v>2300</v>
      </c>
      <c r="J5368" s="2" t="s">
        <v>5</v>
      </c>
      <c r="K5368" s="2" t="s">
        <v>5</v>
      </c>
      <c r="L5368" s="2" t="s">
        <v>5</v>
      </c>
      <c r="M5368" s="2" t="s">
        <v>5</v>
      </c>
      <c r="N5368" s="4">
        <v>0</v>
      </c>
    </row>
    <row r="5369" spans="1:14" x14ac:dyDescent="0.25">
      <c r="A5369" s="2" t="s">
        <v>624</v>
      </c>
      <c r="B5369" s="2" t="s">
        <v>625</v>
      </c>
      <c r="C5369" s="3">
        <v>15.05</v>
      </c>
      <c r="D5369" s="4">
        <v>180.4495</v>
      </c>
      <c r="E5369" s="4">
        <v>112.875</v>
      </c>
      <c r="F5369" s="4">
        <f t="shared" si="307"/>
        <v>67.5745</v>
      </c>
      <c r="G5369" s="5">
        <f t="shared" si="308"/>
        <v>0.37447873227689743</v>
      </c>
      <c r="H5369" s="2" t="s">
        <v>5</v>
      </c>
      <c r="I5369" s="6" t="s">
        <v>2300</v>
      </c>
      <c r="J5369" s="2" t="s">
        <v>5</v>
      </c>
      <c r="K5369" s="2" t="s">
        <v>5</v>
      </c>
      <c r="L5369" s="2" t="s">
        <v>5</v>
      </c>
      <c r="M5369" s="2" t="s">
        <v>5</v>
      </c>
      <c r="N5369" s="4">
        <v>0</v>
      </c>
    </row>
    <row r="5370" spans="1:14" x14ac:dyDescent="0.25">
      <c r="A5370" s="2" t="s">
        <v>624</v>
      </c>
      <c r="B5370" s="2" t="s">
        <v>625</v>
      </c>
      <c r="C5370" s="3">
        <v>30.84</v>
      </c>
      <c r="D5370" s="4">
        <v>347.25839999999999</v>
      </c>
      <c r="E5370" s="4">
        <v>231.3</v>
      </c>
      <c r="F5370" s="4">
        <f t="shared" si="307"/>
        <v>115.95839999999998</v>
      </c>
      <c r="G5370" s="5">
        <f t="shared" si="308"/>
        <v>0.33392539964476015</v>
      </c>
      <c r="H5370" s="2" t="s">
        <v>5</v>
      </c>
      <c r="I5370" s="6" t="s">
        <v>2300</v>
      </c>
      <c r="J5370" s="2" t="s">
        <v>5</v>
      </c>
      <c r="K5370" s="2" t="s">
        <v>5</v>
      </c>
      <c r="L5370" s="2" t="s">
        <v>5</v>
      </c>
      <c r="M5370" s="2" t="s">
        <v>5</v>
      </c>
      <c r="N5370" s="4">
        <v>0</v>
      </c>
    </row>
    <row r="5371" spans="1:14" x14ac:dyDescent="0.25">
      <c r="A5371" s="2" t="s">
        <v>624</v>
      </c>
      <c r="B5371" s="2" t="s">
        <v>625</v>
      </c>
      <c r="C5371" s="3">
        <v>66.185000000000002</v>
      </c>
      <c r="D5371" s="4">
        <v>793.55814999999996</v>
      </c>
      <c r="E5371" s="4">
        <v>496.38749999999999</v>
      </c>
      <c r="F5371" s="4">
        <f t="shared" si="307"/>
        <v>297.17064999999997</v>
      </c>
      <c r="G5371" s="5">
        <f t="shared" si="308"/>
        <v>0.37447873227689737</v>
      </c>
      <c r="H5371" s="2" t="s">
        <v>5</v>
      </c>
      <c r="I5371" s="6" t="s">
        <v>2300</v>
      </c>
      <c r="J5371" s="2" t="s">
        <v>5</v>
      </c>
      <c r="K5371" s="2" t="s">
        <v>5</v>
      </c>
      <c r="L5371" s="2" t="s">
        <v>5</v>
      </c>
      <c r="M5371" s="2" t="s">
        <v>5</v>
      </c>
      <c r="N5371" s="4">
        <v>0</v>
      </c>
    </row>
    <row r="5372" spans="1:14" x14ac:dyDescent="0.25">
      <c r="A5372" s="2" t="s">
        <v>624</v>
      </c>
      <c r="B5372" s="2" t="s">
        <v>625</v>
      </c>
      <c r="C5372" s="3">
        <v>76.3</v>
      </c>
      <c r="D5372" s="4">
        <v>914.83699999999999</v>
      </c>
      <c r="E5372" s="4">
        <v>572.25</v>
      </c>
      <c r="F5372" s="4">
        <f t="shared" si="307"/>
        <v>342.58699999999999</v>
      </c>
      <c r="G5372" s="5">
        <f t="shared" si="308"/>
        <v>0.37447873227689743</v>
      </c>
      <c r="H5372" s="2" t="s">
        <v>5</v>
      </c>
      <c r="I5372" s="6" t="s">
        <v>2300</v>
      </c>
      <c r="J5372" s="2" t="s">
        <v>5</v>
      </c>
      <c r="K5372" s="2" t="s">
        <v>5</v>
      </c>
      <c r="L5372" s="2" t="s">
        <v>5</v>
      </c>
      <c r="M5372" s="2" t="s">
        <v>5</v>
      </c>
      <c r="N5372" s="4">
        <v>0</v>
      </c>
    </row>
    <row r="5373" spans="1:14" x14ac:dyDescent="0.25">
      <c r="A5373" s="2" t="s">
        <v>219</v>
      </c>
      <c r="B5373" s="2" t="s">
        <v>220</v>
      </c>
      <c r="C5373" s="3">
        <v>9.8699999999999992</v>
      </c>
      <c r="D5373" s="4">
        <v>151.60319999999999</v>
      </c>
      <c r="E5373" s="4">
        <v>93.765000000000001</v>
      </c>
      <c r="F5373" s="4">
        <f t="shared" si="307"/>
        <v>57.838199999999986</v>
      </c>
      <c r="G5373" s="5">
        <f t="shared" si="308"/>
        <v>0.38151041666666663</v>
      </c>
      <c r="H5373" s="2" t="s">
        <v>5</v>
      </c>
      <c r="I5373" s="6" t="s">
        <v>2300</v>
      </c>
      <c r="J5373" s="2" t="s">
        <v>5</v>
      </c>
      <c r="K5373" s="2" t="s">
        <v>5</v>
      </c>
      <c r="L5373" s="2" t="s">
        <v>5</v>
      </c>
      <c r="M5373" s="2" t="s">
        <v>5</v>
      </c>
      <c r="N5373" s="4">
        <v>0</v>
      </c>
    </row>
    <row r="5374" spans="1:14" x14ac:dyDescent="0.25">
      <c r="A5374" s="2" t="s">
        <v>219</v>
      </c>
      <c r="B5374" s="2" t="s">
        <v>220</v>
      </c>
      <c r="C5374" s="3">
        <v>21.75</v>
      </c>
      <c r="D5374" s="4">
        <v>301.89</v>
      </c>
      <c r="E5374" s="4">
        <v>206.625</v>
      </c>
      <c r="F5374" s="4">
        <f t="shared" si="307"/>
        <v>95.264999999999986</v>
      </c>
      <c r="G5374" s="5">
        <f t="shared" si="308"/>
        <v>0.31556195965417866</v>
      </c>
      <c r="H5374" s="2" t="s">
        <v>5</v>
      </c>
      <c r="I5374" s="6" t="s">
        <v>2300</v>
      </c>
      <c r="J5374" s="2" t="s">
        <v>5</v>
      </c>
      <c r="K5374" s="2" t="s">
        <v>5</v>
      </c>
      <c r="L5374" s="2" t="s">
        <v>5</v>
      </c>
      <c r="M5374" s="2" t="s">
        <v>5</v>
      </c>
      <c r="N5374" s="4">
        <v>0</v>
      </c>
    </row>
    <row r="5375" spans="1:14" x14ac:dyDescent="0.25">
      <c r="A5375" s="2" t="s">
        <v>219</v>
      </c>
      <c r="B5375" s="2" t="s">
        <v>220</v>
      </c>
      <c r="C5375" s="3">
        <v>5.0599999999999996</v>
      </c>
      <c r="D5375" s="4">
        <v>77.721599999999995</v>
      </c>
      <c r="E5375" s="4">
        <v>48.07</v>
      </c>
      <c r="F5375" s="4">
        <f t="shared" si="307"/>
        <v>29.651599999999995</v>
      </c>
      <c r="G5375" s="5">
        <f t="shared" si="308"/>
        <v>0.38151041666666663</v>
      </c>
      <c r="H5375" s="2" t="s">
        <v>5</v>
      </c>
      <c r="I5375" s="6" t="s">
        <v>2300</v>
      </c>
      <c r="J5375" s="2" t="s">
        <v>5</v>
      </c>
      <c r="K5375" s="2" t="s">
        <v>5</v>
      </c>
      <c r="L5375" s="2" t="s">
        <v>5</v>
      </c>
      <c r="M5375" s="2" t="s">
        <v>5</v>
      </c>
      <c r="N5375" s="4">
        <v>0</v>
      </c>
    </row>
    <row r="5376" spans="1:14" x14ac:dyDescent="0.25">
      <c r="A5376" s="2" t="s">
        <v>219</v>
      </c>
      <c r="B5376" s="2" t="s">
        <v>220</v>
      </c>
      <c r="C5376" s="3">
        <v>2.1680000000000001</v>
      </c>
      <c r="D5376" s="4">
        <v>33.30048</v>
      </c>
      <c r="E5376" s="4">
        <v>20.596</v>
      </c>
      <c r="F5376" s="4">
        <f t="shared" si="307"/>
        <v>12.70448</v>
      </c>
      <c r="G5376" s="5">
        <f t="shared" si="308"/>
        <v>0.38151041666666669</v>
      </c>
      <c r="H5376" s="2" t="s">
        <v>5</v>
      </c>
      <c r="I5376" s="6" t="s">
        <v>2300</v>
      </c>
      <c r="J5376" s="2" t="s">
        <v>5</v>
      </c>
      <c r="K5376" s="2" t="s">
        <v>5</v>
      </c>
      <c r="L5376" s="2" t="s">
        <v>5</v>
      </c>
      <c r="M5376" s="2" t="s">
        <v>5</v>
      </c>
      <c r="N5376" s="4">
        <v>0</v>
      </c>
    </row>
    <row r="5377" spans="1:14" x14ac:dyDescent="0.25">
      <c r="A5377" s="2" t="s">
        <v>219</v>
      </c>
      <c r="B5377" s="2" t="s">
        <v>220</v>
      </c>
      <c r="C5377" s="3">
        <v>11.52</v>
      </c>
      <c r="D5377" s="4">
        <v>176.14080000000001</v>
      </c>
      <c r="E5377" s="4">
        <v>109.44</v>
      </c>
      <c r="F5377" s="4">
        <f t="shared" si="307"/>
        <v>66.700800000000015</v>
      </c>
      <c r="G5377" s="5">
        <f t="shared" si="308"/>
        <v>0.37867887508175285</v>
      </c>
      <c r="H5377" s="2" t="s">
        <v>5</v>
      </c>
      <c r="I5377" s="6" t="s">
        <v>2300</v>
      </c>
      <c r="J5377" s="2" t="s">
        <v>5</v>
      </c>
      <c r="K5377" s="2" t="s">
        <v>5</v>
      </c>
      <c r="L5377" s="2" t="s">
        <v>5</v>
      </c>
      <c r="M5377" s="2" t="s">
        <v>5</v>
      </c>
      <c r="N5377" s="4">
        <v>0</v>
      </c>
    </row>
    <row r="5378" spans="1:14" x14ac:dyDescent="0.25">
      <c r="A5378" s="2" t="s">
        <v>219</v>
      </c>
      <c r="B5378" s="2" t="s">
        <v>220</v>
      </c>
      <c r="C5378" s="3">
        <v>19.66</v>
      </c>
      <c r="D5378" s="4">
        <v>284.28359999999998</v>
      </c>
      <c r="E5378" s="4">
        <v>186.77</v>
      </c>
      <c r="F5378" s="4">
        <f t="shared" si="307"/>
        <v>97.513599999999968</v>
      </c>
      <c r="G5378" s="5">
        <f t="shared" si="308"/>
        <v>0.34301521438450888</v>
      </c>
      <c r="H5378" s="2" t="s">
        <v>5</v>
      </c>
      <c r="I5378" s="6" t="s">
        <v>2300</v>
      </c>
      <c r="J5378" s="2" t="s">
        <v>5</v>
      </c>
      <c r="K5378" s="2" t="s">
        <v>5</v>
      </c>
      <c r="L5378" s="2" t="s">
        <v>5</v>
      </c>
      <c r="M5378" s="2" t="s">
        <v>5</v>
      </c>
      <c r="N5378" s="4">
        <v>0</v>
      </c>
    </row>
    <row r="5379" spans="1:14" x14ac:dyDescent="0.25">
      <c r="A5379" s="2" t="s">
        <v>219</v>
      </c>
      <c r="B5379" s="2" t="s">
        <v>220</v>
      </c>
      <c r="C5379" s="3">
        <v>1.65</v>
      </c>
      <c r="D5379" s="4">
        <v>25.344000000000001</v>
      </c>
      <c r="E5379" s="4">
        <v>15.675000000000001</v>
      </c>
      <c r="F5379" s="4">
        <f t="shared" si="307"/>
        <v>9.6690000000000005</v>
      </c>
      <c r="G5379" s="5">
        <f t="shared" si="308"/>
        <v>0.38151041666666669</v>
      </c>
      <c r="H5379" s="2" t="s">
        <v>5</v>
      </c>
      <c r="I5379" s="6" t="s">
        <v>2300</v>
      </c>
      <c r="J5379" s="2" t="s">
        <v>5</v>
      </c>
      <c r="K5379" s="2" t="s">
        <v>5</v>
      </c>
      <c r="L5379" s="2" t="s">
        <v>5</v>
      </c>
      <c r="M5379" s="2" t="s">
        <v>5</v>
      </c>
      <c r="N5379" s="4">
        <v>0</v>
      </c>
    </row>
    <row r="5380" spans="1:14" x14ac:dyDescent="0.25">
      <c r="A5380" s="2" t="s">
        <v>219</v>
      </c>
      <c r="B5380" s="2" t="s">
        <v>220</v>
      </c>
      <c r="C5380" s="3">
        <v>32.74</v>
      </c>
      <c r="D5380" s="4">
        <v>454.43119999999999</v>
      </c>
      <c r="E5380" s="4">
        <v>311.02999999999997</v>
      </c>
      <c r="F5380" s="4">
        <f t="shared" si="307"/>
        <v>143.40120000000002</v>
      </c>
      <c r="G5380" s="5">
        <f t="shared" si="308"/>
        <v>0.31556195965417871</v>
      </c>
      <c r="H5380" s="2" t="s">
        <v>5</v>
      </c>
      <c r="I5380" s="6" t="s">
        <v>2300</v>
      </c>
      <c r="J5380" s="2" t="s">
        <v>5</v>
      </c>
      <c r="K5380" s="2" t="s">
        <v>5</v>
      </c>
      <c r="L5380" s="2" t="s">
        <v>5</v>
      </c>
      <c r="M5380" s="2" t="s">
        <v>5</v>
      </c>
      <c r="N5380" s="4">
        <v>0</v>
      </c>
    </row>
    <row r="5381" spans="1:14" x14ac:dyDescent="0.25">
      <c r="A5381" s="2" t="s">
        <v>219</v>
      </c>
      <c r="B5381" s="2" t="s">
        <v>220</v>
      </c>
      <c r="C5381" s="3">
        <v>5.0579999999999998</v>
      </c>
      <c r="D5381" s="4">
        <v>77.690880000000007</v>
      </c>
      <c r="E5381" s="4">
        <v>48.051000000000002</v>
      </c>
      <c r="F5381" s="4">
        <f t="shared" si="307"/>
        <v>29.639880000000005</v>
      </c>
      <c r="G5381" s="5">
        <f t="shared" si="308"/>
        <v>0.38151041666666669</v>
      </c>
      <c r="H5381" s="2" t="s">
        <v>5</v>
      </c>
      <c r="I5381" s="6" t="s">
        <v>2300</v>
      </c>
      <c r="J5381" s="2" t="s">
        <v>5</v>
      </c>
      <c r="K5381" s="2" t="s">
        <v>5</v>
      </c>
      <c r="L5381" s="2" t="s">
        <v>5</v>
      </c>
      <c r="M5381" s="2" t="s">
        <v>5</v>
      </c>
      <c r="N5381" s="4">
        <v>0</v>
      </c>
    </row>
    <row r="5382" spans="1:14" x14ac:dyDescent="0.25">
      <c r="A5382" s="2" t="s">
        <v>53</v>
      </c>
      <c r="B5382" s="2" t="s">
        <v>54</v>
      </c>
      <c r="C5382" s="3">
        <v>15.15</v>
      </c>
      <c r="D5382" s="4">
        <v>149.83349999999999</v>
      </c>
      <c r="E5382" s="4">
        <v>110.595</v>
      </c>
      <c r="F5382" s="4">
        <f t="shared" si="307"/>
        <v>39.238499999999988</v>
      </c>
      <c r="G5382" s="5">
        <f t="shared" si="308"/>
        <v>0.2618806875631951</v>
      </c>
      <c r="H5382" s="2" t="s">
        <v>5</v>
      </c>
      <c r="I5382" s="6" t="s">
        <v>2300</v>
      </c>
      <c r="J5382" s="2" t="s">
        <v>5</v>
      </c>
      <c r="K5382" s="2" t="s">
        <v>5</v>
      </c>
      <c r="L5382" s="2" t="s">
        <v>5</v>
      </c>
      <c r="M5382" s="2" t="s">
        <v>5</v>
      </c>
      <c r="N5382" s="4">
        <v>0</v>
      </c>
    </row>
    <row r="5383" spans="1:14" x14ac:dyDescent="0.25">
      <c r="A5383" s="2" t="s">
        <v>53</v>
      </c>
      <c r="B5383" s="2" t="s">
        <v>54</v>
      </c>
      <c r="C5383" s="3">
        <v>45.99</v>
      </c>
      <c r="D5383" s="4">
        <v>444.26339999999999</v>
      </c>
      <c r="E5383" s="4">
        <v>335.72699999999998</v>
      </c>
      <c r="F5383" s="4">
        <f t="shared" si="307"/>
        <v>108.53640000000001</v>
      </c>
      <c r="G5383" s="5">
        <f t="shared" si="308"/>
        <v>0.24430641821946172</v>
      </c>
      <c r="H5383" s="2" t="s">
        <v>5</v>
      </c>
      <c r="I5383" s="6" t="s">
        <v>2300</v>
      </c>
      <c r="J5383" s="2" t="s">
        <v>5</v>
      </c>
      <c r="K5383" s="2" t="s">
        <v>5</v>
      </c>
      <c r="L5383" s="2" t="s">
        <v>5</v>
      </c>
      <c r="M5383" s="2" t="s">
        <v>5</v>
      </c>
      <c r="N5383" s="4">
        <v>0</v>
      </c>
    </row>
    <row r="5384" spans="1:14" x14ac:dyDescent="0.25">
      <c r="A5384" s="2" t="s">
        <v>53</v>
      </c>
      <c r="B5384" s="2" t="s">
        <v>54</v>
      </c>
      <c r="C5384" s="3">
        <v>4.1050000000000004</v>
      </c>
      <c r="D5384" s="4">
        <v>48.192700000000002</v>
      </c>
      <c r="E5384" s="4">
        <v>29.9665</v>
      </c>
      <c r="F5384" s="4">
        <f t="shared" si="307"/>
        <v>18.226200000000002</v>
      </c>
      <c r="G5384" s="5">
        <f t="shared" si="308"/>
        <v>0.37819420783645658</v>
      </c>
      <c r="H5384" s="2" t="s">
        <v>5</v>
      </c>
      <c r="I5384" s="6" t="s">
        <v>2300</v>
      </c>
      <c r="J5384" s="2" t="s">
        <v>5</v>
      </c>
      <c r="K5384" s="2" t="s">
        <v>5</v>
      </c>
      <c r="L5384" s="2" t="s">
        <v>5</v>
      </c>
      <c r="M5384" s="2" t="s">
        <v>5</v>
      </c>
      <c r="N5384" s="4">
        <v>0</v>
      </c>
    </row>
    <row r="5385" spans="1:14" x14ac:dyDescent="0.25">
      <c r="A5385" s="2" t="s">
        <v>53</v>
      </c>
      <c r="B5385" s="2" t="s">
        <v>54</v>
      </c>
      <c r="C5385" s="3">
        <v>17.05</v>
      </c>
      <c r="D5385" s="4">
        <v>154.30250000000001</v>
      </c>
      <c r="E5385" s="4">
        <v>124.465</v>
      </c>
      <c r="F5385" s="4">
        <f t="shared" si="307"/>
        <v>29.837500000000006</v>
      </c>
      <c r="G5385" s="5">
        <f t="shared" si="308"/>
        <v>0.19337016574585639</v>
      </c>
      <c r="H5385" s="2" t="s">
        <v>5</v>
      </c>
      <c r="I5385" s="6" t="s">
        <v>2300</v>
      </c>
      <c r="J5385" s="2" t="s">
        <v>5</v>
      </c>
      <c r="K5385" s="2" t="s">
        <v>5</v>
      </c>
      <c r="L5385" s="2" t="s">
        <v>5</v>
      </c>
      <c r="M5385" s="2" t="s">
        <v>5</v>
      </c>
      <c r="N5385" s="4">
        <v>0</v>
      </c>
    </row>
    <row r="5386" spans="1:14" x14ac:dyDescent="0.25">
      <c r="A5386" s="2" t="s">
        <v>53</v>
      </c>
      <c r="B5386" s="2" t="s">
        <v>54</v>
      </c>
      <c r="C5386" s="3">
        <v>32.42</v>
      </c>
      <c r="D5386" s="4">
        <v>390.01260000000002</v>
      </c>
      <c r="E5386" s="4">
        <v>236.666</v>
      </c>
      <c r="F5386" s="4">
        <f t="shared" si="307"/>
        <v>153.34660000000002</v>
      </c>
      <c r="G5386" s="5">
        <f t="shared" si="308"/>
        <v>0.39318370739817127</v>
      </c>
      <c r="H5386" s="2" t="s">
        <v>5</v>
      </c>
      <c r="I5386" s="6" t="s">
        <v>2300</v>
      </c>
      <c r="J5386" s="2" t="s">
        <v>5</v>
      </c>
      <c r="K5386" s="2" t="s">
        <v>5</v>
      </c>
      <c r="L5386" s="2" t="s">
        <v>5</v>
      </c>
      <c r="M5386" s="2" t="s">
        <v>5</v>
      </c>
      <c r="N5386" s="4">
        <v>0</v>
      </c>
    </row>
    <row r="5387" spans="1:14" x14ac:dyDescent="0.25">
      <c r="A5387" s="2" t="s">
        <v>53</v>
      </c>
      <c r="B5387" s="2" t="s">
        <v>54</v>
      </c>
      <c r="C5387" s="3">
        <v>29.92</v>
      </c>
      <c r="D5387" s="4">
        <v>359.93759999999997</v>
      </c>
      <c r="E5387" s="4">
        <v>218.416</v>
      </c>
      <c r="F5387" s="4">
        <f t="shared" si="307"/>
        <v>141.52159999999998</v>
      </c>
      <c r="G5387" s="5">
        <f t="shared" si="308"/>
        <v>0.39318370739817121</v>
      </c>
      <c r="H5387" s="2" t="s">
        <v>5</v>
      </c>
      <c r="I5387" s="6" t="s">
        <v>2300</v>
      </c>
      <c r="J5387" s="2" t="s">
        <v>5</v>
      </c>
      <c r="K5387" s="2" t="s">
        <v>5</v>
      </c>
      <c r="L5387" s="2" t="s">
        <v>5</v>
      </c>
      <c r="M5387" s="2" t="s">
        <v>5</v>
      </c>
      <c r="N5387" s="4">
        <v>0</v>
      </c>
    </row>
    <row r="5388" spans="1:14" x14ac:dyDescent="0.25">
      <c r="A5388" s="2" t="s">
        <v>53</v>
      </c>
      <c r="B5388" s="2" t="s">
        <v>54</v>
      </c>
      <c r="C5388" s="3">
        <v>27.89</v>
      </c>
      <c r="D5388" s="4">
        <v>237.065</v>
      </c>
      <c r="E5388" s="4">
        <v>203.59700000000001</v>
      </c>
      <c r="F5388" s="4">
        <f t="shared" si="307"/>
        <v>33.467999999999989</v>
      </c>
      <c r="G5388" s="5">
        <f t="shared" si="308"/>
        <v>0.14117647058823524</v>
      </c>
      <c r="H5388" s="2" t="s">
        <v>5</v>
      </c>
      <c r="I5388" s="6" t="s">
        <v>2300</v>
      </c>
      <c r="J5388" s="2" t="s">
        <v>5</v>
      </c>
      <c r="K5388" s="2" t="s">
        <v>5</v>
      </c>
      <c r="L5388" s="2" t="s">
        <v>5</v>
      </c>
      <c r="M5388" s="2" t="s">
        <v>5</v>
      </c>
      <c r="N5388" s="4">
        <v>0</v>
      </c>
    </row>
    <row r="5389" spans="1:14" x14ac:dyDescent="0.25">
      <c r="A5389" s="2" t="s">
        <v>53</v>
      </c>
      <c r="B5389" s="2" t="s">
        <v>54</v>
      </c>
      <c r="C5389" s="3">
        <v>31.5</v>
      </c>
      <c r="D5389" s="4">
        <v>321.3</v>
      </c>
      <c r="E5389" s="4">
        <v>229.95</v>
      </c>
      <c r="F5389" s="4">
        <f t="shared" si="307"/>
        <v>91.350000000000023</v>
      </c>
      <c r="G5389" s="5">
        <f t="shared" si="308"/>
        <v>0.28431372549019612</v>
      </c>
      <c r="H5389" s="2" t="s">
        <v>5</v>
      </c>
      <c r="I5389" s="6" t="s">
        <v>2300</v>
      </c>
      <c r="J5389" s="2" t="s">
        <v>5</v>
      </c>
      <c r="K5389" s="2" t="s">
        <v>5</v>
      </c>
      <c r="L5389" s="2" t="s">
        <v>5</v>
      </c>
      <c r="M5389" s="2" t="s">
        <v>5</v>
      </c>
      <c r="N5389" s="4">
        <v>0</v>
      </c>
    </row>
    <row r="5390" spans="1:14" x14ac:dyDescent="0.25">
      <c r="A5390" s="2" t="s">
        <v>53</v>
      </c>
      <c r="B5390" s="2" t="s">
        <v>54</v>
      </c>
      <c r="C5390" s="3">
        <v>14.17</v>
      </c>
      <c r="D5390" s="4">
        <v>144.53399999999999</v>
      </c>
      <c r="E5390" s="4">
        <v>103.441</v>
      </c>
      <c r="F5390" s="4">
        <f t="shared" si="307"/>
        <v>41.092999999999989</v>
      </c>
      <c r="G5390" s="5">
        <f t="shared" si="308"/>
        <v>0.28431372549019601</v>
      </c>
      <c r="H5390" s="2" t="s">
        <v>5</v>
      </c>
      <c r="I5390" s="6" t="s">
        <v>2300</v>
      </c>
      <c r="J5390" s="2" t="s">
        <v>5</v>
      </c>
      <c r="K5390" s="2" t="s">
        <v>5</v>
      </c>
      <c r="L5390" s="2" t="s">
        <v>5</v>
      </c>
      <c r="M5390" s="2" t="s">
        <v>5</v>
      </c>
      <c r="N5390" s="4">
        <v>0</v>
      </c>
    </row>
    <row r="5391" spans="1:14" x14ac:dyDescent="0.25">
      <c r="A5391" s="2" t="s">
        <v>53</v>
      </c>
      <c r="B5391" s="2" t="s">
        <v>54</v>
      </c>
      <c r="C5391" s="3">
        <v>27.94</v>
      </c>
      <c r="D5391" s="4">
        <v>237.49</v>
      </c>
      <c r="E5391" s="4">
        <v>203.96199999999999</v>
      </c>
      <c r="F5391" s="4">
        <f t="shared" si="307"/>
        <v>33.52800000000002</v>
      </c>
      <c r="G5391" s="5">
        <f t="shared" si="308"/>
        <v>0.14117647058823538</v>
      </c>
      <c r="H5391" s="2" t="s">
        <v>5</v>
      </c>
      <c r="I5391" s="6" t="s">
        <v>2300</v>
      </c>
      <c r="J5391" s="2" t="s">
        <v>5</v>
      </c>
      <c r="K5391" s="2" t="s">
        <v>5</v>
      </c>
      <c r="L5391" s="2" t="s">
        <v>5</v>
      </c>
      <c r="M5391" s="2" t="s">
        <v>5</v>
      </c>
      <c r="N5391" s="4">
        <v>0</v>
      </c>
    </row>
    <row r="5392" spans="1:14" x14ac:dyDescent="0.25">
      <c r="A5392" s="2" t="s">
        <v>53</v>
      </c>
      <c r="B5392" s="2" t="s">
        <v>54</v>
      </c>
      <c r="C5392" s="3">
        <v>103.3</v>
      </c>
      <c r="D5392" s="4">
        <v>878.05</v>
      </c>
      <c r="E5392" s="4">
        <v>754.09</v>
      </c>
      <c r="F5392" s="4">
        <f t="shared" si="307"/>
        <v>123.95999999999992</v>
      </c>
      <c r="G5392" s="5">
        <f t="shared" si="308"/>
        <v>0.14117647058823521</v>
      </c>
      <c r="H5392" s="2" t="s">
        <v>5</v>
      </c>
      <c r="I5392" s="6" t="s">
        <v>2300</v>
      </c>
      <c r="J5392" s="2" t="s">
        <v>5</v>
      </c>
      <c r="K5392" s="2" t="s">
        <v>5</v>
      </c>
      <c r="L5392" s="2" t="s">
        <v>5</v>
      </c>
      <c r="M5392" s="2" t="s">
        <v>5</v>
      </c>
      <c r="N5392" s="4">
        <v>0</v>
      </c>
    </row>
    <row r="5393" spans="1:14" x14ac:dyDescent="0.25">
      <c r="A5393" s="2" t="s">
        <v>53</v>
      </c>
      <c r="B5393" s="2" t="s">
        <v>54</v>
      </c>
      <c r="C5393" s="3">
        <v>43.51</v>
      </c>
      <c r="D5393" s="4">
        <v>523.42529999999999</v>
      </c>
      <c r="E5393" s="4">
        <v>317.62299999999999</v>
      </c>
      <c r="F5393" s="4">
        <f t="shared" si="307"/>
        <v>205.8023</v>
      </c>
      <c r="G5393" s="5">
        <f t="shared" si="308"/>
        <v>0.39318370739817127</v>
      </c>
      <c r="H5393" s="2" t="s">
        <v>5</v>
      </c>
      <c r="I5393" s="6" t="s">
        <v>2300</v>
      </c>
      <c r="J5393" s="2" t="s">
        <v>5</v>
      </c>
      <c r="K5393" s="2" t="s">
        <v>5</v>
      </c>
      <c r="L5393" s="2" t="s">
        <v>5</v>
      </c>
      <c r="M5393" s="2" t="s">
        <v>5</v>
      </c>
      <c r="N5393" s="4">
        <v>0</v>
      </c>
    </row>
    <row r="5394" spans="1:14" x14ac:dyDescent="0.25">
      <c r="A5394" s="2" t="s">
        <v>53</v>
      </c>
      <c r="B5394" s="2" t="s">
        <v>54</v>
      </c>
      <c r="C5394" s="3">
        <v>4.1500000000000004</v>
      </c>
      <c r="D5394" s="4">
        <v>49.924500000000002</v>
      </c>
      <c r="E5394" s="4">
        <v>30.295000000000002</v>
      </c>
      <c r="F5394" s="4">
        <f t="shared" si="307"/>
        <v>19.6295</v>
      </c>
      <c r="G5394" s="5">
        <f t="shared" si="308"/>
        <v>0.39318370739817121</v>
      </c>
      <c r="H5394" s="2" t="s">
        <v>5</v>
      </c>
      <c r="I5394" s="6" t="s">
        <v>2300</v>
      </c>
      <c r="J5394" s="2" t="s">
        <v>5</v>
      </c>
      <c r="K5394" s="2" t="s">
        <v>5</v>
      </c>
      <c r="L5394" s="2" t="s">
        <v>5</v>
      </c>
      <c r="M5394" s="2" t="s">
        <v>5</v>
      </c>
      <c r="N5394" s="4">
        <v>0</v>
      </c>
    </row>
    <row r="5395" spans="1:14" x14ac:dyDescent="0.25">
      <c r="A5395" s="2" t="s">
        <v>53</v>
      </c>
      <c r="B5395" s="2" t="s">
        <v>54</v>
      </c>
      <c r="C5395" s="3">
        <v>6.74</v>
      </c>
      <c r="D5395" s="4">
        <v>81.0822</v>
      </c>
      <c r="E5395" s="4">
        <v>49.201999999999998</v>
      </c>
      <c r="F5395" s="4">
        <f t="shared" si="307"/>
        <v>31.880200000000002</v>
      </c>
      <c r="G5395" s="5">
        <f t="shared" si="308"/>
        <v>0.39318370739817127</v>
      </c>
      <c r="H5395" s="2" t="s">
        <v>5</v>
      </c>
      <c r="I5395" s="6" t="s">
        <v>2300</v>
      </c>
      <c r="J5395" s="2" t="s">
        <v>5</v>
      </c>
      <c r="K5395" s="2" t="s">
        <v>5</v>
      </c>
      <c r="L5395" s="2" t="s">
        <v>5</v>
      </c>
      <c r="M5395" s="2" t="s">
        <v>5</v>
      </c>
      <c r="N5395" s="4">
        <v>0</v>
      </c>
    </row>
    <row r="5396" spans="1:14" x14ac:dyDescent="0.25">
      <c r="A5396" s="2" t="s">
        <v>53</v>
      </c>
      <c r="B5396" s="2" t="s">
        <v>54</v>
      </c>
      <c r="C5396" s="3">
        <v>15.31</v>
      </c>
      <c r="D5396" s="4">
        <v>178.20840000000001</v>
      </c>
      <c r="E5396" s="4">
        <v>111.76300000000001</v>
      </c>
      <c r="F5396" s="4">
        <f t="shared" si="307"/>
        <v>66.445400000000006</v>
      </c>
      <c r="G5396" s="5">
        <f t="shared" si="308"/>
        <v>0.37285223367697595</v>
      </c>
      <c r="H5396" s="2" t="s">
        <v>5</v>
      </c>
      <c r="I5396" s="6" t="s">
        <v>2300</v>
      </c>
      <c r="J5396" s="2" t="s">
        <v>5</v>
      </c>
      <c r="K5396" s="2" t="s">
        <v>5</v>
      </c>
      <c r="L5396" s="2" t="s">
        <v>5</v>
      </c>
      <c r="M5396" s="2" t="s">
        <v>5</v>
      </c>
      <c r="N5396" s="4">
        <v>0</v>
      </c>
    </row>
    <row r="5397" spans="1:14" x14ac:dyDescent="0.25">
      <c r="A5397" s="2" t="s">
        <v>53</v>
      </c>
      <c r="B5397" s="2" t="s">
        <v>54</v>
      </c>
      <c r="C5397" s="3">
        <v>42.69</v>
      </c>
      <c r="D5397" s="4">
        <v>513.5607</v>
      </c>
      <c r="E5397" s="4">
        <v>311.637</v>
      </c>
      <c r="F5397" s="4">
        <f t="shared" si="307"/>
        <v>201.9237</v>
      </c>
      <c r="G5397" s="5">
        <f t="shared" si="308"/>
        <v>0.39318370739817121</v>
      </c>
      <c r="H5397" s="2" t="s">
        <v>5</v>
      </c>
      <c r="I5397" s="6" t="s">
        <v>2300</v>
      </c>
      <c r="J5397" s="2" t="s">
        <v>5</v>
      </c>
      <c r="K5397" s="2" t="s">
        <v>5</v>
      </c>
      <c r="L5397" s="2" t="s">
        <v>5</v>
      </c>
      <c r="M5397" s="2" t="s">
        <v>5</v>
      </c>
      <c r="N5397" s="4">
        <v>0</v>
      </c>
    </row>
    <row r="5398" spans="1:14" x14ac:dyDescent="0.25">
      <c r="A5398" s="2" t="s">
        <v>53</v>
      </c>
      <c r="B5398" s="2" t="s">
        <v>54</v>
      </c>
      <c r="C5398" s="3">
        <v>29.98</v>
      </c>
      <c r="D5398" s="4">
        <v>360.65940000000001</v>
      </c>
      <c r="E5398" s="4">
        <v>218.85400000000001</v>
      </c>
      <c r="F5398" s="4">
        <f t="shared" si="307"/>
        <v>141.80539999999999</v>
      </c>
      <c r="G5398" s="5">
        <f t="shared" si="308"/>
        <v>0.39318370739817121</v>
      </c>
      <c r="H5398" s="2" t="s">
        <v>5</v>
      </c>
      <c r="I5398" s="6" t="s">
        <v>2300</v>
      </c>
      <c r="J5398" s="2" t="s">
        <v>5</v>
      </c>
      <c r="K5398" s="2" t="s">
        <v>5</v>
      </c>
      <c r="L5398" s="2" t="s">
        <v>5</v>
      </c>
      <c r="M5398" s="2" t="s">
        <v>5</v>
      </c>
      <c r="N5398" s="4">
        <v>0</v>
      </c>
    </row>
    <row r="5399" spans="1:14" x14ac:dyDescent="0.25">
      <c r="A5399" s="2" t="s">
        <v>53</v>
      </c>
      <c r="B5399" s="2" t="s">
        <v>54</v>
      </c>
      <c r="C5399" s="3">
        <v>14.39</v>
      </c>
      <c r="D5399" s="4">
        <v>173.11170000000001</v>
      </c>
      <c r="E5399" s="4">
        <v>105.047</v>
      </c>
      <c r="F5399" s="4">
        <f t="shared" si="307"/>
        <v>68.064700000000016</v>
      </c>
      <c r="G5399" s="5">
        <f t="shared" si="308"/>
        <v>0.39318370739817132</v>
      </c>
      <c r="H5399" s="2" t="s">
        <v>5</v>
      </c>
      <c r="I5399" s="6" t="s">
        <v>2300</v>
      </c>
      <c r="J5399" s="2" t="s">
        <v>5</v>
      </c>
      <c r="K5399" s="2" t="s">
        <v>5</v>
      </c>
      <c r="L5399" s="2" t="s">
        <v>5</v>
      </c>
      <c r="M5399" s="2" t="s">
        <v>5</v>
      </c>
      <c r="N5399" s="4">
        <v>0</v>
      </c>
    </row>
    <row r="5400" spans="1:14" x14ac:dyDescent="0.25">
      <c r="A5400" s="2" t="s">
        <v>53</v>
      </c>
      <c r="B5400" s="2" t="s">
        <v>54</v>
      </c>
      <c r="C5400" s="3">
        <v>31.54</v>
      </c>
      <c r="D5400" s="4">
        <v>379.42619999999999</v>
      </c>
      <c r="E5400" s="4">
        <v>230.24199999999999</v>
      </c>
      <c r="F5400" s="4">
        <f t="shared" si="307"/>
        <v>149.1842</v>
      </c>
      <c r="G5400" s="5">
        <f t="shared" si="308"/>
        <v>0.39318370739817127</v>
      </c>
      <c r="H5400" s="2" t="s">
        <v>5</v>
      </c>
      <c r="I5400" s="6" t="s">
        <v>2300</v>
      </c>
      <c r="J5400" s="2" t="s">
        <v>5</v>
      </c>
      <c r="K5400" s="2" t="s">
        <v>5</v>
      </c>
      <c r="L5400" s="2" t="s">
        <v>5</v>
      </c>
      <c r="M5400" s="2" t="s">
        <v>5</v>
      </c>
      <c r="N5400" s="4">
        <v>0</v>
      </c>
    </row>
    <row r="5401" spans="1:14" x14ac:dyDescent="0.25">
      <c r="A5401" s="2" t="s">
        <v>53</v>
      </c>
      <c r="B5401" s="2" t="s">
        <v>54</v>
      </c>
      <c r="C5401" s="3">
        <v>28.96</v>
      </c>
      <c r="D5401" s="4">
        <v>262.08800000000002</v>
      </c>
      <c r="E5401" s="4">
        <v>211.40799999999999</v>
      </c>
      <c r="F5401" s="4">
        <f t="shared" si="307"/>
        <v>50.680000000000035</v>
      </c>
      <c r="G5401" s="5">
        <f t="shared" si="308"/>
        <v>0.19337016574585647</v>
      </c>
      <c r="H5401" s="2" t="s">
        <v>5</v>
      </c>
      <c r="I5401" s="6" t="s">
        <v>2300</v>
      </c>
      <c r="J5401" s="2" t="s">
        <v>5</v>
      </c>
      <c r="K5401" s="2" t="s">
        <v>5</v>
      </c>
      <c r="L5401" s="2" t="s">
        <v>5</v>
      </c>
      <c r="M5401" s="2" t="s">
        <v>5</v>
      </c>
      <c r="N5401" s="4">
        <v>0</v>
      </c>
    </row>
    <row r="5402" spans="1:14" x14ac:dyDescent="0.25">
      <c r="A5402" s="2" t="s">
        <v>53</v>
      </c>
      <c r="B5402" s="2" t="s">
        <v>54</v>
      </c>
      <c r="C5402" s="3">
        <v>15.35</v>
      </c>
      <c r="D5402" s="4">
        <v>138.91749999999999</v>
      </c>
      <c r="E5402" s="4">
        <v>112.05500000000001</v>
      </c>
      <c r="F5402" s="4">
        <f t="shared" si="307"/>
        <v>26.862499999999983</v>
      </c>
      <c r="G5402" s="5">
        <f t="shared" si="308"/>
        <v>0.19337016574585625</v>
      </c>
      <c r="H5402" s="2" t="s">
        <v>5</v>
      </c>
      <c r="I5402" s="6" t="s">
        <v>2300</v>
      </c>
      <c r="J5402" s="2" t="s">
        <v>5</v>
      </c>
      <c r="K5402" s="2" t="s">
        <v>5</v>
      </c>
      <c r="L5402" s="2" t="s">
        <v>5</v>
      </c>
      <c r="M5402" s="2" t="s">
        <v>5</v>
      </c>
      <c r="N5402" s="4">
        <v>0</v>
      </c>
    </row>
    <row r="5403" spans="1:14" x14ac:dyDescent="0.25">
      <c r="A5403" s="2" t="s">
        <v>53</v>
      </c>
      <c r="B5403" s="2" t="s">
        <v>54</v>
      </c>
      <c r="C5403" s="3">
        <v>15.77</v>
      </c>
      <c r="D5403" s="4">
        <v>183.56280000000001</v>
      </c>
      <c r="E5403" s="4">
        <v>115.121</v>
      </c>
      <c r="F5403" s="4">
        <f t="shared" si="307"/>
        <v>68.441800000000015</v>
      </c>
      <c r="G5403" s="5">
        <f t="shared" si="308"/>
        <v>0.37285223367697601</v>
      </c>
      <c r="H5403" s="2" t="s">
        <v>5</v>
      </c>
      <c r="I5403" s="6" t="s">
        <v>2300</v>
      </c>
      <c r="J5403" s="2" t="s">
        <v>5</v>
      </c>
      <c r="K5403" s="2" t="s">
        <v>5</v>
      </c>
      <c r="L5403" s="2" t="s">
        <v>5</v>
      </c>
      <c r="M5403" s="2" t="s">
        <v>5</v>
      </c>
      <c r="N5403" s="4">
        <v>0</v>
      </c>
    </row>
    <row r="5404" spans="1:14" x14ac:dyDescent="0.25">
      <c r="A5404" s="2" t="s">
        <v>53</v>
      </c>
      <c r="B5404" s="2" t="s">
        <v>54</v>
      </c>
      <c r="C5404" s="3">
        <v>57.48</v>
      </c>
      <c r="D5404" s="4">
        <v>488.58</v>
      </c>
      <c r="E5404" s="4">
        <v>419.60399999999998</v>
      </c>
      <c r="F5404" s="4">
        <f t="shared" si="307"/>
        <v>68.975999999999999</v>
      </c>
      <c r="G5404" s="5">
        <f t="shared" si="308"/>
        <v>0.14117647058823529</v>
      </c>
      <c r="H5404" s="2" t="s">
        <v>5</v>
      </c>
      <c r="I5404" s="6" t="s">
        <v>2300</v>
      </c>
      <c r="J5404" s="2" t="s">
        <v>5</v>
      </c>
      <c r="K5404" s="2" t="s">
        <v>5</v>
      </c>
      <c r="L5404" s="2" t="s">
        <v>5</v>
      </c>
      <c r="M5404" s="2" t="s">
        <v>5</v>
      </c>
      <c r="N5404" s="4">
        <v>0</v>
      </c>
    </row>
    <row r="5405" spans="1:14" x14ac:dyDescent="0.25">
      <c r="A5405" s="2" t="s">
        <v>53</v>
      </c>
      <c r="B5405" s="2" t="s">
        <v>54</v>
      </c>
      <c r="C5405" s="3">
        <v>7.1550000000000002</v>
      </c>
      <c r="D5405" s="4">
        <v>86.074650000000005</v>
      </c>
      <c r="E5405" s="4">
        <v>52.231499999999997</v>
      </c>
      <c r="F5405" s="4">
        <f t="shared" si="307"/>
        <v>33.843150000000009</v>
      </c>
      <c r="G5405" s="5">
        <f t="shared" si="308"/>
        <v>0.39318370739817132</v>
      </c>
      <c r="H5405" s="2" t="s">
        <v>5</v>
      </c>
      <c r="I5405" s="6" t="s">
        <v>2300</v>
      </c>
      <c r="J5405" s="2" t="s">
        <v>5</v>
      </c>
      <c r="K5405" s="2" t="s">
        <v>5</v>
      </c>
      <c r="L5405" s="2" t="s">
        <v>5</v>
      </c>
      <c r="M5405" s="2" t="s">
        <v>5</v>
      </c>
      <c r="N5405" s="4">
        <v>0</v>
      </c>
    </row>
    <row r="5406" spans="1:14" x14ac:dyDescent="0.25">
      <c r="A5406" s="2" t="s">
        <v>53</v>
      </c>
      <c r="B5406" s="2" t="s">
        <v>54</v>
      </c>
      <c r="C5406" s="3">
        <v>31.4</v>
      </c>
      <c r="D5406" s="4">
        <v>303.32400000000001</v>
      </c>
      <c r="E5406" s="4">
        <v>229.22</v>
      </c>
      <c r="F5406" s="4">
        <f t="shared" si="307"/>
        <v>74.104000000000013</v>
      </c>
      <c r="G5406" s="5">
        <f t="shared" si="308"/>
        <v>0.24430641821946172</v>
      </c>
      <c r="H5406" s="2" t="s">
        <v>5</v>
      </c>
      <c r="I5406" s="6" t="s">
        <v>2300</v>
      </c>
      <c r="J5406" s="2" t="s">
        <v>5</v>
      </c>
      <c r="K5406" s="2" t="s">
        <v>5</v>
      </c>
      <c r="L5406" s="2" t="s">
        <v>5</v>
      </c>
      <c r="M5406" s="2" t="s">
        <v>5</v>
      </c>
      <c r="N5406" s="4">
        <v>0</v>
      </c>
    </row>
    <row r="5407" spans="1:14" x14ac:dyDescent="0.25">
      <c r="A5407" s="2" t="s">
        <v>53</v>
      </c>
      <c r="B5407" s="2" t="s">
        <v>54</v>
      </c>
      <c r="C5407" s="3">
        <v>14.81</v>
      </c>
      <c r="D5407" s="4">
        <v>171.05549999999999</v>
      </c>
      <c r="E5407" s="4">
        <v>108.113</v>
      </c>
      <c r="F5407" s="4">
        <f t="shared" si="307"/>
        <v>62.942499999999995</v>
      </c>
      <c r="G5407" s="5">
        <f t="shared" si="308"/>
        <v>0.36796536796536794</v>
      </c>
      <c r="H5407" s="2" t="s">
        <v>5</v>
      </c>
      <c r="I5407" s="6" t="s">
        <v>2300</v>
      </c>
      <c r="J5407" s="2" t="s">
        <v>5</v>
      </c>
      <c r="K5407" s="2" t="s">
        <v>5</v>
      </c>
      <c r="L5407" s="2" t="s">
        <v>5</v>
      </c>
      <c r="M5407" s="2" t="s">
        <v>5</v>
      </c>
      <c r="N5407" s="4">
        <v>0</v>
      </c>
    </row>
    <row r="5408" spans="1:14" x14ac:dyDescent="0.25">
      <c r="A5408" s="2" t="s">
        <v>53</v>
      </c>
      <c r="B5408" s="2" t="s">
        <v>54</v>
      </c>
      <c r="C5408" s="3">
        <v>28.92</v>
      </c>
      <c r="D5408" s="4">
        <v>286.0188</v>
      </c>
      <c r="E5408" s="4">
        <v>211.11600000000001</v>
      </c>
      <c r="F5408" s="4">
        <f t="shared" si="307"/>
        <v>74.902799999999985</v>
      </c>
      <c r="G5408" s="5">
        <f t="shared" si="308"/>
        <v>0.2618806875631951</v>
      </c>
      <c r="H5408" s="2" t="s">
        <v>5</v>
      </c>
      <c r="I5408" s="6" t="s">
        <v>2300</v>
      </c>
      <c r="J5408" s="2" t="s">
        <v>5</v>
      </c>
      <c r="K5408" s="2" t="s">
        <v>5</v>
      </c>
      <c r="L5408" s="2" t="s">
        <v>5</v>
      </c>
      <c r="M5408" s="2" t="s">
        <v>5</v>
      </c>
      <c r="N5408" s="4">
        <v>0</v>
      </c>
    </row>
    <row r="5409" spans="1:14" x14ac:dyDescent="0.25">
      <c r="A5409" s="2" t="s">
        <v>53</v>
      </c>
      <c r="B5409" s="2" t="s">
        <v>54</v>
      </c>
      <c r="C5409" s="3">
        <v>13.35</v>
      </c>
      <c r="D5409" s="4">
        <v>160.60050000000001</v>
      </c>
      <c r="E5409" s="4">
        <v>97.454999999999998</v>
      </c>
      <c r="F5409" s="4">
        <f t="shared" ref="F5409:F5472" si="309">D5409-E5409</f>
        <v>63.145500000000013</v>
      </c>
      <c r="G5409" s="5">
        <f t="shared" ref="G5409:G5472" si="310">IF(((D5409)=0),0,(D5409-E5409)/ D5409)</f>
        <v>0.39318370739817127</v>
      </c>
      <c r="H5409" s="2" t="s">
        <v>5</v>
      </c>
      <c r="I5409" s="6" t="s">
        <v>2300</v>
      </c>
      <c r="J5409" s="2" t="s">
        <v>5</v>
      </c>
      <c r="K5409" s="2" t="s">
        <v>5</v>
      </c>
      <c r="L5409" s="2" t="s">
        <v>5</v>
      </c>
      <c r="M5409" s="2" t="s">
        <v>5</v>
      </c>
      <c r="N5409" s="4">
        <v>0</v>
      </c>
    </row>
    <row r="5410" spans="1:14" x14ac:dyDescent="0.25">
      <c r="A5410" s="2" t="s">
        <v>53</v>
      </c>
      <c r="B5410" s="2" t="s">
        <v>54</v>
      </c>
      <c r="C5410" s="3">
        <v>30.86</v>
      </c>
      <c r="D5410" s="4">
        <v>371.24579999999997</v>
      </c>
      <c r="E5410" s="4">
        <v>225.27799999999999</v>
      </c>
      <c r="F5410" s="4">
        <f t="shared" si="309"/>
        <v>145.96779999999998</v>
      </c>
      <c r="G5410" s="5">
        <f t="shared" si="310"/>
        <v>0.39318370739817121</v>
      </c>
      <c r="H5410" s="2" t="s">
        <v>5</v>
      </c>
      <c r="I5410" s="6" t="s">
        <v>2300</v>
      </c>
      <c r="J5410" s="2" t="s">
        <v>5</v>
      </c>
      <c r="K5410" s="2" t="s">
        <v>5</v>
      </c>
      <c r="L5410" s="2" t="s">
        <v>5</v>
      </c>
      <c r="M5410" s="2" t="s">
        <v>5</v>
      </c>
      <c r="N5410" s="4">
        <v>0</v>
      </c>
    </row>
    <row r="5411" spans="1:14" x14ac:dyDescent="0.25">
      <c r="A5411" s="2" t="s">
        <v>53</v>
      </c>
      <c r="B5411" s="2" t="s">
        <v>54</v>
      </c>
      <c r="C5411" s="3">
        <v>7.12</v>
      </c>
      <c r="D5411" s="4">
        <v>72.6952</v>
      </c>
      <c r="E5411" s="4">
        <v>51.975999999999999</v>
      </c>
      <c r="F5411" s="4">
        <f t="shared" si="309"/>
        <v>20.719200000000001</v>
      </c>
      <c r="G5411" s="5">
        <f t="shared" si="310"/>
        <v>0.28501469147894221</v>
      </c>
      <c r="H5411" s="2" t="s">
        <v>5</v>
      </c>
      <c r="I5411" s="6" t="s">
        <v>2300</v>
      </c>
      <c r="J5411" s="2" t="s">
        <v>5</v>
      </c>
      <c r="K5411" s="2" t="s">
        <v>5</v>
      </c>
      <c r="L5411" s="2" t="s">
        <v>5</v>
      </c>
      <c r="M5411" s="2" t="s">
        <v>5</v>
      </c>
      <c r="N5411" s="4">
        <v>0</v>
      </c>
    </row>
    <row r="5412" spans="1:14" x14ac:dyDescent="0.25">
      <c r="A5412" s="2" t="s">
        <v>53</v>
      </c>
      <c r="B5412" s="2" t="s">
        <v>54</v>
      </c>
      <c r="C5412" s="3">
        <v>7.73</v>
      </c>
      <c r="D5412" s="4">
        <v>92.991900000000001</v>
      </c>
      <c r="E5412" s="4">
        <v>56.429000000000002</v>
      </c>
      <c r="F5412" s="4">
        <f t="shared" si="309"/>
        <v>36.562899999999999</v>
      </c>
      <c r="G5412" s="5">
        <f t="shared" si="310"/>
        <v>0.39318370739817121</v>
      </c>
      <c r="H5412" s="2" t="s">
        <v>5</v>
      </c>
      <c r="I5412" s="6" t="s">
        <v>2300</v>
      </c>
      <c r="J5412" s="2" t="s">
        <v>5</v>
      </c>
      <c r="K5412" s="2" t="s">
        <v>5</v>
      </c>
      <c r="L5412" s="2" t="s">
        <v>5</v>
      </c>
      <c r="M5412" s="2" t="s">
        <v>5</v>
      </c>
      <c r="N5412" s="4">
        <v>0</v>
      </c>
    </row>
    <row r="5413" spans="1:14" x14ac:dyDescent="0.25">
      <c r="A5413" s="2" t="s">
        <v>53</v>
      </c>
      <c r="B5413" s="2" t="s">
        <v>54</v>
      </c>
      <c r="C5413" s="3">
        <v>40.79</v>
      </c>
      <c r="D5413" s="4">
        <v>490.70370000000003</v>
      </c>
      <c r="E5413" s="4">
        <v>297.767</v>
      </c>
      <c r="F5413" s="4">
        <f t="shared" si="309"/>
        <v>192.93670000000003</v>
      </c>
      <c r="G5413" s="5">
        <f t="shared" si="310"/>
        <v>0.39318370739817127</v>
      </c>
      <c r="H5413" s="2" t="s">
        <v>5</v>
      </c>
      <c r="I5413" s="6" t="s">
        <v>2300</v>
      </c>
      <c r="J5413" s="2" t="s">
        <v>5</v>
      </c>
      <c r="K5413" s="2" t="s">
        <v>5</v>
      </c>
      <c r="L5413" s="2" t="s">
        <v>5</v>
      </c>
      <c r="M5413" s="2" t="s">
        <v>5</v>
      </c>
      <c r="N5413" s="4">
        <v>0</v>
      </c>
    </row>
    <row r="5414" spans="1:14" x14ac:dyDescent="0.25">
      <c r="A5414" s="2" t="s">
        <v>53</v>
      </c>
      <c r="B5414" s="2" t="s">
        <v>54</v>
      </c>
      <c r="C5414" s="3">
        <v>47.21</v>
      </c>
      <c r="D5414" s="4">
        <v>567.93629999999996</v>
      </c>
      <c r="E5414" s="4">
        <v>344.63299999999998</v>
      </c>
      <c r="F5414" s="4">
        <f t="shared" si="309"/>
        <v>223.30329999999998</v>
      </c>
      <c r="G5414" s="5">
        <f t="shared" si="310"/>
        <v>0.39318370739817121</v>
      </c>
      <c r="H5414" s="2" t="s">
        <v>5</v>
      </c>
      <c r="I5414" s="6" t="s">
        <v>2300</v>
      </c>
      <c r="J5414" s="2" t="s">
        <v>5</v>
      </c>
      <c r="K5414" s="2" t="s">
        <v>5</v>
      </c>
      <c r="L5414" s="2" t="s">
        <v>5</v>
      </c>
      <c r="M5414" s="2" t="s">
        <v>5</v>
      </c>
      <c r="N5414" s="4">
        <v>0</v>
      </c>
    </row>
    <row r="5415" spans="1:14" x14ac:dyDescent="0.25">
      <c r="A5415" s="2" t="s">
        <v>53</v>
      </c>
      <c r="B5415" s="2" t="s">
        <v>54</v>
      </c>
      <c r="C5415" s="3">
        <v>71.19</v>
      </c>
      <c r="D5415" s="4">
        <v>649.96469999999999</v>
      </c>
      <c r="E5415" s="4">
        <v>519.68700000000001</v>
      </c>
      <c r="F5415" s="4">
        <f t="shared" si="309"/>
        <v>130.27769999999998</v>
      </c>
      <c r="G5415" s="5">
        <f t="shared" si="310"/>
        <v>0.20043811610076667</v>
      </c>
      <c r="H5415" s="2" t="s">
        <v>5</v>
      </c>
      <c r="I5415" s="6" t="s">
        <v>2300</v>
      </c>
      <c r="J5415" s="2" t="s">
        <v>5</v>
      </c>
      <c r="K5415" s="2" t="s">
        <v>5</v>
      </c>
      <c r="L5415" s="2" t="s">
        <v>5</v>
      </c>
      <c r="M5415" s="2" t="s">
        <v>5</v>
      </c>
      <c r="N5415" s="4">
        <v>0</v>
      </c>
    </row>
    <row r="5416" spans="1:14" x14ac:dyDescent="0.25">
      <c r="A5416" s="2" t="s">
        <v>53</v>
      </c>
      <c r="B5416" s="2" t="s">
        <v>54</v>
      </c>
      <c r="C5416" s="3">
        <v>73.13</v>
      </c>
      <c r="D5416" s="4">
        <v>621.60500000000002</v>
      </c>
      <c r="E5416" s="4">
        <v>533.84900000000005</v>
      </c>
      <c r="F5416" s="4">
        <f t="shared" si="309"/>
        <v>87.755999999999972</v>
      </c>
      <c r="G5416" s="5">
        <f t="shared" si="310"/>
        <v>0.14117647058823524</v>
      </c>
      <c r="H5416" s="2" t="s">
        <v>5</v>
      </c>
      <c r="I5416" s="6" t="s">
        <v>2300</v>
      </c>
      <c r="J5416" s="2" t="s">
        <v>5</v>
      </c>
      <c r="K5416" s="2" t="s">
        <v>5</v>
      </c>
      <c r="L5416" s="2" t="s">
        <v>5</v>
      </c>
      <c r="M5416" s="2" t="s">
        <v>5</v>
      </c>
      <c r="N5416" s="4">
        <v>0</v>
      </c>
    </row>
    <row r="5417" spans="1:14" x14ac:dyDescent="0.25">
      <c r="A5417" s="2" t="s">
        <v>53</v>
      </c>
      <c r="B5417" s="2" t="s">
        <v>54</v>
      </c>
      <c r="C5417" s="3">
        <v>14.24</v>
      </c>
      <c r="D5417" s="4">
        <v>171.30719999999999</v>
      </c>
      <c r="E5417" s="4">
        <v>103.952</v>
      </c>
      <c r="F5417" s="4">
        <f t="shared" si="309"/>
        <v>67.355199999999996</v>
      </c>
      <c r="G5417" s="5">
        <f t="shared" si="310"/>
        <v>0.39318370739817121</v>
      </c>
      <c r="H5417" s="2" t="s">
        <v>5</v>
      </c>
      <c r="I5417" s="6" t="s">
        <v>2300</v>
      </c>
      <c r="J5417" s="2" t="s">
        <v>5</v>
      </c>
      <c r="K5417" s="2" t="s">
        <v>5</v>
      </c>
      <c r="L5417" s="2" t="s">
        <v>5</v>
      </c>
      <c r="M5417" s="2" t="s">
        <v>5</v>
      </c>
      <c r="N5417" s="4">
        <v>0</v>
      </c>
    </row>
    <row r="5418" spans="1:14" x14ac:dyDescent="0.25">
      <c r="A5418" s="2" t="s">
        <v>53</v>
      </c>
      <c r="B5418" s="2" t="s">
        <v>54</v>
      </c>
      <c r="C5418" s="3">
        <v>26.66</v>
      </c>
      <c r="D5418" s="4">
        <v>320.71980000000002</v>
      </c>
      <c r="E5418" s="4">
        <v>194.61799999999999</v>
      </c>
      <c r="F5418" s="4">
        <f t="shared" si="309"/>
        <v>126.10180000000003</v>
      </c>
      <c r="G5418" s="5">
        <f t="shared" si="310"/>
        <v>0.39318370739817127</v>
      </c>
      <c r="H5418" s="2" t="s">
        <v>5</v>
      </c>
      <c r="I5418" s="6" t="s">
        <v>2300</v>
      </c>
      <c r="J5418" s="2" t="s">
        <v>5</v>
      </c>
      <c r="K5418" s="2" t="s">
        <v>5</v>
      </c>
      <c r="L5418" s="2" t="s">
        <v>5</v>
      </c>
      <c r="M5418" s="2" t="s">
        <v>5</v>
      </c>
      <c r="N5418" s="4">
        <v>0</v>
      </c>
    </row>
    <row r="5419" spans="1:14" x14ac:dyDescent="0.25">
      <c r="A5419" s="2" t="s">
        <v>53</v>
      </c>
      <c r="B5419" s="2" t="s">
        <v>54</v>
      </c>
      <c r="C5419" s="3">
        <v>14.69</v>
      </c>
      <c r="D5419" s="4">
        <v>145.2841</v>
      </c>
      <c r="E5419" s="4">
        <v>107.23699999999999</v>
      </c>
      <c r="F5419" s="4">
        <f t="shared" si="309"/>
        <v>38.0471</v>
      </c>
      <c r="G5419" s="5">
        <f t="shared" si="310"/>
        <v>0.26188068756319516</v>
      </c>
      <c r="H5419" s="2" t="s">
        <v>5</v>
      </c>
      <c r="I5419" s="6" t="s">
        <v>2300</v>
      </c>
      <c r="J5419" s="2" t="s">
        <v>5</v>
      </c>
      <c r="K5419" s="2" t="s">
        <v>5</v>
      </c>
      <c r="L5419" s="2" t="s">
        <v>5</v>
      </c>
      <c r="M5419" s="2" t="s">
        <v>5</v>
      </c>
      <c r="N5419" s="4">
        <v>0</v>
      </c>
    </row>
    <row r="5420" spans="1:14" x14ac:dyDescent="0.25">
      <c r="A5420" s="2" t="s">
        <v>632</v>
      </c>
      <c r="B5420" s="2" t="s">
        <v>633</v>
      </c>
      <c r="C5420" s="3">
        <v>1.99</v>
      </c>
      <c r="D5420" s="4">
        <v>32.715600000000002</v>
      </c>
      <c r="E5420" s="4">
        <v>24.675999999999998</v>
      </c>
      <c r="F5420" s="4">
        <f t="shared" si="309"/>
        <v>8.0396000000000036</v>
      </c>
      <c r="G5420" s="5">
        <f t="shared" si="310"/>
        <v>0.24574209245742101</v>
      </c>
      <c r="H5420" s="2" t="s">
        <v>5</v>
      </c>
      <c r="I5420" s="6" t="s">
        <v>2300</v>
      </c>
      <c r="J5420" s="2" t="s">
        <v>5</v>
      </c>
      <c r="K5420" s="2" t="s">
        <v>5</v>
      </c>
      <c r="L5420" s="2" t="s">
        <v>5</v>
      </c>
      <c r="M5420" s="2" t="s">
        <v>5</v>
      </c>
      <c r="N5420" s="4">
        <v>0</v>
      </c>
    </row>
    <row r="5421" spans="1:14" x14ac:dyDescent="0.25">
      <c r="A5421" s="2" t="s">
        <v>632</v>
      </c>
      <c r="B5421" s="2" t="s">
        <v>633</v>
      </c>
      <c r="C5421" s="3">
        <v>4.952</v>
      </c>
      <c r="D5421" s="4">
        <v>81.410880000000006</v>
      </c>
      <c r="E5421" s="4">
        <v>61.404800000000002</v>
      </c>
      <c r="F5421" s="4">
        <f t="shared" si="309"/>
        <v>20.006080000000004</v>
      </c>
      <c r="G5421" s="5">
        <f t="shared" si="310"/>
        <v>0.24574209245742096</v>
      </c>
      <c r="H5421" s="2" t="s">
        <v>5</v>
      </c>
      <c r="I5421" s="6" t="s">
        <v>2300</v>
      </c>
      <c r="J5421" s="2" t="s">
        <v>5</v>
      </c>
      <c r="K5421" s="2" t="s">
        <v>5</v>
      </c>
      <c r="L5421" s="2" t="s">
        <v>5</v>
      </c>
      <c r="M5421" s="2" t="s">
        <v>5</v>
      </c>
      <c r="N5421" s="4">
        <v>0</v>
      </c>
    </row>
    <row r="5422" spans="1:14" x14ac:dyDescent="0.25">
      <c r="A5422" s="2" t="s">
        <v>632</v>
      </c>
      <c r="B5422" s="2" t="s">
        <v>633</v>
      </c>
      <c r="C5422" s="3">
        <v>3.3079999999999998</v>
      </c>
      <c r="D5422" s="4">
        <v>53.060319999999997</v>
      </c>
      <c r="E5422" s="4">
        <v>41.019199999999998</v>
      </c>
      <c r="F5422" s="4">
        <f t="shared" si="309"/>
        <v>12.041119999999999</v>
      </c>
      <c r="G5422" s="5">
        <f t="shared" si="310"/>
        <v>0.22693266832917705</v>
      </c>
      <c r="H5422" s="2" t="s">
        <v>5</v>
      </c>
      <c r="I5422" s="6" t="s">
        <v>2300</v>
      </c>
      <c r="J5422" s="2" t="s">
        <v>5</v>
      </c>
      <c r="K5422" s="2" t="s">
        <v>5</v>
      </c>
      <c r="L5422" s="2" t="s">
        <v>5</v>
      </c>
      <c r="M5422" s="2" t="s">
        <v>5</v>
      </c>
      <c r="N5422" s="4">
        <v>0</v>
      </c>
    </row>
    <row r="5423" spans="1:14" x14ac:dyDescent="0.25">
      <c r="A5423" s="2" t="s">
        <v>134</v>
      </c>
      <c r="B5423" s="2" t="s">
        <v>135</v>
      </c>
      <c r="C5423" s="3">
        <v>15.06</v>
      </c>
      <c r="D5423" s="4">
        <v>154.36500000000001</v>
      </c>
      <c r="E5423" s="4">
        <v>106.926</v>
      </c>
      <c r="F5423" s="4">
        <f t="shared" si="309"/>
        <v>47.439000000000007</v>
      </c>
      <c r="G5423" s="5">
        <f t="shared" si="310"/>
        <v>0.30731707317073176</v>
      </c>
      <c r="H5423" s="2" t="s">
        <v>5</v>
      </c>
      <c r="I5423" s="6" t="s">
        <v>2300</v>
      </c>
      <c r="J5423" s="2" t="s">
        <v>5</v>
      </c>
      <c r="K5423" s="2" t="s">
        <v>5</v>
      </c>
      <c r="L5423" s="2" t="s">
        <v>5</v>
      </c>
      <c r="M5423" s="2" t="s">
        <v>5</v>
      </c>
      <c r="N5423" s="4">
        <v>0</v>
      </c>
    </row>
    <row r="5424" spans="1:14" x14ac:dyDescent="0.25">
      <c r="A5424" s="2" t="s">
        <v>134</v>
      </c>
      <c r="B5424" s="2" t="s">
        <v>135</v>
      </c>
      <c r="C5424" s="3">
        <v>4.3899999999999997</v>
      </c>
      <c r="D5424" s="4">
        <v>55.665199999999999</v>
      </c>
      <c r="E5424" s="4">
        <v>31.169</v>
      </c>
      <c r="F5424" s="4">
        <f t="shared" si="309"/>
        <v>24.496199999999998</v>
      </c>
      <c r="G5424" s="5">
        <f t="shared" si="310"/>
        <v>0.44006309148264983</v>
      </c>
      <c r="H5424" s="2" t="s">
        <v>5</v>
      </c>
      <c r="I5424" s="6" t="s">
        <v>2300</v>
      </c>
      <c r="J5424" s="2" t="s">
        <v>5</v>
      </c>
      <c r="K5424" s="2" t="s">
        <v>5</v>
      </c>
      <c r="L5424" s="2" t="s">
        <v>5</v>
      </c>
      <c r="M5424" s="2" t="s">
        <v>5</v>
      </c>
      <c r="N5424" s="4">
        <v>0</v>
      </c>
    </row>
    <row r="5425" spans="1:14" x14ac:dyDescent="0.25">
      <c r="A5425" s="2" t="s">
        <v>134</v>
      </c>
      <c r="B5425" s="2" t="s">
        <v>135</v>
      </c>
      <c r="C5425" s="3">
        <v>2.08</v>
      </c>
      <c r="D5425" s="4">
        <v>26.374400000000001</v>
      </c>
      <c r="E5425" s="4">
        <v>14.768000000000001</v>
      </c>
      <c r="F5425" s="4">
        <f t="shared" si="309"/>
        <v>11.606400000000001</v>
      </c>
      <c r="G5425" s="5">
        <f t="shared" si="310"/>
        <v>0.44006309148264983</v>
      </c>
      <c r="H5425" s="2" t="s">
        <v>5</v>
      </c>
      <c r="I5425" s="6" t="s">
        <v>2300</v>
      </c>
      <c r="J5425" s="2" t="s">
        <v>5</v>
      </c>
      <c r="K5425" s="2" t="s">
        <v>5</v>
      </c>
      <c r="L5425" s="2" t="s">
        <v>5</v>
      </c>
      <c r="M5425" s="2" t="s">
        <v>5</v>
      </c>
      <c r="N5425" s="4">
        <v>0</v>
      </c>
    </row>
    <row r="5426" spans="1:14" x14ac:dyDescent="0.25">
      <c r="A5426" s="2" t="s">
        <v>134</v>
      </c>
      <c r="B5426" s="2" t="s">
        <v>135</v>
      </c>
      <c r="C5426" s="3">
        <v>15.25</v>
      </c>
      <c r="D5426" s="4">
        <v>189.5575</v>
      </c>
      <c r="E5426" s="4">
        <v>108.27500000000001</v>
      </c>
      <c r="F5426" s="4">
        <f t="shared" si="309"/>
        <v>81.282499999999999</v>
      </c>
      <c r="G5426" s="5">
        <f t="shared" si="310"/>
        <v>0.42880128720836685</v>
      </c>
      <c r="H5426" s="2" t="s">
        <v>5</v>
      </c>
      <c r="I5426" s="6" t="s">
        <v>2300</v>
      </c>
      <c r="J5426" s="2" t="s">
        <v>5</v>
      </c>
      <c r="K5426" s="2" t="s">
        <v>5</v>
      </c>
      <c r="L5426" s="2" t="s">
        <v>5</v>
      </c>
      <c r="M5426" s="2" t="s">
        <v>5</v>
      </c>
      <c r="N5426" s="4">
        <v>0</v>
      </c>
    </row>
    <row r="5427" spans="1:14" x14ac:dyDescent="0.25">
      <c r="A5427" s="2" t="s">
        <v>134</v>
      </c>
      <c r="B5427" s="2" t="s">
        <v>135</v>
      </c>
      <c r="C5427" s="3">
        <v>7.25</v>
      </c>
      <c r="D5427" s="4">
        <v>91.93</v>
      </c>
      <c r="E5427" s="4">
        <v>51.475000000000001</v>
      </c>
      <c r="F5427" s="4">
        <f t="shared" si="309"/>
        <v>40.455000000000005</v>
      </c>
      <c r="G5427" s="5">
        <f t="shared" si="310"/>
        <v>0.44006309148264988</v>
      </c>
      <c r="H5427" s="2" t="s">
        <v>5</v>
      </c>
      <c r="I5427" s="6" t="s">
        <v>2300</v>
      </c>
      <c r="J5427" s="2" t="s">
        <v>5</v>
      </c>
      <c r="K5427" s="2" t="s">
        <v>5</v>
      </c>
      <c r="L5427" s="2" t="s">
        <v>5</v>
      </c>
      <c r="M5427" s="2" t="s">
        <v>5</v>
      </c>
      <c r="N5427" s="4">
        <v>0</v>
      </c>
    </row>
    <row r="5428" spans="1:14" x14ac:dyDescent="0.25">
      <c r="A5428" s="2" t="s">
        <v>134</v>
      </c>
      <c r="B5428" s="2" t="s">
        <v>135</v>
      </c>
      <c r="C5428" s="3">
        <v>4.04</v>
      </c>
      <c r="D5428" s="4">
        <v>51.227200000000003</v>
      </c>
      <c r="E5428" s="4">
        <v>28.684000000000001</v>
      </c>
      <c r="F5428" s="4">
        <f t="shared" si="309"/>
        <v>22.543200000000002</v>
      </c>
      <c r="G5428" s="5">
        <f t="shared" si="310"/>
        <v>0.44006309148264988</v>
      </c>
      <c r="H5428" s="2" t="s">
        <v>5</v>
      </c>
      <c r="I5428" s="6" t="s">
        <v>2300</v>
      </c>
      <c r="J5428" s="2" t="s">
        <v>5</v>
      </c>
      <c r="K5428" s="2" t="s">
        <v>5</v>
      </c>
      <c r="L5428" s="2" t="s">
        <v>5</v>
      </c>
      <c r="M5428" s="2" t="s">
        <v>5</v>
      </c>
      <c r="N5428" s="4">
        <v>0</v>
      </c>
    </row>
    <row r="5429" spans="1:14" x14ac:dyDescent="0.25">
      <c r="A5429" s="2" t="s">
        <v>134</v>
      </c>
      <c r="B5429" s="2" t="s">
        <v>135</v>
      </c>
      <c r="C5429" s="3">
        <v>15.34</v>
      </c>
      <c r="D5429" s="4">
        <v>164.29140000000001</v>
      </c>
      <c r="E5429" s="4">
        <v>108.914</v>
      </c>
      <c r="F5429" s="4">
        <f t="shared" si="309"/>
        <v>55.377400000000009</v>
      </c>
      <c r="G5429" s="5">
        <f t="shared" si="310"/>
        <v>0.33706816059757239</v>
      </c>
      <c r="H5429" s="2" t="s">
        <v>5</v>
      </c>
      <c r="I5429" s="6" t="s">
        <v>2300</v>
      </c>
      <c r="J5429" s="2" t="s">
        <v>5</v>
      </c>
      <c r="K5429" s="2" t="s">
        <v>5</v>
      </c>
      <c r="L5429" s="2" t="s">
        <v>5</v>
      </c>
      <c r="M5429" s="2" t="s">
        <v>5</v>
      </c>
      <c r="N5429" s="4">
        <v>0</v>
      </c>
    </row>
    <row r="5430" spans="1:14" x14ac:dyDescent="0.25">
      <c r="A5430" s="2" t="s">
        <v>134</v>
      </c>
      <c r="B5430" s="2" t="s">
        <v>135</v>
      </c>
      <c r="C5430" s="3">
        <v>5.4480000000000004</v>
      </c>
      <c r="D5430" s="4">
        <v>69.080640000000002</v>
      </c>
      <c r="E5430" s="4">
        <v>38.680799999999998</v>
      </c>
      <c r="F5430" s="4">
        <f t="shared" si="309"/>
        <v>30.399840000000005</v>
      </c>
      <c r="G5430" s="5">
        <f t="shared" si="310"/>
        <v>0.44006309148264988</v>
      </c>
      <c r="H5430" s="2" t="s">
        <v>5</v>
      </c>
      <c r="I5430" s="6" t="s">
        <v>2300</v>
      </c>
      <c r="J5430" s="2" t="s">
        <v>5</v>
      </c>
      <c r="K5430" s="2" t="s">
        <v>5</v>
      </c>
      <c r="L5430" s="2" t="s">
        <v>5</v>
      </c>
      <c r="M5430" s="2" t="s">
        <v>5</v>
      </c>
      <c r="N5430" s="4">
        <v>0</v>
      </c>
    </row>
    <row r="5431" spans="1:14" x14ac:dyDescent="0.25">
      <c r="A5431" s="2" t="s">
        <v>134</v>
      </c>
      <c r="B5431" s="2" t="s">
        <v>135</v>
      </c>
      <c r="C5431" s="3">
        <v>14.93</v>
      </c>
      <c r="D5431" s="4">
        <v>146.16470000000001</v>
      </c>
      <c r="E5431" s="4">
        <v>106.003</v>
      </c>
      <c r="F5431" s="4">
        <f t="shared" si="309"/>
        <v>40.16170000000001</v>
      </c>
      <c r="G5431" s="5">
        <f t="shared" si="310"/>
        <v>0.27477017364657819</v>
      </c>
      <c r="H5431" s="2" t="s">
        <v>5</v>
      </c>
      <c r="I5431" s="6" t="s">
        <v>2300</v>
      </c>
      <c r="J5431" s="2" t="s">
        <v>5</v>
      </c>
      <c r="K5431" s="2" t="s">
        <v>5</v>
      </c>
      <c r="L5431" s="2" t="s">
        <v>5</v>
      </c>
      <c r="M5431" s="2" t="s">
        <v>5</v>
      </c>
      <c r="N5431" s="4">
        <v>0</v>
      </c>
    </row>
    <row r="5432" spans="1:14" x14ac:dyDescent="0.25">
      <c r="A5432" s="2" t="s">
        <v>134</v>
      </c>
      <c r="B5432" s="2" t="s">
        <v>135</v>
      </c>
      <c r="C5432" s="3">
        <v>7.11</v>
      </c>
      <c r="D5432" s="4">
        <v>90.154799999999994</v>
      </c>
      <c r="E5432" s="4">
        <v>50.481000000000002</v>
      </c>
      <c r="F5432" s="4">
        <f t="shared" si="309"/>
        <v>39.673799999999993</v>
      </c>
      <c r="G5432" s="5">
        <f t="shared" si="310"/>
        <v>0.44006309148264977</v>
      </c>
      <c r="H5432" s="2" t="s">
        <v>5</v>
      </c>
      <c r="I5432" s="6" t="s">
        <v>2300</v>
      </c>
      <c r="J5432" s="2" t="s">
        <v>5</v>
      </c>
      <c r="K5432" s="2" t="s">
        <v>5</v>
      </c>
      <c r="L5432" s="2" t="s">
        <v>5</v>
      </c>
      <c r="M5432" s="2" t="s">
        <v>5</v>
      </c>
      <c r="N5432" s="4">
        <v>0</v>
      </c>
    </row>
    <row r="5433" spans="1:14" x14ac:dyDescent="0.25">
      <c r="A5433" s="2" t="s">
        <v>134</v>
      </c>
      <c r="B5433" s="2" t="s">
        <v>135</v>
      </c>
      <c r="C5433" s="3">
        <v>3.512</v>
      </c>
      <c r="D5433" s="4">
        <v>44.532159999999998</v>
      </c>
      <c r="E5433" s="4">
        <v>24.935199999999998</v>
      </c>
      <c r="F5433" s="4">
        <f t="shared" si="309"/>
        <v>19.596959999999999</v>
      </c>
      <c r="G5433" s="5">
        <f t="shared" si="310"/>
        <v>0.44006309148264983</v>
      </c>
      <c r="H5433" s="2" t="s">
        <v>5</v>
      </c>
      <c r="I5433" s="6" t="s">
        <v>2300</v>
      </c>
      <c r="J5433" s="2" t="s">
        <v>5</v>
      </c>
      <c r="K5433" s="2" t="s">
        <v>5</v>
      </c>
      <c r="L5433" s="2" t="s">
        <v>5</v>
      </c>
      <c r="M5433" s="2" t="s">
        <v>5</v>
      </c>
      <c r="N5433" s="4">
        <v>0</v>
      </c>
    </row>
    <row r="5434" spans="1:14" x14ac:dyDescent="0.25">
      <c r="A5434" s="2" t="s">
        <v>1166</v>
      </c>
      <c r="B5434" s="2" t="s">
        <v>1167</v>
      </c>
      <c r="C5434" s="3">
        <v>8.56</v>
      </c>
      <c r="D5434" s="4">
        <v>154.85040000000001</v>
      </c>
      <c r="E5434" s="4">
        <v>93.304000000000002</v>
      </c>
      <c r="F5434" s="4">
        <f t="shared" si="309"/>
        <v>61.546400000000006</v>
      </c>
      <c r="G5434" s="5">
        <f t="shared" si="310"/>
        <v>0.39745715865118852</v>
      </c>
      <c r="H5434" s="2" t="s">
        <v>5</v>
      </c>
      <c r="I5434" s="6" t="s">
        <v>2300</v>
      </c>
      <c r="J5434" s="2" t="s">
        <v>5</v>
      </c>
      <c r="K5434" s="2" t="s">
        <v>5</v>
      </c>
      <c r="L5434" s="2" t="s">
        <v>5</v>
      </c>
      <c r="M5434" s="2" t="s">
        <v>5</v>
      </c>
      <c r="N5434" s="4">
        <v>0</v>
      </c>
    </row>
    <row r="5435" spans="1:14" x14ac:dyDescent="0.25">
      <c r="A5435" s="2" t="s">
        <v>1166</v>
      </c>
      <c r="B5435" s="2" t="s">
        <v>1167</v>
      </c>
      <c r="C5435" s="3">
        <v>8.1999999999999993</v>
      </c>
      <c r="D5435" s="4">
        <v>148.33799999999999</v>
      </c>
      <c r="E5435" s="4">
        <v>89.38</v>
      </c>
      <c r="F5435" s="4">
        <f t="shared" si="309"/>
        <v>58.957999999999998</v>
      </c>
      <c r="G5435" s="5">
        <f t="shared" si="310"/>
        <v>0.39745715865118852</v>
      </c>
      <c r="H5435" s="2" t="s">
        <v>5</v>
      </c>
      <c r="I5435" s="6" t="s">
        <v>2300</v>
      </c>
      <c r="J5435" s="2" t="s">
        <v>5</v>
      </c>
      <c r="K5435" s="2" t="s">
        <v>5</v>
      </c>
      <c r="L5435" s="2" t="s">
        <v>5</v>
      </c>
      <c r="M5435" s="2" t="s">
        <v>5</v>
      </c>
      <c r="N5435" s="4">
        <v>0</v>
      </c>
    </row>
    <row r="5436" spans="1:14" x14ac:dyDescent="0.25">
      <c r="A5436" s="2" t="s">
        <v>1166</v>
      </c>
      <c r="B5436" s="2" t="s">
        <v>1167</v>
      </c>
      <c r="C5436" s="3">
        <v>8.14</v>
      </c>
      <c r="D5436" s="4">
        <v>147.2526</v>
      </c>
      <c r="E5436" s="4">
        <v>88.725999999999999</v>
      </c>
      <c r="F5436" s="4">
        <f t="shared" si="309"/>
        <v>58.526600000000002</v>
      </c>
      <c r="G5436" s="5">
        <f t="shared" si="310"/>
        <v>0.39745715865118852</v>
      </c>
      <c r="H5436" s="2" t="s">
        <v>5</v>
      </c>
      <c r="I5436" s="6" t="s">
        <v>2300</v>
      </c>
      <c r="J5436" s="2" t="s">
        <v>5</v>
      </c>
      <c r="K5436" s="2" t="s">
        <v>5</v>
      </c>
      <c r="L5436" s="2" t="s">
        <v>5</v>
      </c>
      <c r="M5436" s="2" t="s">
        <v>5</v>
      </c>
      <c r="N5436" s="4">
        <v>0</v>
      </c>
    </row>
    <row r="5437" spans="1:14" x14ac:dyDescent="0.25">
      <c r="A5437" s="2" t="s">
        <v>2053</v>
      </c>
      <c r="B5437" s="2" t="s">
        <v>2054</v>
      </c>
      <c r="C5437" s="3">
        <v>25.04</v>
      </c>
      <c r="D5437" s="4">
        <v>229.8672</v>
      </c>
      <c r="E5437" s="4">
        <v>182.792</v>
      </c>
      <c r="F5437" s="4">
        <f t="shared" si="309"/>
        <v>47.075199999999995</v>
      </c>
      <c r="G5437" s="5">
        <f t="shared" si="310"/>
        <v>0.20479302832244006</v>
      </c>
      <c r="H5437" s="2" t="s">
        <v>5</v>
      </c>
      <c r="I5437" s="6" t="s">
        <v>2300</v>
      </c>
      <c r="J5437" s="2" t="s">
        <v>5</v>
      </c>
      <c r="K5437" s="2" t="s">
        <v>5</v>
      </c>
      <c r="L5437" s="2" t="s">
        <v>5</v>
      </c>
      <c r="M5437" s="2" t="s">
        <v>5</v>
      </c>
      <c r="N5437" s="4">
        <v>0</v>
      </c>
    </row>
    <row r="5438" spans="1:14" x14ac:dyDescent="0.25">
      <c r="A5438" s="2" t="s">
        <v>1168</v>
      </c>
      <c r="B5438" s="2" t="s">
        <v>1169</v>
      </c>
      <c r="C5438" s="3">
        <v>1</v>
      </c>
      <c r="D5438" s="4">
        <v>34.54</v>
      </c>
      <c r="E5438" s="4">
        <v>23.3</v>
      </c>
      <c r="F5438" s="4">
        <f t="shared" si="309"/>
        <v>11.239999999999998</v>
      </c>
      <c r="G5438" s="5">
        <f t="shared" si="310"/>
        <v>0.32541980312680946</v>
      </c>
      <c r="H5438" s="2" t="s">
        <v>5</v>
      </c>
      <c r="I5438" s="6" t="s">
        <v>2300</v>
      </c>
      <c r="J5438" s="2" t="s">
        <v>5</v>
      </c>
      <c r="K5438" s="2" t="s">
        <v>5</v>
      </c>
      <c r="L5438" s="2" t="s">
        <v>5</v>
      </c>
      <c r="M5438" s="2" t="s">
        <v>5</v>
      </c>
      <c r="N5438" s="4">
        <v>0</v>
      </c>
    </row>
    <row r="5439" spans="1:14" x14ac:dyDescent="0.25">
      <c r="A5439" s="2" t="s">
        <v>1168</v>
      </c>
      <c r="B5439" s="2" t="s">
        <v>1169</v>
      </c>
      <c r="C5439" s="3">
        <v>1</v>
      </c>
      <c r="D5439" s="4">
        <v>34.54</v>
      </c>
      <c r="E5439" s="4">
        <v>23.3</v>
      </c>
      <c r="F5439" s="4">
        <f t="shared" si="309"/>
        <v>11.239999999999998</v>
      </c>
      <c r="G5439" s="5">
        <f t="shared" si="310"/>
        <v>0.32541980312680946</v>
      </c>
      <c r="H5439" s="2" t="s">
        <v>5</v>
      </c>
      <c r="I5439" s="6" t="s">
        <v>2300</v>
      </c>
      <c r="J5439" s="2" t="s">
        <v>5</v>
      </c>
      <c r="K5439" s="2" t="s">
        <v>5</v>
      </c>
      <c r="L5439" s="2" t="s">
        <v>5</v>
      </c>
      <c r="M5439" s="2" t="s">
        <v>5</v>
      </c>
      <c r="N5439" s="4">
        <v>0</v>
      </c>
    </row>
    <row r="5440" spans="1:14" x14ac:dyDescent="0.25">
      <c r="A5440" s="2" t="s">
        <v>1170</v>
      </c>
      <c r="B5440" s="2" t="s">
        <v>1171</v>
      </c>
      <c r="C5440" s="3">
        <v>1</v>
      </c>
      <c r="D5440" s="4">
        <v>29.58</v>
      </c>
      <c r="E5440" s="4">
        <v>19.95</v>
      </c>
      <c r="F5440" s="4">
        <f t="shared" si="309"/>
        <v>9.629999999999999</v>
      </c>
      <c r="G5440" s="5">
        <f t="shared" si="310"/>
        <v>0.32555780933062878</v>
      </c>
      <c r="H5440" s="2" t="s">
        <v>5</v>
      </c>
      <c r="I5440" s="6" t="s">
        <v>2300</v>
      </c>
      <c r="J5440" s="2" t="s">
        <v>5</v>
      </c>
      <c r="K5440" s="2" t="s">
        <v>5</v>
      </c>
      <c r="L5440" s="2" t="s">
        <v>5</v>
      </c>
      <c r="M5440" s="2" t="s">
        <v>5</v>
      </c>
      <c r="N5440" s="4">
        <v>0</v>
      </c>
    </row>
    <row r="5441" spans="1:14" x14ac:dyDescent="0.25">
      <c r="A5441" s="2" t="s">
        <v>1170</v>
      </c>
      <c r="B5441" s="2" t="s">
        <v>1171</v>
      </c>
      <c r="C5441" s="3">
        <v>1</v>
      </c>
      <c r="D5441" s="4">
        <v>29.58</v>
      </c>
      <c r="E5441" s="4">
        <v>19.95</v>
      </c>
      <c r="F5441" s="4">
        <f t="shared" si="309"/>
        <v>9.629999999999999</v>
      </c>
      <c r="G5441" s="5">
        <f t="shared" si="310"/>
        <v>0.32555780933062878</v>
      </c>
      <c r="H5441" s="2" t="s">
        <v>5</v>
      </c>
      <c r="I5441" s="6" t="s">
        <v>2300</v>
      </c>
      <c r="J5441" s="2" t="s">
        <v>5</v>
      </c>
      <c r="K5441" s="2" t="s">
        <v>5</v>
      </c>
      <c r="L5441" s="2" t="s">
        <v>5</v>
      </c>
      <c r="M5441" s="2" t="s">
        <v>5</v>
      </c>
      <c r="N5441" s="4">
        <v>0</v>
      </c>
    </row>
    <row r="5442" spans="1:14" x14ac:dyDescent="0.25">
      <c r="A5442" s="2" t="s">
        <v>1170</v>
      </c>
      <c r="B5442" s="2" t="s">
        <v>1171</v>
      </c>
      <c r="C5442" s="3">
        <v>1</v>
      </c>
      <c r="D5442" s="4">
        <v>29.58</v>
      </c>
      <c r="E5442" s="4">
        <v>19.95</v>
      </c>
      <c r="F5442" s="4">
        <f t="shared" si="309"/>
        <v>9.629999999999999</v>
      </c>
      <c r="G5442" s="5">
        <f t="shared" si="310"/>
        <v>0.32555780933062878</v>
      </c>
      <c r="H5442" s="2" t="s">
        <v>5</v>
      </c>
      <c r="I5442" s="6" t="s">
        <v>2300</v>
      </c>
      <c r="J5442" s="2" t="s">
        <v>5</v>
      </c>
      <c r="K5442" s="2" t="s">
        <v>5</v>
      </c>
      <c r="L5442" s="2" t="s">
        <v>5</v>
      </c>
      <c r="M5442" s="2" t="s">
        <v>5</v>
      </c>
      <c r="N5442" s="4">
        <v>0</v>
      </c>
    </row>
    <row r="5443" spans="1:14" x14ac:dyDescent="0.25">
      <c r="A5443" s="2" t="s">
        <v>1192</v>
      </c>
      <c r="B5443" s="2" t="s">
        <v>1193</v>
      </c>
      <c r="C5443" s="3">
        <v>4</v>
      </c>
      <c r="D5443" s="4">
        <v>106.76</v>
      </c>
      <c r="E5443" s="4">
        <v>72</v>
      </c>
      <c r="F5443" s="4">
        <f t="shared" si="309"/>
        <v>34.760000000000005</v>
      </c>
      <c r="G5443" s="5">
        <f t="shared" si="310"/>
        <v>0.32559010865492699</v>
      </c>
      <c r="H5443" s="2" t="s">
        <v>5</v>
      </c>
      <c r="I5443" s="6" t="s">
        <v>2300</v>
      </c>
      <c r="J5443" s="2" t="s">
        <v>5</v>
      </c>
      <c r="K5443" s="2" t="s">
        <v>5</v>
      </c>
      <c r="L5443" s="2" t="s">
        <v>5</v>
      </c>
      <c r="M5443" s="2" t="s">
        <v>5</v>
      </c>
      <c r="N5443" s="4">
        <v>0</v>
      </c>
    </row>
    <row r="5444" spans="1:14" x14ac:dyDescent="0.25">
      <c r="A5444" s="2" t="s">
        <v>1113</v>
      </c>
      <c r="B5444" s="2" t="s">
        <v>1114</v>
      </c>
      <c r="C5444" s="3">
        <v>2</v>
      </c>
      <c r="D5444" s="4">
        <v>51.96</v>
      </c>
      <c r="E5444" s="4">
        <v>35</v>
      </c>
      <c r="F5444" s="4">
        <f t="shared" si="309"/>
        <v>16.96</v>
      </c>
      <c r="G5444" s="5">
        <f t="shared" si="310"/>
        <v>0.32640492686682065</v>
      </c>
      <c r="H5444" s="2" t="s">
        <v>5</v>
      </c>
      <c r="I5444" s="6" t="s">
        <v>2300</v>
      </c>
      <c r="J5444" s="2" t="s">
        <v>5</v>
      </c>
      <c r="K5444" s="2" t="s">
        <v>5</v>
      </c>
      <c r="L5444" s="2" t="s">
        <v>5</v>
      </c>
      <c r="M5444" s="2" t="s">
        <v>5</v>
      </c>
      <c r="N5444" s="4">
        <v>0</v>
      </c>
    </row>
    <row r="5445" spans="1:14" x14ac:dyDescent="0.25">
      <c r="A5445" s="2" t="s">
        <v>1113</v>
      </c>
      <c r="B5445" s="2" t="s">
        <v>1114</v>
      </c>
      <c r="C5445" s="3">
        <v>4</v>
      </c>
      <c r="D5445" s="4">
        <v>103.92</v>
      </c>
      <c r="E5445" s="4">
        <v>70</v>
      </c>
      <c r="F5445" s="4">
        <f t="shared" si="309"/>
        <v>33.92</v>
      </c>
      <c r="G5445" s="5">
        <f t="shared" si="310"/>
        <v>0.32640492686682065</v>
      </c>
      <c r="H5445" s="2" t="s">
        <v>5</v>
      </c>
      <c r="I5445" s="6" t="s">
        <v>2300</v>
      </c>
      <c r="J5445" s="2" t="s">
        <v>5</v>
      </c>
      <c r="K5445" s="2" t="s">
        <v>5</v>
      </c>
      <c r="L5445" s="2" t="s">
        <v>5</v>
      </c>
      <c r="M5445" s="2" t="s">
        <v>5</v>
      </c>
      <c r="N5445" s="4">
        <v>0</v>
      </c>
    </row>
    <row r="5446" spans="1:14" x14ac:dyDescent="0.25">
      <c r="A5446" s="2" t="s">
        <v>1113</v>
      </c>
      <c r="B5446" s="2" t="s">
        <v>1114</v>
      </c>
      <c r="C5446" s="3">
        <v>2</v>
      </c>
      <c r="D5446" s="4">
        <v>51.96</v>
      </c>
      <c r="E5446" s="4">
        <v>35</v>
      </c>
      <c r="F5446" s="4">
        <f t="shared" si="309"/>
        <v>16.96</v>
      </c>
      <c r="G5446" s="5">
        <f t="shared" si="310"/>
        <v>0.32640492686682065</v>
      </c>
      <c r="H5446" s="2" t="s">
        <v>5</v>
      </c>
      <c r="I5446" s="6" t="s">
        <v>2300</v>
      </c>
      <c r="J5446" s="2" t="s">
        <v>5</v>
      </c>
      <c r="K5446" s="2" t="s">
        <v>5</v>
      </c>
      <c r="L5446" s="2" t="s">
        <v>5</v>
      </c>
      <c r="M5446" s="2" t="s">
        <v>5</v>
      </c>
      <c r="N5446" s="4">
        <v>0</v>
      </c>
    </row>
    <row r="5447" spans="1:14" x14ac:dyDescent="0.25">
      <c r="A5447" s="2" t="s">
        <v>1113</v>
      </c>
      <c r="B5447" s="2" t="s">
        <v>1114</v>
      </c>
      <c r="C5447" s="3">
        <v>2</v>
      </c>
      <c r="D5447" s="4">
        <v>51.96</v>
      </c>
      <c r="E5447" s="4">
        <v>35</v>
      </c>
      <c r="F5447" s="4">
        <f t="shared" si="309"/>
        <v>16.96</v>
      </c>
      <c r="G5447" s="5">
        <f t="shared" si="310"/>
        <v>0.32640492686682065</v>
      </c>
      <c r="H5447" s="2" t="s">
        <v>5</v>
      </c>
      <c r="I5447" s="6" t="s">
        <v>2300</v>
      </c>
      <c r="J5447" s="2" t="s">
        <v>5</v>
      </c>
      <c r="K5447" s="2" t="s">
        <v>5</v>
      </c>
      <c r="L5447" s="2" t="s">
        <v>5</v>
      </c>
      <c r="M5447" s="2" t="s">
        <v>5</v>
      </c>
      <c r="N5447" s="4">
        <v>0</v>
      </c>
    </row>
    <row r="5448" spans="1:14" x14ac:dyDescent="0.25">
      <c r="A5448" s="2" t="s">
        <v>1113</v>
      </c>
      <c r="B5448" s="2" t="s">
        <v>1114</v>
      </c>
      <c r="C5448" s="3">
        <v>4</v>
      </c>
      <c r="D5448" s="4">
        <v>103.92</v>
      </c>
      <c r="E5448" s="4">
        <v>70</v>
      </c>
      <c r="F5448" s="4">
        <f t="shared" si="309"/>
        <v>33.92</v>
      </c>
      <c r="G5448" s="5">
        <f t="shared" si="310"/>
        <v>0.32640492686682065</v>
      </c>
      <c r="H5448" s="2" t="s">
        <v>5</v>
      </c>
      <c r="I5448" s="6" t="s">
        <v>2300</v>
      </c>
      <c r="J5448" s="2" t="s">
        <v>5</v>
      </c>
      <c r="K5448" s="2" t="s">
        <v>5</v>
      </c>
      <c r="L5448" s="2" t="s">
        <v>5</v>
      </c>
      <c r="M5448" s="2" t="s">
        <v>5</v>
      </c>
      <c r="N5448" s="4">
        <v>0</v>
      </c>
    </row>
    <row r="5449" spans="1:14" x14ac:dyDescent="0.25">
      <c r="A5449" s="2" t="s">
        <v>2144</v>
      </c>
      <c r="B5449" s="2" t="s">
        <v>2145</v>
      </c>
      <c r="C5449" s="3">
        <v>6.89</v>
      </c>
      <c r="D5449" s="4">
        <v>101.4208</v>
      </c>
      <c r="E5449" s="4">
        <v>85.436000000000007</v>
      </c>
      <c r="F5449" s="4">
        <f t="shared" si="309"/>
        <v>15.984799999999993</v>
      </c>
      <c r="G5449" s="5">
        <f t="shared" si="310"/>
        <v>0.15760869565217384</v>
      </c>
      <c r="H5449" s="2" t="s">
        <v>5</v>
      </c>
      <c r="I5449" s="6" t="s">
        <v>2300</v>
      </c>
      <c r="J5449" s="2" t="s">
        <v>5</v>
      </c>
      <c r="K5449" s="2" t="s">
        <v>5</v>
      </c>
      <c r="L5449" s="2" t="s">
        <v>5</v>
      </c>
      <c r="M5449" s="2" t="s">
        <v>5</v>
      </c>
      <c r="N5449" s="4">
        <v>0</v>
      </c>
    </row>
    <row r="5450" spans="1:14" x14ac:dyDescent="0.25">
      <c r="A5450" s="2" t="s">
        <v>583</v>
      </c>
      <c r="B5450" s="2" t="s">
        <v>584</v>
      </c>
      <c r="C5450" s="3">
        <v>16.742000000000001</v>
      </c>
      <c r="D5450" s="4">
        <v>230.36992000000001</v>
      </c>
      <c r="E5450" s="4">
        <v>125.565</v>
      </c>
      <c r="F5450" s="4">
        <f t="shared" si="309"/>
        <v>104.80492000000001</v>
      </c>
      <c r="G5450" s="5">
        <f t="shared" si="310"/>
        <v>0.45494186046511631</v>
      </c>
      <c r="H5450" s="2" t="s">
        <v>5</v>
      </c>
      <c r="I5450" s="6" t="s">
        <v>2300</v>
      </c>
      <c r="J5450" s="2" t="s">
        <v>5</v>
      </c>
      <c r="K5450" s="2" t="s">
        <v>5</v>
      </c>
      <c r="L5450" s="2" t="s">
        <v>5</v>
      </c>
      <c r="M5450" s="2" t="s">
        <v>5</v>
      </c>
      <c r="N5450" s="4">
        <v>0</v>
      </c>
    </row>
    <row r="5451" spans="1:14" x14ac:dyDescent="0.25">
      <c r="A5451" s="2" t="s">
        <v>583</v>
      </c>
      <c r="B5451" s="2" t="s">
        <v>584</v>
      </c>
      <c r="C5451" s="3">
        <v>71.22</v>
      </c>
      <c r="D5451" s="4">
        <v>740.68799999999999</v>
      </c>
      <c r="E5451" s="4">
        <v>534.15</v>
      </c>
      <c r="F5451" s="4">
        <f t="shared" si="309"/>
        <v>206.53800000000001</v>
      </c>
      <c r="G5451" s="5">
        <f t="shared" si="310"/>
        <v>0.27884615384615385</v>
      </c>
      <c r="H5451" s="2" t="s">
        <v>5</v>
      </c>
      <c r="I5451" s="6" t="s">
        <v>2300</v>
      </c>
      <c r="J5451" s="2" t="s">
        <v>5</v>
      </c>
      <c r="K5451" s="2" t="s">
        <v>5</v>
      </c>
      <c r="L5451" s="2" t="s">
        <v>5</v>
      </c>
      <c r="M5451" s="2" t="s">
        <v>5</v>
      </c>
      <c r="N5451" s="4">
        <v>0</v>
      </c>
    </row>
    <row r="5452" spans="1:14" x14ac:dyDescent="0.25">
      <c r="A5452" s="2" t="s">
        <v>583</v>
      </c>
      <c r="B5452" s="2" t="s">
        <v>584</v>
      </c>
      <c r="C5452" s="3">
        <v>52.79</v>
      </c>
      <c r="D5452" s="4">
        <v>549.01599999999996</v>
      </c>
      <c r="E5452" s="4">
        <v>395.92500000000001</v>
      </c>
      <c r="F5452" s="4">
        <f t="shared" si="309"/>
        <v>153.09099999999995</v>
      </c>
      <c r="G5452" s="5">
        <f t="shared" si="310"/>
        <v>0.2788461538461538</v>
      </c>
      <c r="H5452" s="2" t="s">
        <v>5</v>
      </c>
      <c r="I5452" s="6" t="s">
        <v>2300</v>
      </c>
      <c r="J5452" s="2" t="s">
        <v>5</v>
      </c>
      <c r="K5452" s="2" t="s">
        <v>5</v>
      </c>
      <c r="L5452" s="2" t="s">
        <v>5</v>
      </c>
      <c r="M5452" s="2" t="s">
        <v>5</v>
      </c>
      <c r="N5452" s="4">
        <v>0</v>
      </c>
    </row>
    <row r="5453" spans="1:14" x14ac:dyDescent="0.25">
      <c r="A5453" s="2" t="s">
        <v>583</v>
      </c>
      <c r="B5453" s="2" t="s">
        <v>584</v>
      </c>
      <c r="C5453" s="3">
        <v>68.66</v>
      </c>
      <c r="D5453" s="4">
        <v>714.06399999999996</v>
      </c>
      <c r="E5453" s="4">
        <v>514.95000000000005</v>
      </c>
      <c r="F5453" s="4">
        <f t="shared" si="309"/>
        <v>199.11399999999992</v>
      </c>
      <c r="G5453" s="5">
        <f t="shared" si="310"/>
        <v>0.27884615384615374</v>
      </c>
      <c r="H5453" s="2" t="s">
        <v>5</v>
      </c>
      <c r="I5453" s="6" t="s">
        <v>2300</v>
      </c>
      <c r="J5453" s="2" t="s">
        <v>5</v>
      </c>
      <c r="K5453" s="2" t="s">
        <v>5</v>
      </c>
      <c r="L5453" s="2" t="s">
        <v>5</v>
      </c>
      <c r="M5453" s="2" t="s">
        <v>5</v>
      </c>
      <c r="N5453" s="4">
        <v>0</v>
      </c>
    </row>
    <row r="5454" spans="1:14" x14ac:dyDescent="0.25">
      <c r="A5454" s="2" t="s">
        <v>583</v>
      </c>
      <c r="B5454" s="2" t="s">
        <v>584</v>
      </c>
      <c r="C5454" s="3">
        <v>24.603999999999999</v>
      </c>
      <c r="D5454" s="4">
        <v>324.77280000000002</v>
      </c>
      <c r="E5454" s="4">
        <v>184.53</v>
      </c>
      <c r="F5454" s="4">
        <f t="shared" si="309"/>
        <v>140.24280000000002</v>
      </c>
      <c r="G5454" s="5">
        <f t="shared" si="310"/>
        <v>0.43181818181818182</v>
      </c>
      <c r="H5454" s="2" t="s">
        <v>5</v>
      </c>
      <c r="I5454" s="6" t="s">
        <v>2300</v>
      </c>
      <c r="J5454" s="2" t="s">
        <v>5</v>
      </c>
      <c r="K5454" s="2" t="s">
        <v>5</v>
      </c>
      <c r="L5454" s="2" t="s">
        <v>5</v>
      </c>
      <c r="M5454" s="2" t="s">
        <v>5</v>
      </c>
      <c r="N5454" s="4">
        <v>0</v>
      </c>
    </row>
    <row r="5455" spans="1:14" x14ac:dyDescent="0.25">
      <c r="A5455" s="2" t="s">
        <v>583</v>
      </c>
      <c r="B5455" s="2" t="s">
        <v>584</v>
      </c>
      <c r="C5455" s="3">
        <v>63.43</v>
      </c>
      <c r="D5455" s="4">
        <v>868.99099999999999</v>
      </c>
      <c r="E5455" s="4">
        <v>475.72500000000002</v>
      </c>
      <c r="F5455" s="4">
        <f t="shared" si="309"/>
        <v>393.26599999999996</v>
      </c>
      <c r="G5455" s="5">
        <f t="shared" si="310"/>
        <v>0.45255474452554739</v>
      </c>
      <c r="H5455" s="2" t="s">
        <v>5</v>
      </c>
      <c r="I5455" s="6" t="s">
        <v>2300</v>
      </c>
      <c r="J5455" s="2" t="s">
        <v>5</v>
      </c>
      <c r="K5455" s="2" t="s">
        <v>5</v>
      </c>
      <c r="L5455" s="2" t="s">
        <v>5</v>
      </c>
      <c r="M5455" s="2" t="s">
        <v>5</v>
      </c>
      <c r="N5455" s="4">
        <v>0</v>
      </c>
    </row>
    <row r="5456" spans="1:14" x14ac:dyDescent="0.25">
      <c r="A5456" s="2" t="s">
        <v>583</v>
      </c>
      <c r="B5456" s="2" t="s">
        <v>584</v>
      </c>
      <c r="C5456" s="3">
        <v>22.79</v>
      </c>
      <c r="D5456" s="4">
        <v>312.22300000000001</v>
      </c>
      <c r="E5456" s="4">
        <v>170.92500000000001</v>
      </c>
      <c r="F5456" s="4">
        <f t="shared" si="309"/>
        <v>141.298</v>
      </c>
      <c r="G5456" s="5">
        <f t="shared" si="310"/>
        <v>0.45255474452554745</v>
      </c>
      <c r="H5456" s="2" t="s">
        <v>5</v>
      </c>
      <c r="I5456" s="6" t="s">
        <v>2300</v>
      </c>
      <c r="J5456" s="2" t="s">
        <v>5</v>
      </c>
      <c r="K5456" s="2" t="s">
        <v>5</v>
      </c>
      <c r="L5456" s="2" t="s">
        <v>5</v>
      </c>
      <c r="M5456" s="2" t="s">
        <v>5</v>
      </c>
      <c r="N5456" s="4">
        <v>0</v>
      </c>
    </row>
    <row r="5457" spans="1:14" x14ac:dyDescent="0.25">
      <c r="A5457" s="2" t="s">
        <v>1035</v>
      </c>
      <c r="B5457" s="2" t="s">
        <v>1036</v>
      </c>
      <c r="C5457" s="3">
        <v>10.029999999999999</v>
      </c>
      <c r="D5457" s="4">
        <v>37.311599999999999</v>
      </c>
      <c r="E5457" s="4">
        <v>23.068999999999999</v>
      </c>
      <c r="F5457" s="4">
        <f t="shared" si="309"/>
        <v>14.242599999999999</v>
      </c>
      <c r="G5457" s="5">
        <f t="shared" si="310"/>
        <v>0.38172043010752688</v>
      </c>
      <c r="H5457" s="2" t="s">
        <v>5</v>
      </c>
      <c r="I5457" s="6" t="s">
        <v>2300</v>
      </c>
      <c r="J5457" s="2" t="s">
        <v>5</v>
      </c>
      <c r="K5457" s="2" t="s">
        <v>5</v>
      </c>
      <c r="L5457" s="2" t="s">
        <v>5</v>
      </c>
      <c r="M5457" s="2" t="s">
        <v>5</v>
      </c>
      <c r="N5457" s="4">
        <v>0</v>
      </c>
    </row>
    <row r="5458" spans="1:14" x14ac:dyDescent="0.25">
      <c r="A5458" s="2" t="s">
        <v>1035</v>
      </c>
      <c r="B5458" s="2" t="s">
        <v>1036</v>
      </c>
      <c r="C5458" s="3">
        <v>11.2</v>
      </c>
      <c r="D5458" s="4">
        <v>41.664000000000001</v>
      </c>
      <c r="E5458" s="4">
        <v>25.76</v>
      </c>
      <c r="F5458" s="4">
        <f t="shared" si="309"/>
        <v>15.904</v>
      </c>
      <c r="G5458" s="5">
        <f t="shared" si="310"/>
        <v>0.38172043010752688</v>
      </c>
      <c r="H5458" s="2" t="s">
        <v>5</v>
      </c>
      <c r="I5458" s="6" t="s">
        <v>2300</v>
      </c>
      <c r="J5458" s="2" t="s">
        <v>5</v>
      </c>
      <c r="K5458" s="2" t="s">
        <v>5</v>
      </c>
      <c r="L5458" s="2" t="s">
        <v>5</v>
      </c>
      <c r="M5458" s="2" t="s">
        <v>5</v>
      </c>
      <c r="N5458" s="4">
        <v>0</v>
      </c>
    </row>
    <row r="5459" spans="1:14" x14ac:dyDescent="0.25">
      <c r="A5459" s="2" t="s">
        <v>1035</v>
      </c>
      <c r="B5459" s="2" t="s">
        <v>1036</v>
      </c>
      <c r="C5459" s="3">
        <v>10.18</v>
      </c>
      <c r="D5459" s="4">
        <v>37.869599999999998</v>
      </c>
      <c r="E5459" s="4">
        <v>23.414000000000001</v>
      </c>
      <c r="F5459" s="4">
        <f t="shared" si="309"/>
        <v>14.455599999999997</v>
      </c>
      <c r="G5459" s="5">
        <f t="shared" si="310"/>
        <v>0.38172043010752682</v>
      </c>
      <c r="H5459" s="2" t="s">
        <v>5</v>
      </c>
      <c r="I5459" s="6" t="s">
        <v>2300</v>
      </c>
      <c r="J5459" s="2" t="s">
        <v>5</v>
      </c>
      <c r="K5459" s="2" t="s">
        <v>5</v>
      </c>
      <c r="L5459" s="2" t="s">
        <v>5</v>
      </c>
      <c r="M5459" s="2" t="s">
        <v>5</v>
      </c>
      <c r="N5459" s="4">
        <v>0</v>
      </c>
    </row>
    <row r="5460" spans="1:14" x14ac:dyDescent="0.25">
      <c r="A5460" s="2" t="s">
        <v>336</v>
      </c>
      <c r="B5460" s="2" t="s">
        <v>337</v>
      </c>
      <c r="C5460" s="3">
        <v>7.62</v>
      </c>
      <c r="D5460" s="4">
        <v>74.828400000000002</v>
      </c>
      <c r="E5460" s="4">
        <v>49.53</v>
      </c>
      <c r="F5460" s="4">
        <f t="shared" si="309"/>
        <v>25.298400000000001</v>
      </c>
      <c r="G5460" s="5">
        <f t="shared" si="310"/>
        <v>0.3380855397148676</v>
      </c>
      <c r="H5460" s="2" t="s">
        <v>5</v>
      </c>
      <c r="I5460" s="6" t="s">
        <v>2300</v>
      </c>
      <c r="J5460" s="2" t="s">
        <v>5</v>
      </c>
      <c r="K5460" s="2" t="s">
        <v>5</v>
      </c>
      <c r="L5460" s="2" t="s">
        <v>5</v>
      </c>
      <c r="M5460" s="2" t="s">
        <v>5</v>
      </c>
      <c r="N5460" s="4">
        <v>0</v>
      </c>
    </row>
    <row r="5461" spans="1:14" x14ac:dyDescent="0.25">
      <c r="A5461" s="2" t="s">
        <v>336</v>
      </c>
      <c r="B5461" s="2" t="s">
        <v>337</v>
      </c>
      <c r="C5461" s="3">
        <v>6.21</v>
      </c>
      <c r="D5461" s="4">
        <v>60.982199999999999</v>
      </c>
      <c r="E5461" s="4">
        <v>40.365000000000002</v>
      </c>
      <c r="F5461" s="4">
        <f t="shared" si="309"/>
        <v>20.617199999999997</v>
      </c>
      <c r="G5461" s="5">
        <f t="shared" si="310"/>
        <v>0.33808553971486754</v>
      </c>
      <c r="H5461" s="2" t="s">
        <v>5</v>
      </c>
      <c r="I5461" s="6" t="s">
        <v>2300</v>
      </c>
      <c r="J5461" s="2" t="s">
        <v>5</v>
      </c>
      <c r="K5461" s="2" t="s">
        <v>5</v>
      </c>
      <c r="L5461" s="2" t="s">
        <v>5</v>
      </c>
      <c r="M5461" s="2" t="s">
        <v>5</v>
      </c>
      <c r="N5461" s="4">
        <v>0</v>
      </c>
    </row>
    <row r="5462" spans="1:14" x14ac:dyDescent="0.25">
      <c r="A5462" s="2" t="s">
        <v>585</v>
      </c>
      <c r="B5462" s="2" t="s">
        <v>586</v>
      </c>
      <c r="C5462" s="3">
        <v>5.2279999999999998</v>
      </c>
      <c r="D5462" s="4">
        <v>102.10284</v>
      </c>
      <c r="E5462" s="4">
        <v>79.727000000000004</v>
      </c>
      <c r="F5462" s="4">
        <f t="shared" si="309"/>
        <v>22.375839999999997</v>
      </c>
      <c r="G5462" s="5">
        <f t="shared" si="310"/>
        <v>0.21915002560163846</v>
      </c>
      <c r="H5462" s="2" t="s">
        <v>5</v>
      </c>
      <c r="I5462" s="6" t="s">
        <v>2300</v>
      </c>
      <c r="J5462" s="2" t="s">
        <v>5</v>
      </c>
      <c r="K5462" s="2" t="s">
        <v>5</v>
      </c>
      <c r="L5462" s="2" t="s">
        <v>5</v>
      </c>
      <c r="M5462" s="2" t="s">
        <v>5</v>
      </c>
      <c r="N5462" s="4">
        <v>0</v>
      </c>
    </row>
    <row r="5463" spans="1:14" x14ac:dyDescent="0.25">
      <c r="A5463" s="2" t="s">
        <v>585</v>
      </c>
      <c r="B5463" s="2" t="s">
        <v>586</v>
      </c>
      <c r="C5463" s="3">
        <v>14.845000000000001</v>
      </c>
      <c r="D5463" s="4">
        <v>290.3682</v>
      </c>
      <c r="E5463" s="4">
        <v>226.38624999999999</v>
      </c>
      <c r="F5463" s="4">
        <f t="shared" si="309"/>
        <v>63.981950000000012</v>
      </c>
      <c r="G5463" s="5">
        <f t="shared" si="310"/>
        <v>0.22034764826175873</v>
      </c>
      <c r="H5463" s="2" t="s">
        <v>5</v>
      </c>
      <c r="I5463" s="6" t="s">
        <v>2300</v>
      </c>
      <c r="J5463" s="2" t="s">
        <v>5</v>
      </c>
      <c r="K5463" s="2" t="s">
        <v>5</v>
      </c>
      <c r="L5463" s="2" t="s">
        <v>5</v>
      </c>
      <c r="M5463" s="2" t="s">
        <v>5</v>
      </c>
      <c r="N5463" s="4">
        <v>0</v>
      </c>
    </row>
    <row r="5464" spans="1:14" x14ac:dyDescent="0.25">
      <c r="A5464" s="2" t="s">
        <v>585</v>
      </c>
      <c r="B5464" s="2" t="s">
        <v>586</v>
      </c>
      <c r="C5464" s="3">
        <v>15.872</v>
      </c>
      <c r="D5464" s="4">
        <v>296.64767999999998</v>
      </c>
      <c r="E5464" s="4">
        <v>242.048</v>
      </c>
      <c r="F5464" s="4">
        <f t="shared" si="309"/>
        <v>54.599679999999978</v>
      </c>
      <c r="G5464" s="5">
        <f t="shared" si="310"/>
        <v>0.18405564472980196</v>
      </c>
      <c r="H5464" s="2" t="s">
        <v>5</v>
      </c>
      <c r="I5464" s="6" t="s">
        <v>2300</v>
      </c>
      <c r="J5464" s="2" t="s">
        <v>5</v>
      </c>
      <c r="K5464" s="2" t="s">
        <v>5</v>
      </c>
      <c r="L5464" s="2" t="s">
        <v>5</v>
      </c>
      <c r="M5464" s="2" t="s">
        <v>5</v>
      </c>
      <c r="N5464" s="4">
        <v>0</v>
      </c>
    </row>
    <row r="5465" spans="1:14" x14ac:dyDescent="0.25">
      <c r="A5465" s="2" t="s">
        <v>585</v>
      </c>
      <c r="B5465" s="2" t="s">
        <v>586</v>
      </c>
      <c r="C5465" s="3">
        <v>61.53</v>
      </c>
      <c r="D5465" s="4">
        <v>1121.6919</v>
      </c>
      <c r="E5465" s="4">
        <v>938.33249999999998</v>
      </c>
      <c r="F5465" s="4">
        <f t="shared" si="309"/>
        <v>183.35940000000005</v>
      </c>
      <c r="G5465" s="5">
        <f t="shared" si="310"/>
        <v>0.16346681294569396</v>
      </c>
      <c r="H5465" s="2" t="s">
        <v>5</v>
      </c>
      <c r="I5465" s="6" t="s">
        <v>2300</v>
      </c>
      <c r="J5465" s="2" t="s">
        <v>5</v>
      </c>
      <c r="K5465" s="2" t="s">
        <v>5</v>
      </c>
      <c r="L5465" s="2" t="s">
        <v>5</v>
      </c>
      <c r="M5465" s="2" t="s">
        <v>5</v>
      </c>
      <c r="N5465" s="4">
        <v>0</v>
      </c>
    </row>
    <row r="5466" spans="1:14" x14ac:dyDescent="0.25">
      <c r="A5466" s="2" t="s">
        <v>585</v>
      </c>
      <c r="B5466" s="2" t="s">
        <v>586</v>
      </c>
      <c r="C5466" s="3">
        <v>20.204999999999998</v>
      </c>
      <c r="D5466" s="4">
        <v>328.73534999999998</v>
      </c>
      <c r="E5466" s="4">
        <v>308.12625000000003</v>
      </c>
      <c r="F5466" s="4">
        <f t="shared" si="309"/>
        <v>20.609099999999955</v>
      </c>
      <c r="G5466" s="5">
        <f t="shared" si="310"/>
        <v>6.269207129686527E-2</v>
      </c>
      <c r="H5466" s="2" t="s">
        <v>5</v>
      </c>
      <c r="I5466" s="6" t="s">
        <v>2300</v>
      </c>
      <c r="J5466" s="2" t="s">
        <v>5</v>
      </c>
      <c r="K5466" s="2" t="s">
        <v>5</v>
      </c>
      <c r="L5466" s="2" t="s">
        <v>5</v>
      </c>
      <c r="M5466" s="2" t="s">
        <v>5</v>
      </c>
      <c r="N5466" s="4">
        <v>0</v>
      </c>
    </row>
    <row r="5467" spans="1:14" x14ac:dyDescent="0.25">
      <c r="A5467" s="2" t="s">
        <v>122</v>
      </c>
      <c r="B5467" s="2" t="s">
        <v>123</v>
      </c>
      <c r="C5467" s="3">
        <v>3.96</v>
      </c>
      <c r="D5467" s="4">
        <v>45.025199999999998</v>
      </c>
      <c r="E5467" s="4">
        <v>21.78</v>
      </c>
      <c r="F5467" s="4">
        <f t="shared" si="309"/>
        <v>23.245199999999997</v>
      </c>
      <c r="G5467" s="5">
        <f t="shared" si="310"/>
        <v>0.51627088830255052</v>
      </c>
      <c r="H5467" s="2" t="s">
        <v>5</v>
      </c>
      <c r="I5467" s="6" t="s">
        <v>2300</v>
      </c>
      <c r="J5467" s="2" t="s">
        <v>5</v>
      </c>
      <c r="K5467" s="2" t="s">
        <v>5</v>
      </c>
      <c r="L5467" s="2" t="s">
        <v>5</v>
      </c>
      <c r="M5467" s="2" t="s">
        <v>5</v>
      </c>
      <c r="N5467" s="4">
        <v>0</v>
      </c>
    </row>
    <row r="5468" spans="1:14" x14ac:dyDescent="0.25">
      <c r="A5468" s="2" t="s">
        <v>122</v>
      </c>
      <c r="B5468" s="2" t="s">
        <v>123</v>
      </c>
      <c r="C5468" s="3">
        <v>15.27</v>
      </c>
      <c r="D5468" s="4">
        <v>132.23820000000001</v>
      </c>
      <c r="E5468" s="4">
        <v>83.984999999999999</v>
      </c>
      <c r="F5468" s="4">
        <f t="shared" si="309"/>
        <v>48.253200000000007</v>
      </c>
      <c r="G5468" s="5">
        <f t="shared" si="310"/>
        <v>0.36489607390300233</v>
      </c>
      <c r="H5468" s="2" t="s">
        <v>5</v>
      </c>
      <c r="I5468" s="6" t="s">
        <v>2300</v>
      </c>
      <c r="J5468" s="2" t="s">
        <v>5</v>
      </c>
      <c r="K5468" s="2" t="s">
        <v>5</v>
      </c>
      <c r="L5468" s="2" t="s">
        <v>5</v>
      </c>
      <c r="M5468" s="2" t="s">
        <v>5</v>
      </c>
      <c r="N5468" s="4">
        <v>0</v>
      </c>
    </row>
    <row r="5469" spans="1:14" x14ac:dyDescent="0.25">
      <c r="A5469" s="2" t="s">
        <v>122</v>
      </c>
      <c r="B5469" s="2" t="s">
        <v>123</v>
      </c>
      <c r="C5469" s="3">
        <v>5.63</v>
      </c>
      <c r="D5469" s="4">
        <v>64.013099999999994</v>
      </c>
      <c r="E5469" s="4">
        <v>30.965</v>
      </c>
      <c r="F5469" s="4">
        <f t="shared" si="309"/>
        <v>33.048099999999991</v>
      </c>
      <c r="G5469" s="5">
        <f t="shared" si="310"/>
        <v>0.51627088830255052</v>
      </c>
      <c r="H5469" s="2" t="s">
        <v>5</v>
      </c>
      <c r="I5469" s="6" t="s">
        <v>2300</v>
      </c>
      <c r="J5469" s="2" t="s">
        <v>5</v>
      </c>
      <c r="K5469" s="2" t="s">
        <v>5</v>
      </c>
      <c r="L5469" s="2" t="s">
        <v>5</v>
      </c>
      <c r="M5469" s="2" t="s">
        <v>5</v>
      </c>
      <c r="N5469" s="4">
        <v>0</v>
      </c>
    </row>
    <row r="5470" spans="1:14" x14ac:dyDescent="0.25">
      <c r="A5470" s="2" t="s">
        <v>122</v>
      </c>
      <c r="B5470" s="2" t="s">
        <v>123</v>
      </c>
      <c r="C5470" s="3">
        <v>7.9950000000000001</v>
      </c>
      <c r="D5470" s="4">
        <v>90.903149999999997</v>
      </c>
      <c r="E5470" s="4">
        <v>43.972499999999997</v>
      </c>
      <c r="F5470" s="4">
        <f t="shared" si="309"/>
        <v>46.93065</v>
      </c>
      <c r="G5470" s="5">
        <f t="shared" si="310"/>
        <v>0.51627088830255063</v>
      </c>
      <c r="H5470" s="2" t="s">
        <v>5</v>
      </c>
      <c r="I5470" s="6" t="s">
        <v>2300</v>
      </c>
      <c r="J5470" s="2" t="s">
        <v>5</v>
      </c>
      <c r="K5470" s="2" t="s">
        <v>5</v>
      </c>
      <c r="L5470" s="2" t="s">
        <v>5</v>
      </c>
      <c r="M5470" s="2" t="s">
        <v>5</v>
      </c>
      <c r="N5470" s="4">
        <v>0</v>
      </c>
    </row>
    <row r="5471" spans="1:14" x14ac:dyDescent="0.25">
      <c r="A5471" s="2" t="s">
        <v>122</v>
      </c>
      <c r="B5471" s="2" t="s">
        <v>123</v>
      </c>
      <c r="C5471" s="3">
        <v>29.364999999999998</v>
      </c>
      <c r="D5471" s="4">
        <v>251.95169999999999</v>
      </c>
      <c r="E5471" s="4">
        <v>161.50749999999999</v>
      </c>
      <c r="F5471" s="4">
        <f t="shared" si="309"/>
        <v>90.444199999999995</v>
      </c>
      <c r="G5471" s="5">
        <f t="shared" si="310"/>
        <v>0.35897435897435898</v>
      </c>
      <c r="H5471" s="2" t="s">
        <v>5</v>
      </c>
      <c r="I5471" s="6" t="s">
        <v>2300</v>
      </c>
      <c r="J5471" s="2" t="s">
        <v>5</v>
      </c>
      <c r="K5471" s="2" t="s">
        <v>5</v>
      </c>
      <c r="L5471" s="2" t="s">
        <v>5</v>
      </c>
      <c r="M5471" s="2" t="s">
        <v>5</v>
      </c>
      <c r="N5471" s="4">
        <v>0</v>
      </c>
    </row>
    <row r="5472" spans="1:14" x14ac:dyDescent="0.25">
      <c r="A5472" s="2" t="s">
        <v>122</v>
      </c>
      <c r="B5472" s="2" t="s">
        <v>123</v>
      </c>
      <c r="C5472" s="3">
        <v>29.25</v>
      </c>
      <c r="D5472" s="4">
        <v>250.38</v>
      </c>
      <c r="E5472" s="4">
        <v>160.875</v>
      </c>
      <c r="F5472" s="4">
        <f t="shared" si="309"/>
        <v>89.504999999999995</v>
      </c>
      <c r="G5472" s="5">
        <f t="shared" si="310"/>
        <v>0.3574766355140187</v>
      </c>
      <c r="H5472" s="2" t="s">
        <v>5</v>
      </c>
      <c r="I5472" s="6" t="s">
        <v>2300</v>
      </c>
      <c r="J5472" s="2" t="s">
        <v>5</v>
      </c>
      <c r="K5472" s="2" t="s">
        <v>5</v>
      </c>
      <c r="L5472" s="2" t="s">
        <v>5</v>
      </c>
      <c r="M5472" s="2" t="s">
        <v>5</v>
      </c>
      <c r="N5472" s="4">
        <v>0</v>
      </c>
    </row>
    <row r="5473" spans="1:14" x14ac:dyDescent="0.25">
      <c r="A5473" s="2" t="s">
        <v>1202</v>
      </c>
      <c r="B5473" s="2" t="s">
        <v>1203</v>
      </c>
      <c r="C5473" s="3">
        <v>5.508</v>
      </c>
      <c r="D5473" s="4">
        <v>62.625959999999999</v>
      </c>
      <c r="E5473" s="4">
        <v>30.294</v>
      </c>
      <c r="F5473" s="4">
        <f t="shared" ref="F5473:F5536" si="311">D5473-E5473</f>
        <v>32.331959999999995</v>
      </c>
      <c r="G5473" s="5">
        <f t="shared" ref="G5473:G5536" si="312">IF(((D5473)=0),0,(D5473-E5473)/ D5473)</f>
        <v>0.51627088830255052</v>
      </c>
      <c r="H5473" s="2" t="s">
        <v>5</v>
      </c>
      <c r="I5473" s="6" t="s">
        <v>2300</v>
      </c>
      <c r="J5473" s="2" t="s">
        <v>5</v>
      </c>
      <c r="K5473" s="2" t="s">
        <v>5</v>
      </c>
      <c r="L5473" s="2" t="s">
        <v>5</v>
      </c>
      <c r="M5473" s="2" t="s">
        <v>5</v>
      </c>
      <c r="N5473" s="4">
        <v>0</v>
      </c>
    </row>
    <row r="5474" spans="1:14" x14ac:dyDescent="0.25">
      <c r="A5474" s="2" t="s">
        <v>1202</v>
      </c>
      <c r="B5474" s="2" t="s">
        <v>1203</v>
      </c>
      <c r="C5474" s="3">
        <v>10.255000000000001</v>
      </c>
      <c r="D5474" s="4">
        <v>84.193550000000002</v>
      </c>
      <c r="E5474" s="4">
        <v>56.402500000000003</v>
      </c>
      <c r="F5474" s="4">
        <f t="shared" si="311"/>
        <v>27.791049999999998</v>
      </c>
      <c r="G5474" s="5">
        <f t="shared" si="312"/>
        <v>0.33008526187576126</v>
      </c>
      <c r="H5474" s="2" t="s">
        <v>5</v>
      </c>
      <c r="I5474" s="6" t="s">
        <v>2300</v>
      </c>
      <c r="J5474" s="2" t="s">
        <v>5</v>
      </c>
      <c r="K5474" s="2" t="s">
        <v>5</v>
      </c>
      <c r="L5474" s="2" t="s">
        <v>5</v>
      </c>
      <c r="M5474" s="2" t="s">
        <v>5</v>
      </c>
      <c r="N5474" s="4">
        <v>0</v>
      </c>
    </row>
    <row r="5475" spans="1:14" x14ac:dyDescent="0.25">
      <c r="A5475" s="2" t="s">
        <v>1202</v>
      </c>
      <c r="B5475" s="2" t="s">
        <v>1203</v>
      </c>
      <c r="C5475" s="3">
        <v>15.26</v>
      </c>
      <c r="D5475" s="4">
        <v>131.5412</v>
      </c>
      <c r="E5475" s="4">
        <v>83.93</v>
      </c>
      <c r="F5475" s="4">
        <f t="shared" si="311"/>
        <v>47.611199999999997</v>
      </c>
      <c r="G5475" s="5">
        <f t="shared" si="312"/>
        <v>0.3619489559164733</v>
      </c>
      <c r="H5475" s="2" t="s">
        <v>5</v>
      </c>
      <c r="I5475" s="6" t="s">
        <v>2300</v>
      </c>
      <c r="J5475" s="2" t="s">
        <v>5</v>
      </c>
      <c r="K5475" s="2" t="s">
        <v>5</v>
      </c>
      <c r="L5475" s="2" t="s">
        <v>5</v>
      </c>
      <c r="M5475" s="2" t="s">
        <v>5</v>
      </c>
      <c r="N5475" s="4">
        <v>0</v>
      </c>
    </row>
    <row r="5476" spans="1:14" x14ac:dyDescent="0.25">
      <c r="A5476" s="2" t="s">
        <v>1202</v>
      </c>
      <c r="B5476" s="2" t="s">
        <v>1203</v>
      </c>
      <c r="C5476" s="3">
        <v>5.48</v>
      </c>
      <c r="D5476" s="4">
        <v>49.703600000000002</v>
      </c>
      <c r="E5476" s="4">
        <v>30.14</v>
      </c>
      <c r="F5476" s="4">
        <f t="shared" si="311"/>
        <v>19.563600000000001</v>
      </c>
      <c r="G5476" s="5">
        <f t="shared" si="312"/>
        <v>0.39360529217199558</v>
      </c>
      <c r="H5476" s="2" t="s">
        <v>5</v>
      </c>
      <c r="I5476" s="6" t="s">
        <v>2300</v>
      </c>
      <c r="J5476" s="2" t="s">
        <v>5</v>
      </c>
      <c r="K5476" s="2" t="s">
        <v>5</v>
      </c>
      <c r="L5476" s="2" t="s">
        <v>5</v>
      </c>
      <c r="M5476" s="2" t="s">
        <v>5</v>
      </c>
      <c r="N5476" s="4">
        <v>0</v>
      </c>
    </row>
    <row r="5477" spans="1:14" x14ac:dyDescent="0.25">
      <c r="A5477" s="2" t="s">
        <v>1202</v>
      </c>
      <c r="B5477" s="2" t="s">
        <v>1203</v>
      </c>
      <c r="C5477" s="3">
        <v>1.82</v>
      </c>
      <c r="D5477" s="4">
        <v>20.6934</v>
      </c>
      <c r="E5477" s="4">
        <v>10.01</v>
      </c>
      <c r="F5477" s="4">
        <f t="shared" si="311"/>
        <v>10.683400000000001</v>
      </c>
      <c r="G5477" s="5">
        <f t="shared" si="312"/>
        <v>0.51627088830255063</v>
      </c>
      <c r="H5477" s="2" t="s">
        <v>5</v>
      </c>
      <c r="I5477" s="6" t="s">
        <v>2300</v>
      </c>
      <c r="J5477" s="2" t="s">
        <v>5</v>
      </c>
      <c r="K5477" s="2" t="s">
        <v>5</v>
      </c>
      <c r="L5477" s="2" t="s">
        <v>5</v>
      </c>
      <c r="M5477" s="2" t="s">
        <v>5</v>
      </c>
      <c r="N5477" s="4">
        <v>0</v>
      </c>
    </row>
    <row r="5478" spans="1:14" x14ac:dyDescent="0.25">
      <c r="A5478" s="2" t="s">
        <v>1202</v>
      </c>
      <c r="B5478" s="2" t="s">
        <v>1203</v>
      </c>
      <c r="C5478" s="3">
        <v>14.585000000000001</v>
      </c>
      <c r="D5478" s="4">
        <v>119.74285</v>
      </c>
      <c r="E5478" s="4">
        <v>80.217500000000001</v>
      </c>
      <c r="F5478" s="4">
        <f t="shared" si="311"/>
        <v>39.525350000000003</v>
      </c>
      <c r="G5478" s="5">
        <f t="shared" si="312"/>
        <v>0.33008526187576126</v>
      </c>
      <c r="H5478" s="2" t="s">
        <v>5</v>
      </c>
      <c r="I5478" s="6" t="s">
        <v>2300</v>
      </c>
      <c r="J5478" s="2" t="s">
        <v>5</v>
      </c>
      <c r="K5478" s="2" t="s">
        <v>5</v>
      </c>
      <c r="L5478" s="2" t="s">
        <v>5</v>
      </c>
      <c r="M5478" s="2" t="s">
        <v>5</v>
      </c>
      <c r="N5478" s="4">
        <v>0</v>
      </c>
    </row>
    <row r="5479" spans="1:14" x14ac:dyDescent="0.25">
      <c r="A5479" s="2" t="s">
        <v>1202</v>
      </c>
      <c r="B5479" s="2" t="s">
        <v>1203</v>
      </c>
      <c r="C5479" s="3">
        <v>42.744999999999997</v>
      </c>
      <c r="D5479" s="4">
        <v>350.93644999999998</v>
      </c>
      <c r="E5479" s="4">
        <v>235.0975</v>
      </c>
      <c r="F5479" s="4">
        <f t="shared" si="311"/>
        <v>115.83894999999998</v>
      </c>
      <c r="G5479" s="5">
        <f t="shared" si="312"/>
        <v>0.33008526187576126</v>
      </c>
      <c r="H5479" s="2" t="s">
        <v>5</v>
      </c>
      <c r="I5479" s="6" t="s">
        <v>2300</v>
      </c>
      <c r="J5479" s="2" t="s">
        <v>5</v>
      </c>
      <c r="K5479" s="2" t="s">
        <v>5</v>
      </c>
      <c r="L5479" s="2" t="s">
        <v>5</v>
      </c>
      <c r="M5479" s="2" t="s">
        <v>5</v>
      </c>
      <c r="N5479" s="4">
        <v>0</v>
      </c>
    </row>
    <row r="5480" spans="1:14" x14ac:dyDescent="0.25">
      <c r="A5480" s="2" t="s">
        <v>167</v>
      </c>
      <c r="B5480" s="2" t="s">
        <v>168</v>
      </c>
      <c r="C5480" s="3">
        <v>18.86</v>
      </c>
      <c r="D5480" s="4">
        <v>267.05759999999998</v>
      </c>
      <c r="E5480" s="4">
        <v>209.346</v>
      </c>
      <c r="F5480" s="4">
        <f t="shared" si="311"/>
        <v>57.711599999999976</v>
      </c>
      <c r="G5480" s="5">
        <f t="shared" si="312"/>
        <v>0.21610169491525416</v>
      </c>
      <c r="H5480" s="2" t="s">
        <v>5</v>
      </c>
      <c r="I5480" s="6" t="s">
        <v>2300</v>
      </c>
      <c r="J5480" s="2" t="s">
        <v>5</v>
      </c>
      <c r="K5480" s="2" t="s">
        <v>5</v>
      </c>
      <c r="L5480" s="2" t="s">
        <v>5</v>
      </c>
      <c r="M5480" s="2" t="s">
        <v>5</v>
      </c>
      <c r="N5480" s="4">
        <v>0</v>
      </c>
    </row>
    <row r="5481" spans="1:14" x14ac:dyDescent="0.25">
      <c r="A5481" s="2" t="s">
        <v>715</v>
      </c>
      <c r="B5481" s="2" t="s">
        <v>716</v>
      </c>
      <c r="C5481" s="3">
        <v>13.645</v>
      </c>
      <c r="D5481" s="4">
        <v>159.6465</v>
      </c>
      <c r="E5481" s="4">
        <v>111.889</v>
      </c>
      <c r="F5481" s="4">
        <f t="shared" si="311"/>
        <v>47.757500000000007</v>
      </c>
      <c r="G5481" s="5">
        <f t="shared" si="312"/>
        <v>0.29914529914529919</v>
      </c>
      <c r="H5481" s="2" t="s">
        <v>5</v>
      </c>
      <c r="I5481" s="6" t="s">
        <v>2300</v>
      </c>
      <c r="J5481" s="2" t="s">
        <v>5</v>
      </c>
      <c r="K5481" s="2" t="s">
        <v>5</v>
      </c>
      <c r="L5481" s="2" t="s">
        <v>5</v>
      </c>
      <c r="M5481" s="2" t="s">
        <v>5</v>
      </c>
      <c r="N5481" s="4">
        <v>0</v>
      </c>
    </row>
    <row r="5482" spans="1:14" x14ac:dyDescent="0.25">
      <c r="A5482" s="2" t="s">
        <v>715</v>
      </c>
      <c r="B5482" s="2" t="s">
        <v>716</v>
      </c>
      <c r="C5482" s="3">
        <v>50.844999999999999</v>
      </c>
      <c r="D5482" s="4">
        <v>594.88649999999996</v>
      </c>
      <c r="E5482" s="4">
        <v>416.92899999999997</v>
      </c>
      <c r="F5482" s="4">
        <f t="shared" si="311"/>
        <v>177.95749999999998</v>
      </c>
      <c r="G5482" s="5">
        <f t="shared" si="312"/>
        <v>0.29914529914529914</v>
      </c>
      <c r="H5482" s="2" t="s">
        <v>5</v>
      </c>
      <c r="I5482" s="6" t="s">
        <v>2300</v>
      </c>
      <c r="J5482" s="2" t="s">
        <v>5</v>
      </c>
      <c r="K5482" s="2" t="s">
        <v>5</v>
      </c>
      <c r="L5482" s="2" t="s">
        <v>5</v>
      </c>
      <c r="M5482" s="2" t="s">
        <v>5</v>
      </c>
      <c r="N5482" s="4">
        <v>0</v>
      </c>
    </row>
    <row r="5483" spans="1:14" x14ac:dyDescent="0.25">
      <c r="A5483" s="2" t="s">
        <v>715</v>
      </c>
      <c r="B5483" s="2" t="s">
        <v>716</v>
      </c>
      <c r="C5483" s="3">
        <v>15.23</v>
      </c>
      <c r="D5483" s="4">
        <v>215.6568</v>
      </c>
      <c r="E5483" s="4">
        <v>124.886</v>
      </c>
      <c r="F5483" s="4">
        <f t="shared" si="311"/>
        <v>90.770800000000008</v>
      </c>
      <c r="G5483" s="5">
        <f t="shared" si="312"/>
        <v>0.42090395480225989</v>
      </c>
      <c r="H5483" s="2" t="s">
        <v>5</v>
      </c>
      <c r="I5483" s="6" t="s">
        <v>2300</v>
      </c>
      <c r="J5483" s="2" t="s">
        <v>5</v>
      </c>
      <c r="K5483" s="2" t="s">
        <v>5</v>
      </c>
      <c r="L5483" s="2" t="s">
        <v>5</v>
      </c>
      <c r="M5483" s="2" t="s">
        <v>5</v>
      </c>
      <c r="N5483" s="4">
        <v>0</v>
      </c>
    </row>
    <row r="5484" spans="1:14" x14ac:dyDescent="0.25">
      <c r="A5484" s="2" t="s">
        <v>1209</v>
      </c>
      <c r="B5484" s="2" t="s">
        <v>1210</v>
      </c>
      <c r="C5484" s="3">
        <v>23.36</v>
      </c>
      <c r="D5484" s="4">
        <v>383.33760000000001</v>
      </c>
      <c r="E5484" s="4">
        <v>175.2</v>
      </c>
      <c r="F5484" s="4">
        <f t="shared" si="311"/>
        <v>208.13760000000002</v>
      </c>
      <c r="G5484" s="5">
        <f t="shared" si="312"/>
        <v>0.54296160877513711</v>
      </c>
      <c r="H5484" s="2" t="s">
        <v>5</v>
      </c>
      <c r="I5484" s="6" t="s">
        <v>2300</v>
      </c>
      <c r="J5484" s="2" t="s">
        <v>5</v>
      </c>
      <c r="K5484" s="2" t="s">
        <v>5</v>
      </c>
      <c r="L5484" s="2" t="s">
        <v>5</v>
      </c>
      <c r="M5484" s="2" t="s">
        <v>5</v>
      </c>
      <c r="N5484" s="4">
        <v>0</v>
      </c>
    </row>
    <row r="5485" spans="1:14" x14ac:dyDescent="0.25">
      <c r="A5485" s="2" t="s">
        <v>1209</v>
      </c>
      <c r="B5485" s="2" t="s">
        <v>1210</v>
      </c>
      <c r="C5485" s="3">
        <v>23.34</v>
      </c>
      <c r="D5485" s="4">
        <v>217.2954</v>
      </c>
      <c r="E5485" s="4">
        <v>175.05</v>
      </c>
      <c r="F5485" s="4">
        <f t="shared" si="311"/>
        <v>42.245399999999989</v>
      </c>
      <c r="G5485" s="5">
        <f t="shared" si="312"/>
        <v>0.19441460794844248</v>
      </c>
      <c r="H5485" s="2" t="s">
        <v>5</v>
      </c>
      <c r="I5485" s="6" t="s">
        <v>2300</v>
      </c>
      <c r="J5485" s="2" t="s">
        <v>5</v>
      </c>
      <c r="K5485" s="2" t="s">
        <v>5</v>
      </c>
      <c r="L5485" s="2" t="s">
        <v>5</v>
      </c>
      <c r="M5485" s="2" t="s">
        <v>5</v>
      </c>
      <c r="N5485" s="4">
        <v>0</v>
      </c>
    </row>
    <row r="5486" spans="1:14" x14ac:dyDescent="0.25">
      <c r="A5486" s="2" t="s">
        <v>818</v>
      </c>
      <c r="B5486" s="2" t="s">
        <v>819</v>
      </c>
      <c r="C5486" s="3">
        <v>105.515</v>
      </c>
      <c r="D5486" s="4">
        <v>1260.90425</v>
      </c>
      <c r="E5486" s="4">
        <v>717.50199999999995</v>
      </c>
      <c r="F5486" s="4">
        <f t="shared" si="311"/>
        <v>543.40225000000009</v>
      </c>
      <c r="G5486" s="5">
        <f t="shared" si="312"/>
        <v>0.43096234309623438</v>
      </c>
      <c r="H5486" s="2" t="s">
        <v>5</v>
      </c>
      <c r="I5486" s="6" t="s">
        <v>2300</v>
      </c>
      <c r="J5486" s="2" t="s">
        <v>5</v>
      </c>
      <c r="K5486" s="2" t="s">
        <v>5</v>
      </c>
      <c r="L5486" s="2" t="s">
        <v>5</v>
      </c>
      <c r="M5486" s="2" t="s">
        <v>5</v>
      </c>
      <c r="N5486" s="4">
        <v>0</v>
      </c>
    </row>
    <row r="5487" spans="1:14" x14ac:dyDescent="0.25">
      <c r="A5487" s="2" t="s">
        <v>818</v>
      </c>
      <c r="B5487" s="2" t="s">
        <v>819</v>
      </c>
      <c r="C5487" s="3">
        <v>60.27</v>
      </c>
      <c r="D5487" s="4">
        <v>720.22649999999999</v>
      </c>
      <c r="E5487" s="4">
        <v>409.83600000000001</v>
      </c>
      <c r="F5487" s="4">
        <f t="shared" si="311"/>
        <v>310.39049999999997</v>
      </c>
      <c r="G5487" s="5">
        <f t="shared" si="312"/>
        <v>0.43096234309623427</v>
      </c>
      <c r="H5487" s="2" t="s">
        <v>5</v>
      </c>
      <c r="I5487" s="6" t="s">
        <v>2300</v>
      </c>
      <c r="J5487" s="2" t="s">
        <v>5</v>
      </c>
      <c r="K5487" s="2" t="s">
        <v>5</v>
      </c>
      <c r="L5487" s="2" t="s">
        <v>5</v>
      </c>
      <c r="M5487" s="2" t="s">
        <v>5</v>
      </c>
      <c r="N5487" s="4">
        <v>0</v>
      </c>
    </row>
    <row r="5488" spans="1:14" x14ac:dyDescent="0.25">
      <c r="A5488" s="2" t="s">
        <v>1603</v>
      </c>
      <c r="B5488" s="2" t="s">
        <v>1604</v>
      </c>
      <c r="C5488" s="3">
        <v>0</v>
      </c>
      <c r="D5488" s="4">
        <v>-50.56</v>
      </c>
      <c r="E5488" s="4">
        <v>0</v>
      </c>
      <c r="F5488" s="4">
        <f t="shared" si="311"/>
        <v>-50.56</v>
      </c>
      <c r="G5488" s="5">
        <f t="shared" si="312"/>
        <v>1</v>
      </c>
      <c r="H5488" s="2" t="s">
        <v>5</v>
      </c>
      <c r="I5488" s="6" t="s">
        <v>2300</v>
      </c>
      <c r="J5488" s="2" t="s">
        <v>5</v>
      </c>
      <c r="K5488" s="2" t="s">
        <v>5</v>
      </c>
      <c r="L5488" s="2" t="s">
        <v>5</v>
      </c>
      <c r="M5488" s="2" t="s">
        <v>5</v>
      </c>
      <c r="N5488" s="4">
        <v>0</v>
      </c>
    </row>
    <row r="5489" spans="1:14" x14ac:dyDescent="0.25">
      <c r="A5489" s="2" t="s">
        <v>1608</v>
      </c>
      <c r="B5489" s="2" t="s">
        <v>1609</v>
      </c>
      <c r="C5489" s="3">
        <v>0</v>
      </c>
      <c r="D5489" s="4">
        <v>-23.1</v>
      </c>
      <c r="E5489" s="4">
        <v>-162</v>
      </c>
      <c r="F5489" s="4">
        <f t="shared" si="311"/>
        <v>138.9</v>
      </c>
      <c r="G5489" s="5">
        <f t="shared" si="312"/>
        <v>-6.0129870129870131</v>
      </c>
      <c r="H5489" s="2" t="s">
        <v>5</v>
      </c>
      <c r="I5489" s="6" t="s">
        <v>2300</v>
      </c>
      <c r="J5489" s="2" t="s">
        <v>5</v>
      </c>
      <c r="K5489" s="2" t="s">
        <v>5</v>
      </c>
      <c r="L5489" s="2" t="s">
        <v>5</v>
      </c>
      <c r="M5489" s="2" t="s">
        <v>5</v>
      </c>
      <c r="N5489" s="4">
        <v>0</v>
      </c>
    </row>
    <row r="5490" spans="1:14" x14ac:dyDescent="0.25">
      <c r="A5490" s="2" t="s">
        <v>500</v>
      </c>
      <c r="B5490" s="2" t="s">
        <v>501</v>
      </c>
      <c r="C5490" s="3">
        <v>12</v>
      </c>
      <c r="D5490" s="4">
        <v>252</v>
      </c>
      <c r="E5490" s="4">
        <v>226.8</v>
      </c>
      <c r="F5490" s="4">
        <f t="shared" si="311"/>
        <v>25.199999999999989</v>
      </c>
      <c r="G5490" s="5">
        <f t="shared" si="312"/>
        <v>9.999999999999995E-2</v>
      </c>
      <c r="H5490" s="2" t="s">
        <v>5</v>
      </c>
      <c r="I5490" s="6" t="s">
        <v>2300</v>
      </c>
      <c r="J5490" s="2" t="s">
        <v>5</v>
      </c>
      <c r="K5490" s="2" t="s">
        <v>5</v>
      </c>
      <c r="L5490" s="2" t="s">
        <v>5</v>
      </c>
      <c r="M5490" s="2" t="s">
        <v>5</v>
      </c>
      <c r="N5490" s="4">
        <v>0</v>
      </c>
    </row>
    <row r="5491" spans="1:14" x14ac:dyDescent="0.25">
      <c r="A5491" s="2" t="s">
        <v>560</v>
      </c>
      <c r="B5491" s="2" t="s">
        <v>561</v>
      </c>
      <c r="C5491" s="3">
        <v>10.412000000000001</v>
      </c>
      <c r="D5491" s="4">
        <v>285.18468000000001</v>
      </c>
      <c r="E5491" s="4">
        <v>148.89160000000001</v>
      </c>
      <c r="F5491" s="4">
        <f t="shared" si="311"/>
        <v>136.29308</v>
      </c>
      <c r="G5491" s="5">
        <f t="shared" si="312"/>
        <v>0.47791164658634538</v>
      </c>
      <c r="H5491" s="2" t="s">
        <v>5</v>
      </c>
      <c r="I5491" s="6" t="s">
        <v>2300</v>
      </c>
      <c r="J5491" s="2" t="s">
        <v>5</v>
      </c>
      <c r="K5491" s="2" t="s">
        <v>5</v>
      </c>
      <c r="L5491" s="2" t="s">
        <v>5</v>
      </c>
      <c r="M5491" s="2" t="s">
        <v>5</v>
      </c>
      <c r="N5491" s="4">
        <v>0</v>
      </c>
    </row>
    <row r="5492" spans="1:14" x14ac:dyDescent="0.25">
      <c r="A5492" s="2" t="s">
        <v>560</v>
      </c>
      <c r="B5492" s="2" t="s">
        <v>561</v>
      </c>
      <c r="C5492" s="3">
        <v>15.89</v>
      </c>
      <c r="D5492" s="4">
        <v>435.22710000000001</v>
      </c>
      <c r="E5492" s="4">
        <v>227.227</v>
      </c>
      <c r="F5492" s="4">
        <f t="shared" si="311"/>
        <v>208.0001</v>
      </c>
      <c r="G5492" s="5">
        <f t="shared" si="312"/>
        <v>0.47791164658634538</v>
      </c>
      <c r="H5492" s="2" t="s">
        <v>5</v>
      </c>
      <c r="I5492" s="6" t="s">
        <v>2300</v>
      </c>
      <c r="J5492" s="2" t="s">
        <v>5</v>
      </c>
      <c r="K5492" s="2" t="s">
        <v>5</v>
      </c>
      <c r="L5492" s="2" t="s">
        <v>5</v>
      </c>
      <c r="M5492" s="2" t="s">
        <v>5</v>
      </c>
      <c r="N5492" s="4">
        <v>0</v>
      </c>
    </row>
    <row r="5493" spans="1:14" x14ac:dyDescent="0.25">
      <c r="A5493" s="2" t="s">
        <v>1037</v>
      </c>
      <c r="B5493" s="2" t="s">
        <v>1038</v>
      </c>
      <c r="C5493" s="3">
        <v>2.25</v>
      </c>
      <c r="D5493" s="4">
        <v>61.02</v>
      </c>
      <c r="E5493" s="4">
        <v>32.174999999999997</v>
      </c>
      <c r="F5493" s="4">
        <f t="shared" si="311"/>
        <v>28.845000000000006</v>
      </c>
      <c r="G5493" s="5">
        <f t="shared" si="312"/>
        <v>0.47271386430678475</v>
      </c>
      <c r="H5493" s="2" t="s">
        <v>5</v>
      </c>
      <c r="I5493" s="6" t="s">
        <v>2300</v>
      </c>
      <c r="J5493" s="2" t="s">
        <v>5</v>
      </c>
      <c r="K5493" s="2" t="s">
        <v>5</v>
      </c>
      <c r="L5493" s="2" t="s">
        <v>5</v>
      </c>
      <c r="M5493" s="2" t="s">
        <v>5</v>
      </c>
      <c r="N5493" s="4">
        <v>0</v>
      </c>
    </row>
    <row r="5494" spans="1:14" x14ac:dyDescent="0.25">
      <c r="A5494" s="2" t="s">
        <v>1037</v>
      </c>
      <c r="B5494" s="2" t="s">
        <v>1038</v>
      </c>
      <c r="C5494" s="3">
        <v>1.1299999999999999</v>
      </c>
      <c r="D5494" s="4">
        <v>30.950700000000001</v>
      </c>
      <c r="E5494" s="4">
        <v>16.158999999999999</v>
      </c>
      <c r="F5494" s="4">
        <f t="shared" si="311"/>
        <v>14.791700000000002</v>
      </c>
      <c r="G5494" s="5">
        <f t="shared" si="312"/>
        <v>0.47791164658634544</v>
      </c>
      <c r="H5494" s="2" t="s">
        <v>5</v>
      </c>
      <c r="I5494" s="6" t="s">
        <v>2300</v>
      </c>
      <c r="J5494" s="2" t="s">
        <v>5</v>
      </c>
      <c r="K5494" s="2" t="s">
        <v>5</v>
      </c>
      <c r="L5494" s="2" t="s">
        <v>5</v>
      </c>
      <c r="M5494" s="2" t="s">
        <v>5</v>
      </c>
      <c r="N5494" s="4">
        <v>0</v>
      </c>
    </row>
    <row r="5495" spans="1:14" x14ac:dyDescent="0.25">
      <c r="A5495" s="2" t="s">
        <v>1037</v>
      </c>
      <c r="B5495" s="2" t="s">
        <v>1038</v>
      </c>
      <c r="C5495" s="3">
        <v>1.1200000000000001</v>
      </c>
      <c r="D5495" s="4">
        <v>30.6768</v>
      </c>
      <c r="E5495" s="4">
        <v>16.015999999999998</v>
      </c>
      <c r="F5495" s="4">
        <f t="shared" si="311"/>
        <v>14.660800000000002</v>
      </c>
      <c r="G5495" s="5">
        <f t="shared" si="312"/>
        <v>0.47791164658634544</v>
      </c>
      <c r="H5495" s="2" t="s">
        <v>5</v>
      </c>
      <c r="I5495" s="6" t="s">
        <v>2300</v>
      </c>
      <c r="J5495" s="2" t="s">
        <v>5</v>
      </c>
      <c r="K5495" s="2" t="s">
        <v>5</v>
      </c>
      <c r="L5495" s="2" t="s">
        <v>5</v>
      </c>
      <c r="M5495" s="2" t="s">
        <v>5</v>
      </c>
      <c r="N5495" s="4">
        <v>0</v>
      </c>
    </row>
    <row r="5496" spans="1:14" x14ac:dyDescent="0.25">
      <c r="A5496" s="2" t="s">
        <v>1037</v>
      </c>
      <c r="B5496" s="2" t="s">
        <v>1038</v>
      </c>
      <c r="C5496" s="3">
        <v>1.0620000000000001</v>
      </c>
      <c r="D5496" s="4">
        <v>29.088180000000001</v>
      </c>
      <c r="E5496" s="4">
        <v>15.1866</v>
      </c>
      <c r="F5496" s="4">
        <f t="shared" si="311"/>
        <v>13.901580000000001</v>
      </c>
      <c r="G5496" s="5">
        <f t="shared" si="312"/>
        <v>0.47791164658634538</v>
      </c>
      <c r="H5496" s="2" t="s">
        <v>5</v>
      </c>
      <c r="I5496" s="6" t="s">
        <v>2300</v>
      </c>
      <c r="J5496" s="2" t="s">
        <v>5</v>
      </c>
      <c r="K5496" s="2" t="s">
        <v>5</v>
      </c>
      <c r="L5496" s="2" t="s">
        <v>5</v>
      </c>
      <c r="M5496" s="2" t="s">
        <v>5</v>
      </c>
      <c r="N5496" s="4">
        <v>0</v>
      </c>
    </row>
    <row r="5497" spans="1:14" x14ac:dyDescent="0.25">
      <c r="A5497" s="2" t="s">
        <v>1037</v>
      </c>
      <c r="B5497" s="2" t="s">
        <v>1038</v>
      </c>
      <c r="C5497" s="3">
        <v>1.1060000000000001</v>
      </c>
      <c r="D5497" s="4">
        <v>30.293340000000001</v>
      </c>
      <c r="E5497" s="4">
        <v>15.815799999999999</v>
      </c>
      <c r="F5497" s="4">
        <f t="shared" si="311"/>
        <v>14.477540000000001</v>
      </c>
      <c r="G5497" s="5">
        <f t="shared" si="312"/>
        <v>0.47791164658634538</v>
      </c>
      <c r="H5497" s="2" t="s">
        <v>5</v>
      </c>
      <c r="I5497" s="6" t="s">
        <v>2300</v>
      </c>
      <c r="J5497" s="2" t="s">
        <v>5</v>
      </c>
      <c r="K5497" s="2" t="s">
        <v>5</v>
      </c>
      <c r="L5497" s="2" t="s">
        <v>5</v>
      </c>
      <c r="M5497" s="2" t="s">
        <v>5</v>
      </c>
      <c r="N5497" s="4">
        <v>0</v>
      </c>
    </row>
    <row r="5498" spans="1:14" x14ac:dyDescent="0.25">
      <c r="A5498" s="2" t="s">
        <v>1037</v>
      </c>
      <c r="B5498" s="2" t="s">
        <v>1038</v>
      </c>
      <c r="C5498" s="3">
        <v>2.2160000000000002</v>
      </c>
      <c r="D5498" s="4">
        <v>60.696240000000003</v>
      </c>
      <c r="E5498" s="4">
        <v>31.688800000000001</v>
      </c>
      <c r="F5498" s="4">
        <f t="shared" si="311"/>
        <v>29.007440000000003</v>
      </c>
      <c r="G5498" s="5">
        <f t="shared" si="312"/>
        <v>0.47791164658634538</v>
      </c>
      <c r="H5498" s="2" t="s">
        <v>5</v>
      </c>
      <c r="I5498" s="6" t="s">
        <v>2300</v>
      </c>
      <c r="J5498" s="2" t="s">
        <v>5</v>
      </c>
      <c r="K5498" s="2" t="s">
        <v>5</v>
      </c>
      <c r="L5498" s="2" t="s">
        <v>5</v>
      </c>
      <c r="M5498" s="2" t="s">
        <v>5</v>
      </c>
      <c r="N5498" s="4">
        <v>0</v>
      </c>
    </row>
    <row r="5499" spans="1:14" x14ac:dyDescent="0.25">
      <c r="A5499" s="2" t="s">
        <v>1037</v>
      </c>
      <c r="B5499" s="2" t="s">
        <v>1038</v>
      </c>
      <c r="C5499" s="3">
        <v>1.5620000000000001</v>
      </c>
      <c r="D5499" s="4">
        <v>42.783180000000002</v>
      </c>
      <c r="E5499" s="4">
        <v>22.336600000000001</v>
      </c>
      <c r="F5499" s="4">
        <f t="shared" si="311"/>
        <v>20.446580000000001</v>
      </c>
      <c r="G5499" s="5">
        <f t="shared" si="312"/>
        <v>0.47791164658634538</v>
      </c>
      <c r="H5499" s="2" t="s">
        <v>5</v>
      </c>
      <c r="I5499" s="6" t="s">
        <v>2300</v>
      </c>
      <c r="J5499" s="2" t="s">
        <v>5</v>
      </c>
      <c r="K5499" s="2" t="s">
        <v>5</v>
      </c>
      <c r="L5499" s="2" t="s">
        <v>5</v>
      </c>
      <c r="M5499" s="2" t="s">
        <v>5</v>
      </c>
      <c r="N5499" s="4">
        <v>0</v>
      </c>
    </row>
    <row r="5500" spans="1:14" x14ac:dyDescent="0.25">
      <c r="A5500" s="2" t="s">
        <v>1362</v>
      </c>
      <c r="B5500" s="2" t="s">
        <v>1363</v>
      </c>
      <c r="C5500" s="3">
        <v>8.57</v>
      </c>
      <c r="D5500" s="4">
        <v>221.3631</v>
      </c>
      <c r="E5500" s="4">
        <v>122.551</v>
      </c>
      <c r="F5500" s="4">
        <f t="shared" si="311"/>
        <v>98.812100000000001</v>
      </c>
      <c r="G5500" s="5">
        <f t="shared" si="312"/>
        <v>0.44638017808749514</v>
      </c>
      <c r="H5500" s="2" t="s">
        <v>5</v>
      </c>
      <c r="I5500" s="6" t="s">
        <v>2300</v>
      </c>
      <c r="J5500" s="2" t="s">
        <v>5</v>
      </c>
      <c r="K5500" s="2" t="s">
        <v>5</v>
      </c>
      <c r="L5500" s="2" t="s">
        <v>5</v>
      </c>
      <c r="M5500" s="2" t="s">
        <v>5</v>
      </c>
      <c r="N5500" s="4">
        <v>0</v>
      </c>
    </row>
    <row r="5501" spans="1:14" x14ac:dyDescent="0.25">
      <c r="A5501" s="2" t="s">
        <v>2265</v>
      </c>
      <c r="B5501" s="2" t="s">
        <v>2266</v>
      </c>
      <c r="C5501" s="3">
        <v>1</v>
      </c>
      <c r="D5501" s="4">
        <v>280</v>
      </c>
      <c r="E5501" s="4">
        <v>280</v>
      </c>
      <c r="F5501" s="4">
        <f t="shared" si="311"/>
        <v>0</v>
      </c>
      <c r="G5501" s="5">
        <f t="shared" si="312"/>
        <v>0</v>
      </c>
      <c r="H5501" s="2" t="s">
        <v>5</v>
      </c>
      <c r="I5501" s="6" t="s">
        <v>2300</v>
      </c>
      <c r="J5501" s="2" t="s">
        <v>5</v>
      </c>
      <c r="K5501" s="2" t="s">
        <v>5</v>
      </c>
      <c r="L5501" s="2" t="s">
        <v>5</v>
      </c>
      <c r="M5501" s="2" t="s">
        <v>5</v>
      </c>
      <c r="N5501" s="4">
        <v>0</v>
      </c>
    </row>
    <row r="5502" spans="1:14" x14ac:dyDescent="0.25">
      <c r="A5502" s="2" t="s">
        <v>2265</v>
      </c>
      <c r="B5502" s="2" t="s">
        <v>2266</v>
      </c>
      <c r="C5502" s="3">
        <v>1</v>
      </c>
      <c r="D5502" s="4">
        <v>362.5</v>
      </c>
      <c r="E5502" s="4">
        <v>362.5</v>
      </c>
      <c r="F5502" s="4">
        <f t="shared" si="311"/>
        <v>0</v>
      </c>
      <c r="G5502" s="5">
        <f t="shared" si="312"/>
        <v>0</v>
      </c>
      <c r="H5502" s="2" t="s">
        <v>5</v>
      </c>
      <c r="I5502" s="6" t="s">
        <v>2300</v>
      </c>
      <c r="J5502" s="2" t="s">
        <v>5</v>
      </c>
      <c r="K5502" s="2" t="s">
        <v>5</v>
      </c>
      <c r="L5502" s="2" t="s">
        <v>5</v>
      </c>
      <c r="M5502" s="2" t="s">
        <v>5</v>
      </c>
      <c r="N5502" s="4">
        <v>0</v>
      </c>
    </row>
    <row r="5503" spans="1:14" x14ac:dyDescent="0.25">
      <c r="A5503" s="2" t="s">
        <v>2265</v>
      </c>
      <c r="B5503" s="2" t="s">
        <v>2266</v>
      </c>
      <c r="C5503" s="3">
        <v>1</v>
      </c>
      <c r="D5503" s="4">
        <v>1088</v>
      </c>
      <c r="E5503" s="4">
        <v>1088</v>
      </c>
      <c r="F5503" s="4">
        <f t="shared" si="311"/>
        <v>0</v>
      </c>
      <c r="G5503" s="5">
        <f t="shared" si="312"/>
        <v>0</v>
      </c>
      <c r="H5503" s="2" t="s">
        <v>5</v>
      </c>
      <c r="I5503" s="6" t="s">
        <v>2300</v>
      </c>
      <c r="J5503" s="2" t="s">
        <v>5</v>
      </c>
      <c r="K5503" s="2" t="s">
        <v>5</v>
      </c>
      <c r="L5503" s="2" t="s">
        <v>5</v>
      </c>
      <c r="M5503" s="2" t="s">
        <v>5</v>
      </c>
      <c r="N5503" s="4">
        <v>0</v>
      </c>
    </row>
    <row r="5504" spans="1:14" x14ac:dyDescent="0.25">
      <c r="A5504" s="2" t="s">
        <v>2265</v>
      </c>
      <c r="B5504" s="2" t="s">
        <v>2266</v>
      </c>
      <c r="C5504" s="3">
        <v>1</v>
      </c>
      <c r="D5504" s="4">
        <v>660</v>
      </c>
      <c r="E5504" s="4">
        <v>660</v>
      </c>
      <c r="F5504" s="4">
        <f t="shared" si="311"/>
        <v>0</v>
      </c>
      <c r="G5504" s="5">
        <f t="shared" si="312"/>
        <v>0</v>
      </c>
      <c r="H5504" s="2" t="s">
        <v>5</v>
      </c>
      <c r="I5504" s="6" t="s">
        <v>2300</v>
      </c>
      <c r="J5504" s="2" t="s">
        <v>5</v>
      </c>
      <c r="K5504" s="2" t="s">
        <v>5</v>
      </c>
      <c r="L5504" s="2" t="s">
        <v>5</v>
      </c>
      <c r="M5504" s="2" t="s">
        <v>5</v>
      </c>
      <c r="N5504" s="4">
        <v>0</v>
      </c>
    </row>
    <row r="5505" spans="1:14" x14ac:dyDescent="0.25">
      <c r="A5505" s="2" t="s">
        <v>686</v>
      </c>
      <c r="B5505" s="2" t="s">
        <v>687</v>
      </c>
      <c r="C5505" s="3">
        <v>11.045</v>
      </c>
      <c r="D5505" s="4">
        <v>472.2842</v>
      </c>
      <c r="E5505" s="4">
        <v>229.73599999999999</v>
      </c>
      <c r="F5505" s="4">
        <f t="shared" si="311"/>
        <v>242.54820000000001</v>
      </c>
      <c r="G5505" s="5">
        <f t="shared" si="312"/>
        <v>0.51356407857811037</v>
      </c>
      <c r="H5505" s="2" t="s">
        <v>5</v>
      </c>
      <c r="I5505" s="6" t="s">
        <v>2300</v>
      </c>
      <c r="J5505" s="2" t="s">
        <v>5</v>
      </c>
      <c r="K5505" s="2" t="s">
        <v>5</v>
      </c>
      <c r="L5505" s="2" t="s">
        <v>5</v>
      </c>
      <c r="M5505" s="2" t="s">
        <v>5</v>
      </c>
      <c r="N5505" s="4">
        <v>0</v>
      </c>
    </row>
    <row r="5506" spans="1:14" x14ac:dyDescent="0.25">
      <c r="A5506" s="2" t="s">
        <v>686</v>
      </c>
      <c r="B5506" s="2" t="s">
        <v>687</v>
      </c>
      <c r="C5506" s="3">
        <v>9.9879999999999995</v>
      </c>
      <c r="D5506" s="4">
        <v>427.08688000000001</v>
      </c>
      <c r="E5506" s="4">
        <v>207.75040000000001</v>
      </c>
      <c r="F5506" s="4">
        <f t="shared" si="311"/>
        <v>219.33647999999999</v>
      </c>
      <c r="G5506" s="5">
        <f t="shared" si="312"/>
        <v>0.51356407857811037</v>
      </c>
      <c r="H5506" s="2" t="s">
        <v>5</v>
      </c>
      <c r="I5506" s="6" t="s">
        <v>2300</v>
      </c>
      <c r="J5506" s="2" t="s">
        <v>5</v>
      </c>
      <c r="K5506" s="2" t="s">
        <v>5</v>
      </c>
      <c r="L5506" s="2" t="s">
        <v>5</v>
      </c>
      <c r="M5506" s="2" t="s">
        <v>5</v>
      </c>
      <c r="N5506" s="4">
        <v>0</v>
      </c>
    </row>
    <row r="5507" spans="1:14" x14ac:dyDescent="0.25">
      <c r="A5507" s="2" t="s">
        <v>318</v>
      </c>
      <c r="B5507" s="2" t="s">
        <v>319</v>
      </c>
      <c r="C5507" s="3">
        <v>31.914999999999999</v>
      </c>
      <c r="D5507" s="4">
        <v>1504.79225</v>
      </c>
      <c r="E5507" s="4">
        <v>957.45</v>
      </c>
      <c r="F5507" s="4">
        <f t="shared" si="311"/>
        <v>547.34224999999992</v>
      </c>
      <c r="G5507" s="5">
        <f t="shared" si="312"/>
        <v>0.36373276776246016</v>
      </c>
      <c r="H5507" s="2" t="s">
        <v>5</v>
      </c>
      <c r="I5507" s="6" t="s">
        <v>2300</v>
      </c>
      <c r="J5507" s="2" t="s">
        <v>5</v>
      </c>
      <c r="K5507" s="2" t="s">
        <v>5</v>
      </c>
      <c r="L5507" s="2" t="s">
        <v>5</v>
      </c>
      <c r="M5507" s="2" t="s">
        <v>5</v>
      </c>
      <c r="N5507" s="4">
        <v>0</v>
      </c>
    </row>
    <row r="5508" spans="1:14" x14ac:dyDescent="0.25">
      <c r="A5508" s="2" t="s">
        <v>318</v>
      </c>
      <c r="B5508" s="2" t="s">
        <v>319</v>
      </c>
      <c r="C5508" s="3">
        <v>12.595000000000001</v>
      </c>
      <c r="D5508" s="4">
        <v>590.83145000000002</v>
      </c>
      <c r="E5508" s="4">
        <v>377.85</v>
      </c>
      <c r="F5508" s="4">
        <f t="shared" si="311"/>
        <v>212.98145</v>
      </c>
      <c r="G5508" s="5">
        <f t="shared" si="312"/>
        <v>0.36047751012577273</v>
      </c>
      <c r="H5508" s="2" t="s">
        <v>5</v>
      </c>
      <c r="I5508" s="6" t="s">
        <v>2300</v>
      </c>
      <c r="J5508" s="2" t="s">
        <v>5</v>
      </c>
      <c r="K5508" s="2" t="s">
        <v>5</v>
      </c>
      <c r="L5508" s="2" t="s">
        <v>5</v>
      </c>
      <c r="M5508" s="2" t="s">
        <v>5</v>
      </c>
      <c r="N5508" s="4">
        <v>0</v>
      </c>
    </row>
    <row r="5509" spans="1:14" x14ac:dyDescent="0.25">
      <c r="A5509" s="2" t="s">
        <v>318</v>
      </c>
      <c r="B5509" s="2" t="s">
        <v>319</v>
      </c>
      <c r="C5509" s="3">
        <v>2.7719999999999998</v>
      </c>
      <c r="D5509" s="4">
        <v>130.69980000000001</v>
      </c>
      <c r="E5509" s="4">
        <v>83.16</v>
      </c>
      <c r="F5509" s="4">
        <f t="shared" si="311"/>
        <v>47.539800000000014</v>
      </c>
      <c r="G5509" s="5">
        <f t="shared" si="312"/>
        <v>0.36373276776246033</v>
      </c>
      <c r="H5509" s="2" t="s">
        <v>5</v>
      </c>
      <c r="I5509" s="6" t="s">
        <v>2300</v>
      </c>
      <c r="J5509" s="2" t="s">
        <v>5</v>
      </c>
      <c r="K5509" s="2" t="s">
        <v>5</v>
      </c>
      <c r="L5509" s="2" t="s">
        <v>5</v>
      </c>
      <c r="M5509" s="2" t="s">
        <v>5</v>
      </c>
      <c r="N5509" s="4">
        <v>0</v>
      </c>
    </row>
    <row r="5510" spans="1:14" x14ac:dyDescent="0.25">
      <c r="A5510" s="2" t="s">
        <v>318</v>
      </c>
      <c r="B5510" s="2" t="s">
        <v>319</v>
      </c>
      <c r="C5510" s="3">
        <v>8.34</v>
      </c>
      <c r="D5510" s="4">
        <v>391.2294</v>
      </c>
      <c r="E5510" s="4">
        <v>250.2</v>
      </c>
      <c r="F5510" s="4">
        <f t="shared" si="311"/>
        <v>141.02940000000001</v>
      </c>
      <c r="G5510" s="5">
        <f t="shared" si="312"/>
        <v>0.36047751012577278</v>
      </c>
      <c r="H5510" s="2" t="s">
        <v>5</v>
      </c>
      <c r="I5510" s="6" t="s">
        <v>2300</v>
      </c>
      <c r="J5510" s="2" t="s">
        <v>5</v>
      </c>
      <c r="K5510" s="2" t="s">
        <v>5</v>
      </c>
      <c r="L5510" s="2" t="s">
        <v>5</v>
      </c>
      <c r="M5510" s="2" t="s">
        <v>5</v>
      </c>
      <c r="N5510" s="4">
        <v>0</v>
      </c>
    </row>
    <row r="5511" spans="1:14" x14ac:dyDescent="0.25">
      <c r="A5511" s="2" t="s">
        <v>833</v>
      </c>
      <c r="B5511" s="2" t="s">
        <v>834</v>
      </c>
      <c r="C5511" s="3">
        <v>6.2</v>
      </c>
      <c r="D5511" s="4">
        <v>292.33</v>
      </c>
      <c r="E5511" s="4">
        <v>186</v>
      </c>
      <c r="F5511" s="4">
        <f t="shared" si="311"/>
        <v>106.32999999999998</v>
      </c>
      <c r="G5511" s="5">
        <f t="shared" si="312"/>
        <v>0.36373276776246022</v>
      </c>
      <c r="H5511" s="2" t="s">
        <v>5</v>
      </c>
      <c r="I5511" s="6" t="s">
        <v>2300</v>
      </c>
      <c r="J5511" s="2" t="s">
        <v>5</v>
      </c>
      <c r="K5511" s="2" t="s">
        <v>5</v>
      </c>
      <c r="L5511" s="2" t="s">
        <v>5</v>
      </c>
      <c r="M5511" s="2" t="s">
        <v>5</v>
      </c>
      <c r="N5511" s="4">
        <v>0</v>
      </c>
    </row>
    <row r="5512" spans="1:14" x14ac:dyDescent="0.25">
      <c r="A5512" s="2" t="s">
        <v>2194</v>
      </c>
      <c r="B5512" s="2" t="s">
        <v>2195</v>
      </c>
      <c r="C5512" s="3">
        <v>78.459999999999994</v>
      </c>
      <c r="D5512" s="4">
        <v>3668.0050000000001</v>
      </c>
      <c r="E5512" s="4">
        <v>2353.8000000000002</v>
      </c>
      <c r="F5512" s="4">
        <f t="shared" si="311"/>
        <v>1314.2049999999999</v>
      </c>
      <c r="G5512" s="5">
        <f t="shared" si="312"/>
        <v>0.35828877005347592</v>
      </c>
      <c r="H5512" s="2" t="s">
        <v>5</v>
      </c>
      <c r="I5512" s="6" t="s">
        <v>2300</v>
      </c>
      <c r="J5512" s="2" t="s">
        <v>5</v>
      </c>
      <c r="K5512" s="2" t="s">
        <v>5</v>
      </c>
      <c r="L5512" s="2" t="s">
        <v>5</v>
      </c>
      <c r="M5512" s="2" t="s">
        <v>5</v>
      </c>
      <c r="N5512" s="4">
        <v>0</v>
      </c>
    </row>
    <row r="5513" spans="1:14" x14ac:dyDescent="0.25">
      <c r="A5513" s="2" t="s">
        <v>835</v>
      </c>
      <c r="B5513" s="2" t="s">
        <v>836</v>
      </c>
      <c r="C5513" s="3">
        <v>8.34</v>
      </c>
      <c r="D5513" s="4">
        <v>393.23099999999999</v>
      </c>
      <c r="E5513" s="4">
        <v>258.54000000000002</v>
      </c>
      <c r="F5513" s="4">
        <f t="shared" si="311"/>
        <v>134.69099999999997</v>
      </c>
      <c r="G5513" s="5">
        <f t="shared" si="312"/>
        <v>0.34252386002120883</v>
      </c>
      <c r="H5513" s="2" t="s">
        <v>5</v>
      </c>
      <c r="I5513" s="6" t="s">
        <v>2300</v>
      </c>
      <c r="J5513" s="2" t="s">
        <v>5</v>
      </c>
      <c r="K5513" s="2" t="s">
        <v>5</v>
      </c>
      <c r="L5513" s="2" t="s">
        <v>5</v>
      </c>
      <c r="M5513" s="2" t="s">
        <v>5</v>
      </c>
      <c r="N5513" s="4">
        <v>0</v>
      </c>
    </row>
    <row r="5514" spans="1:14" x14ac:dyDescent="0.25">
      <c r="A5514" s="2" t="s">
        <v>835</v>
      </c>
      <c r="B5514" s="2" t="s">
        <v>836</v>
      </c>
      <c r="C5514" s="3">
        <v>8.26</v>
      </c>
      <c r="D5514" s="4">
        <v>389.459</v>
      </c>
      <c r="E5514" s="4">
        <v>256.06</v>
      </c>
      <c r="F5514" s="4">
        <f t="shared" si="311"/>
        <v>133.399</v>
      </c>
      <c r="G5514" s="5">
        <f t="shared" si="312"/>
        <v>0.34252386002120888</v>
      </c>
      <c r="H5514" s="2" t="s">
        <v>5</v>
      </c>
      <c r="I5514" s="6" t="s">
        <v>2300</v>
      </c>
      <c r="J5514" s="2" t="s">
        <v>5</v>
      </c>
      <c r="K5514" s="2" t="s">
        <v>5</v>
      </c>
      <c r="L5514" s="2" t="s">
        <v>5</v>
      </c>
      <c r="M5514" s="2" t="s">
        <v>5</v>
      </c>
      <c r="N5514" s="4">
        <v>0</v>
      </c>
    </row>
    <row r="5515" spans="1:14" x14ac:dyDescent="0.25">
      <c r="A5515" s="2" t="s">
        <v>171</v>
      </c>
      <c r="B5515" s="2" t="s">
        <v>172</v>
      </c>
      <c r="C5515" s="3">
        <v>6.1</v>
      </c>
      <c r="D5515" s="4">
        <v>255.89500000000001</v>
      </c>
      <c r="E5515" s="4">
        <v>189.1</v>
      </c>
      <c r="F5515" s="4">
        <f t="shared" si="311"/>
        <v>66.795000000000016</v>
      </c>
      <c r="G5515" s="5">
        <f t="shared" si="312"/>
        <v>0.26102502979737791</v>
      </c>
      <c r="H5515" s="2" t="s">
        <v>5</v>
      </c>
      <c r="I5515" s="6" t="s">
        <v>2300</v>
      </c>
      <c r="J5515" s="2" t="s">
        <v>5</v>
      </c>
      <c r="K5515" s="2" t="s">
        <v>5</v>
      </c>
      <c r="L5515" s="2" t="s">
        <v>5</v>
      </c>
      <c r="M5515" s="2" t="s">
        <v>5</v>
      </c>
      <c r="N5515" s="4">
        <v>0</v>
      </c>
    </row>
    <row r="5516" spans="1:14" x14ac:dyDescent="0.25">
      <c r="A5516" s="2" t="s">
        <v>171</v>
      </c>
      <c r="B5516" s="2" t="s">
        <v>172</v>
      </c>
      <c r="C5516" s="3">
        <v>43.52</v>
      </c>
      <c r="D5516" s="4">
        <v>1885.2864</v>
      </c>
      <c r="E5516" s="4">
        <v>1349.12</v>
      </c>
      <c r="F5516" s="4">
        <f t="shared" si="311"/>
        <v>536.16640000000007</v>
      </c>
      <c r="G5516" s="5">
        <f t="shared" si="312"/>
        <v>0.28439519852262241</v>
      </c>
      <c r="H5516" s="2" t="s">
        <v>5</v>
      </c>
      <c r="I5516" s="6" t="s">
        <v>2300</v>
      </c>
      <c r="J5516" s="2" t="s">
        <v>5</v>
      </c>
      <c r="K5516" s="2" t="s">
        <v>5</v>
      </c>
      <c r="L5516" s="2" t="s">
        <v>5</v>
      </c>
      <c r="M5516" s="2" t="s">
        <v>5</v>
      </c>
      <c r="N5516" s="4">
        <v>0</v>
      </c>
    </row>
    <row r="5517" spans="1:14" x14ac:dyDescent="0.25">
      <c r="A5517" s="2" t="s">
        <v>171</v>
      </c>
      <c r="B5517" s="2" t="s">
        <v>172</v>
      </c>
      <c r="C5517" s="3">
        <v>19.445</v>
      </c>
      <c r="D5517" s="4">
        <v>873.27494999999999</v>
      </c>
      <c r="E5517" s="4">
        <v>602.79499999999996</v>
      </c>
      <c r="F5517" s="4">
        <f t="shared" si="311"/>
        <v>270.47995000000003</v>
      </c>
      <c r="G5517" s="5">
        <f t="shared" si="312"/>
        <v>0.30973057225562239</v>
      </c>
      <c r="H5517" s="2" t="s">
        <v>5</v>
      </c>
      <c r="I5517" s="6" t="s">
        <v>2300</v>
      </c>
      <c r="J5517" s="2" t="s">
        <v>5</v>
      </c>
      <c r="K5517" s="2" t="s">
        <v>5</v>
      </c>
      <c r="L5517" s="2" t="s">
        <v>5</v>
      </c>
      <c r="M5517" s="2" t="s">
        <v>5</v>
      </c>
      <c r="N5517" s="4">
        <v>0</v>
      </c>
    </row>
    <row r="5518" spans="1:14" x14ac:dyDescent="0.25">
      <c r="A5518" s="2" t="s">
        <v>171</v>
      </c>
      <c r="B5518" s="2" t="s">
        <v>172</v>
      </c>
      <c r="C5518" s="3">
        <v>6.12</v>
      </c>
      <c r="D5518" s="4">
        <v>256.73399999999998</v>
      </c>
      <c r="E5518" s="4">
        <v>189.72</v>
      </c>
      <c r="F5518" s="4">
        <f t="shared" si="311"/>
        <v>67.013999999999982</v>
      </c>
      <c r="G5518" s="5">
        <f t="shared" si="312"/>
        <v>0.26102502979737779</v>
      </c>
      <c r="H5518" s="2" t="s">
        <v>5</v>
      </c>
      <c r="I5518" s="6" t="s">
        <v>2300</v>
      </c>
      <c r="J5518" s="2" t="s">
        <v>5</v>
      </c>
      <c r="K5518" s="2" t="s">
        <v>5</v>
      </c>
      <c r="L5518" s="2" t="s">
        <v>5</v>
      </c>
      <c r="M5518" s="2" t="s">
        <v>5</v>
      </c>
      <c r="N5518" s="4">
        <v>0</v>
      </c>
    </row>
    <row r="5519" spans="1:14" x14ac:dyDescent="0.25">
      <c r="A5519" s="2" t="s">
        <v>171</v>
      </c>
      <c r="B5519" s="2" t="s">
        <v>172</v>
      </c>
      <c r="C5519" s="3">
        <v>16.446999999999999</v>
      </c>
      <c r="D5519" s="4">
        <v>689.95164999999997</v>
      </c>
      <c r="E5519" s="4">
        <v>509.85700000000003</v>
      </c>
      <c r="F5519" s="4">
        <f t="shared" si="311"/>
        <v>180.09464999999994</v>
      </c>
      <c r="G5519" s="5">
        <f t="shared" si="312"/>
        <v>0.26102502979737774</v>
      </c>
      <c r="H5519" s="2" t="s">
        <v>5</v>
      </c>
      <c r="I5519" s="6" t="s">
        <v>2300</v>
      </c>
      <c r="J5519" s="2" t="s">
        <v>5</v>
      </c>
      <c r="K5519" s="2" t="s">
        <v>5</v>
      </c>
      <c r="L5519" s="2" t="s">
        <v>5</v>
      </c>
      <c r="M5519" s="2" t="s">
        <v>5</v>
      </c>
      <c r="N5519" s="4">
        <v>0</v>
      </c>
    </row>
    <row r="5520" spans="1:14" x14ac:dyDescent="0.25">
      <c r="A5520" s="2" t="s">
        <v>171</v>
      </c>
      <c r="B5520" s="2" t="s">
        <v>172</v>
      </c>
      <c r="C5520" s="3">
        <v>1.28</v>
      </c>
      <c r="D5520" s="4">
        <v>60.351999999999997</v>
      </c>
      <c r="E5520" s="4">
        <v>39.68</v>
      </c>
      <c r="F5520" s="4">
        <f t="shared" si="311"/>
        <v>20.671999999999997</v>
      </c>
      <c r="G5520" s="5">
        <f t="shared" si="312"/>
        <v>0.34252386002120888</v>
      </c>
      <c r="H5520" s="2" t="s">
        <v>5</v>
      </c>
      <c r="I5520" s="6" t="s">
        <v>2300</v>
      </c>
      <c r="J5520" s="2" t="s">
        <v>5</v>
      </c>
      <c r="K5520" s="2" t="s">
        <v>5</v>
      </c>
      <c r="L5520" s="2" t="s">
        <v>5</v>
      </c>
      <c r="M5520" s="2" t="s">
        <v>5</v>
      </c>
      <c r="N5520" s="4">
        <v>0</v>
      </c>
    </row>
    <row r="5521" spans="1:14" x14ac:dyDescent="0.25">
      <c r="A5521" s="2" t="s">
        <v>646</v>
      </c>
      <c r="B5521" s="2" t="s">
        <v>647</v>
      </c>
      <c r="C5521" s="3">
        <v>38.83</v>
      </c>
      <c r="D5521" s="4">
        <v>1586.2055</v>
      </c>
      <c r="E5521" s="4">
        <v>1203.73</v>
      </c>
      <c r="F5521" s="4">
        <f t="shared" si="311"/>
        <v>382.47550000000001</v>
      </c>
      <c r="G5521" s="5">
        <f t="shared" si="312"/>
        <v>0.24112607099143207</v>
      </c>
      <c r="H5521" s="2" t="s">
        <v>5</v>
      </c>
      <c r="I5521" s="6" t="s">
        <v>2300</v>
      </c>
      <c r="J5521" s="2" t="s">
        <v>5</v>
      </c>
      <c r="K5521" s="2" t="s">
        <v>5</v>
      </c>
      <c r="L5521" s="2" t="s">
        <v>5</v>
      </c>
      <c r="M5521" s="2" t="s">
        <v>5</v>
      </c>
      <c r="N5521" s="4">
        <v>0</v>
      </c>
    </row>
    <row r="5522" spans="1:14" x14ac:dyDescent="0.25">
      <c r="A5522" s="2" t="s">
        <v>646</v>
      </c>
      <c r="B5522" s="2" t="s">
        <v>647</v>
      </c>
      <c r="C5522" s="3">
        <v>105.27</v>
      </c>
      <c r="D5522" s="4">
        <v>4300.2794999999996</v>
      </c>
      <c r="E5522" s="4">
        <v>3263.37</v>
      </c>
      <c r="F5522" s="4">
        <f t="shared" si="311"/>
        <v>1036.9094999999998</v>
      </c>
      <c r="G5522" s="5">
        <f t="shared" si="312"/>
        <v>0.24112607099143202</v>
      </c>
      <c r="H5522" s="2" t="s">
        <v>5</v>
      </c>
      <c r="I5522" s="6" t="s">
        <v>2300</v>
      </c>
      <c r="J5522" s="2" t="s">
        <v>5</v>
      </c>
      <c r="K5522" s="2" t="s">
        <v>5</v>
      </c>
      <c r="L5522" s="2" t="s">
        <v>5</v>
      </c>
      <c r="M5522" s="2" t="s">
        <v>5</v>
      </c>
      <c r="N5522" s="4">
        <v>0</v>
      </c>
    </row>
    <row r="5523" spans="1:14" x14ac:dyDescent="0.25">
      <c r="A5523" s="2" t="s">
        <v>646</v>
      </c>
      <c r="B5523" s="2" t="s">
        <v>647</v>
      </c>
      <c r="C5523" s="3">
        <v>14.72</v>
      </c>
      <c r="D5523" s="4">
        <v>601.31200000000001</v>
      </c>
      <c r="E5523" s="4">
        <v>456.32</v>
      </c>
      <c r="F5523" s="4">
        <f t="shared" si="311"/>
        <v>144.99200000000002</v>
      </c>
      <c r="G5523" s="5">
        <f t="shared" si="312"/>
        <v>0.2411260709914321</v>
      </c>
      <c r="H5523" s="2" t="s">
        <v>5</v>
      </c>
      <c r="I5523" s="6" t="s">
        <v>2300</v>
      </c>
      <c r="J5523" s="2" t="s">
        <v>5</v>
      </c>
      <c r="K5523" s="2" t="s">
        <v>5</v>
      </c>
      <c r="L5523" s="2" t="s">
        <v>5</v>
      </c>
      <c r="M5523" s="2" t="s">
        <v>5</v>
      </c>
      <c r="N5523" s="4">
        <v>0</v>
      </c>
    </row>
    <row r="5524" spans="1:14" x14ac:dyDescent="0.25">
      <c r="A5524" s="2" t="s">
        <v>646</v>
      </c>
      <c r="B5524" s="2" t="s">
        <v>647</v>
      </c>
      <c r="C5524" s="3">
        <v>16.760000000000002</v>
      </c>
      <c r="D5524" s="4">
        <v>681.29399999999998</v>
      </c>
      <c r="E5524" s="4">
        <v>519.55999999999995</v>
      </c>
      <c r="F5524" s="4">
        <f t="shared" si="311"/>
        <v>161.73400000000004</v>
      </c>
      <c r="G5524" s="5">
        <f t="shared" si="312"/>
        <v>0.2373923739237393</v>
      </c>
      <c r="H5524" s="2" t="s">
        <v>5</v>
      </c>
      <c r="I5524" s="6" t="s">
        <v>2300</v>
      </c>
      <c r="J5524" s="2" t="s">
        <v>5</v>
      </c>
      <c r="K5524" s="2" t="s">
        <v>5</v>
      </c>
      <c r="L5524" s="2" t="s">
        <v>5</v>
      </c>
      <c r="M5524" s="2" t="s">
        <v>5</v>
      </c>
      <c r="N5524" s="4">
        <v>0</v>
      </c>
    </row>
    <row r="5525" spans="1:14" x14ac:dyDescent="0.25">
      <c r="A5525" s="2" t="s">
        <v>646</v>
      </c>
      <c r="B5525" s="2" t="s">
        <v>647</v>
      </c>
      <c r="C5525" s="3">
        <v>27.94</v>
      </c>
      <c r="D5525" s="4">
        <v>1141.3489999999999</v>
      </c>
      <c r="E5525" s="4">
        <v>866.14</v>
      </c>
      <c r="F5525" s="4">
        <f t="shared" si="311"/>
        <v>275.20899999999995</v>
      </c>
      <c r="G5525" s="5">
        <f t="shared" si="312"/>
        <v>0.24112607099143205</v>
      </c>
      <c r="H5525" s="2" t="s">
        <v>5</v>
      </c>
      <c r="I5525" s="6" t="s">
        <v>2300</v>
      </c>
      <c r="J5525" s="2" t="s">
        <v>5</v>
      </c>
      <c r="K5525" s="2" t="s">
        <v>5</v>
      </c>
      <c r="L5525" s="2" t="s">
        <v>5</v>
      </c>
      <c r="M5525" s="2" t="s">
        <v>5</v>
      </c>
      <c r="N5525" s="4">
        <v>0</v>
      </c>
    </row>
    <row r="5526" spans="1:14" x14ac:dyDescent="0.25">
      <c r="A5526" s="2" t="s">
        <v>646</v>
      </c>
      <c r="B5526" s="2" t="s">
        <v>647</v>
      </c>
      <c r="C5526" s="3">
        <v>5.6</v>
      </c>
      <c r="D5526" s="4">
        <v>228.76</v>
      </c>
      <c r="E5526" s="4">
        <v>173.6</v>
      </c>
      <c r="F5526" s="4">
        <f t="shared" si="311"/>
        <v>55.16</v>
      </c>
      <c r="G5526" s="5">
        <f t="shared" si="312"/>
        <v>0.24112607099143207</v>
      </c>
      <c r="H5526" s="2" t="s">
        <v>5</v>
      </c>
      <c r="I5526" s="6" t="s">
        <v>2300</v>
      </c>
      <c r="J5526" s="2" t="s">
        <v>5</v>
      </c>
      <c r="K5526" s="2" t="s">
        <v>5</v>
      </c>
      <c r="L5526" s="2" t="s">
        <v>5</v>
      </c>
      <c r="M5526" s="2" t="s">
        <v>5</v>
      </c>
      <c r="N5526" s="4">
        <v>0</v>
      </c>
    </row>
    <row r="5527" spans="1:14" x14ac:dyDescent="0.25">
      <c r="A5527" s="2" t="s">
        <v>737</v>
      </c>
      <c r="B5527" s="2" t="s">
        <v>738</v>
      </c>
      <c r="C5527" s="3">
        <v>4.2619999999999996</v>
      </c>
      <c r="D5527" s="4">
        <v>224.39429999999999</v>
      </c>
      <c r="E5527" s="4">
        <v>168.34899999999999</v>
      </c>
      <c r="F5527" s="4">
        <f t="shared" si="311"/>
        <v>56.045299999999997</v>
      </c>
      <c r="G5527" s="5">
        <f t="shared" si="312"/>
        <v>0.24976258309591642</v>
      </c>
      <c r="H5527" s="2" t="s">
        <v>5</v>
      </c>
      <c r="I5527" s="6" t="s">
        <v>2300</v>
      </c>
      <c r="J5527" s="2" t="s">
        <v>5</v>
      </c>
      <c r="K5527" s="2" t="s">
        <v>5</v>
      </c>
      <c r="L5527" s="2" t="s">
        <v>5</v>
      </c>
      <c r="M5527" s="2" t="s">
        <v>5</v>
      </c>
      <c r="N5527" s="4">
        <v>0</v>
      </c>
    </row>
    <row r="5528" spans="1:14" x14ac:dyDescent="0.25">
      <c r="A5528" s="2" t="s">
        <v>737</v>
      </c>
      <c r="B5528" s="2" t="s">
        <v>738</v>
      </c>
      <c r="C5528" s="3">
        <v>18.43</v>
      </c>
      <c r="D5528" s="4">
        <v>974.947</v>
      </c>
      <c r="E5528" s="4">
        <v>727.98500000000001</v>
      </c>
      <c r="F5528" s="4">
        <f t="shared" si="311"/>
        <v>246.96199999999999</v>
      </c>
      <c r="G5528" s="5">
        <f t="shared" si="312"/>
        <v>0.25330812854442342</v>
      </c>
      <c r="H5528" s="2" t="s">
        <v>5</v>
      </c>
      <c r="I5528" s="6" t="s">
        <v>2300</v>
      </c>
      <c r="J5528" s="2" t="s">
        <v>5</v>
      </c>
      <c r="K5528" s="2" t="s">
        <v>5</v>
      </c>
      <c r="L5528" s="2" t="s">
        <v>5</v>
      </c>
      <c r="M5528" s="2" t="s">
        <v>5</v>
      </c>
      <c r="N5528" s="4">
        <v>0</v>
      </c>
    </row>
    <row r="5529" spans="1:14" x14ac:dyDescent="0.25">
      <c r="A5529" s="2" t="s">
        <v>737</v>
      </c>
      <c r="B5529" s="2" t="s">
        <v>738</v>
      </c>
      <c r="C5529" s="3">
        <v>11.25</v>
      </c>
      <c r="D5529" s="4">
        <v>592.3125</v>
      </c>
      <c r="E5529" s="4">
        <v>444.375</v>
      </c>
      <c r="F5529" s="4">
        <f t="shared" si="311"/>
        <v>147.9375</v>
      </c>
      <c r="G5529" s="5">
        <f t="shared" si="312"/>
        <v>0.24976258309591642</v>
      </c>
      <c r="H5529" s="2" t="s">
        <v>5</v>
      </c>
      <c r="I5529" s="6" t="s">
        <v>2300</v>
      </c>
      <c r="J5529" s="2" t="s">
        <v>5</v>
      </c>
      <c r="K5529" s="2" t="s">
        <v>5</v>
      </c>
      <c r="L5529" s="2" t="s">
        <v>5</v>
      </c>
      <c r="M5529" s="2" t="s">
        <v>5</v>
      </c>
      <c r="N5529" s="4">
        <v>0</v>
      </c>
    </row>
    <row r="5530" spans="1:14" x14ac:dyDescent="0.25">
      <c r="A5530" s="2" t="s">
        <v>737</v>
      </c>
      <c r="B5530" s="2" t="s">
        <v>738</v>
      </c>
      <c r="C5530" s="3">
        <v>31.5</v>
      </c>
      <c r="D5530" s="4">
        <v>1666.35</v>
      </c>
      <c r="E5530" s="4">
        <v>1244.25</v>
      </c>
      <c r="F5530" s="4">
        <f t="shared" si="311"/>
        <v>422.09999999999991</v>
      </c>
      <c r="G5530" s="5">
        <f t="shared" si="312"/>
        <v>0.25330812854442342</v>
      </c>
      <c r="H5530" s="2" t="s">
        <v>5</v>
      </c>
      <c r="I5530" s="6" t="s">
        <v>2300</v>
      </c>
      <c r="J5530" s="2" t="s">
        <v>5</v>
      </c>
      <c r="K5530" s="2" t="s">
        <v>5</v>
      </c>
      <c r="L5530" s="2" t="s">
        <v>5</v>
      </c>
      <c r="M5530" s="2" t="s">
        <v>5</v>
      </c>
      <c r="N5530" s="4">
        <v>0</v>
      </c>
    </row>
    <row r="5531" spans="1:14" x14ac:dyDescent="0.25">
      <c r="A5531" s="2" t="s">
        <v>737</v>
      </c>
      <c r="B5531" s="2" t="s">
        <v>738</v>
      </c>
      <c r="C5531" s="3">
        <v>4.2919999999999998</v>
      </c>
      <c r="D5531" s="4">
        <v>225.97380000000001</v>
      </c>
      <c r="E5531" s="4">
        <v>169.53399999999999</v>
      </c>
      <c r="F5531" s="4">
        <f t="shared" si="311"/>
        <v>56.43980000000002</v>
      </c>
      <c r="G5531" s="5">
        <f t="shared" si="312"/>
        <v>0.24976258309591651</v>
      </c>
      <c r="H5531" s="2" t="s">
        <v>5</v>
      </c>
      <c r="I5531" s="6" t="s">
        <v>2300</v>
      </c>
      <c r="J5531" s="2" t="s">
        <v>5</v>
      </c>
      <c r="K5531" s="2" t="s">
        <v>5</v>
      </c>
      <c r="L5531" s="2" t="s">
        <v>5</v>
      </c>
      <c r="M5531" s="2" t="s">
        <v>5</v>
      </c>
      <c r="N5531" s="4">
        <v>0</v>
      </c>
    </row>
    <row r="5532" spans="1:14" x14ac:dyDescent="0.25">
      <c r="A5532" s="2" t="s">
        <v>737</v>
      </c>
      <c r="B5532" s="2" t="s">
        <v>738</v>
      </c>
      <c r="C5532" s="3">
        <v>3.6819999999999999</v>
      </c>
      <c r="D5532" s="4">
        <v>193.85730000000001</v>
      </c>
      <c r="E5532" s="4">
        <v>145.43899999999999</v>
      </c>
      <c r="F5532" s="4">
        <f t="shared" si="311"/>
        <v>48.418300000000016</v>
      </c>
      <c r="G5532" s="5">
        <f t="shared" si="312"/>
        <v>0.24976258309591651</v>
      </c>
      <c r="H5532" s="2" t="s">
        <v>5</v>
      </c>
      <c r="I5532" s="6" t="s">
        <v>2300</v>
      </c>
      <c r="J5532" s="2" t="s">
        <v>5</v>
      </c>
      <c r="K5532" s="2" t="s">
        <v>5</v>
      </c>
      <c r="L5532" s="2" t="s">
        <v>5</v>
      </c>
      <c r="M5532" s="2" t="s">
        <v>5</v>
      </c>
      <c r="N5532" s="4">
        <v>0</v>
      </c>
    </row>
    <row r="5533" spans="1:14" x14ac:dyDescent="0.25">
      <c r="A5533" s="2" t="s">
        <v>688</v>
      </c>
      <c r="B5533" s="2" t="s">
        <v>689</v>
      </c>
      <c r="C5533" s="3">
        <v>16.579999999999998</v>
      </c>
      <c r="D5533" s="4">
        <v>654.4126</v>
      </c>
      <c r="E5533" s="4">
        <v>389.63</v>
      </c>
      <c r="F5533" s="4">
        <f t="shared" si="311"/>
        <v>264.7826</v>
      </c>
      <c r="G5533" s="5">
        <f t="shared" si="312"/>
        <v>0.40461109703572334</v>
      </c>
      <c r="H5533" s="2" t="s">
        <v>5</v>
      </c>
      <c r="I5533" s="6" t="s">
        <v>2300</v>
      </c>
      <c r="J5533" s="2" t="s">
        <v>5</v>
      </c>
      <c r="K5533" s="2" t="s">
        <v>5</v>
      </c>
      <c r="L5533" s="2" t="s">
        <v>5</v>
      </c>
      <c r="M5533" s="2" t="s">
        <v>5</v>
      </c>
      <c r="N5533" s="4">
        <v>0</v>
      </c>
    </row>
    <row r="5534" spans="1:14" x14ac:dyDescent="0.25">
      <c r="A5534" s="2" t="s">
        <v>688</v>
      </c>
      <c r="B5534" s="2" t="s">
        <v>689</v>
      </c>
      <c r="C5534" s="3">
        <v>11.85</v>
      </c>
      <c r="D5534" s="4">
        <v>467.71949999999998</v>
      </c>
      <c r="E5534" s="4">
        <v>278.47500000000002</v>
      </c>
      <c r="F5534" s="4">
        <f t="shared" si="311"/>
        <v>189.24449999999996</v>
      </c>
      <c r="G5534" s="5">
        <f t="shared" si="312"/>
        <v>0.40461109703572329</v>
      </c>
      <c r="H5534" s="2" t="s">
        <v>5</v>
      </c>
      <c r="I5534" s="6" t="s">
        <v>2300</v>
      </c>
      <c r="J5534" s="2" t="s">
        <v>5</v>
      </c>
      <c r="K5534" s="2" t="s">
        <v>5</v>
      </c>
      <c r="L5534" s="2" t="s">
        <v>5</v>
      </c>
      <c r="M5534" s="2" t="s">
        <v>5</v>
      </c>
      <c r="N5534" s="4">
        <v>0</v>
      </c>
    </row>
    <row r="5535" spans="1:14" x14ac:dyDescent="0.25">
      <c r="A5535" s="2" t="s">
        <v>338</v>
      </c>
      <c r="B5535" s="2" t="s">
        <v>339</v>
      </c>
      <c r="C5535" s="3">
        <v>9.6750000000000007</v>
      </c>
      <c r="D5535" s="4">
        <v>488.10374999999999</v>
      </c>
      <c r="E5535" s="4">
        <v>328.95</v>
      </c>
      <c r="F5535" s="4">
        <f t="shared" si="311"/>
        <v>159.15375</v>
      </c>
      <c r="G5535" s="5">
        <f t="shared" si="312"/>
        <v>0.32606541129831518</v>
      </c>
      <c r="H5535" s="2" t="s">
        <v>5</v>
      </c>
      <c r="I5535" s="6" t="s">
        <v>2300</v>
      </c>
      <c r="J5535" s="2" t="s">
        <v>5</v>
      </c>
      <c r="K5535" s="2" t="s">
        <v>5</v>
      </c>
      <c r="L5535" s="2" t="s">
        <v>5</v>
      </c>
      <c r="M5535" s="2" t="s">
        <v>5</v>
      </c>
      <c r="N5535" s="4">
        <v>0</v>
      </c>
    </row>
    <row r="5536" spans="1:14" x14ac:dyDescent="0.25">
      <c r="A5536" s="2" t="s">
        <v>338</v>
      </c>
      <c r="B5536" s="2" t="s">
        <v>339</v>
      </c>
      <c r="C5536" s="3">
        <v>15.9</v>
      </c>
      <c r="D5536" s="4">
        <v>802.15499999999997</v>
      </c>
      <c r="E5536" s="4">
        <v>540.6</v>
      </c>
      <c r="F5536" s="4">
        <f t="shared" si="311"/>
        <v>261.55499999999995</v>
      </c>
      <c r="G5536" s="5">
        <f t="shared" si="312"/>
        <v>0.32606541129831512</v>
      </c>
      <c r="H5536" s="2" t="s">
        <v>5</v>
      </c>
      <c r="I5536" s="6" t="s">
        <v>2300</v>
      </c>
      <c r="J5536" s="2" t="s">
        <v>5</v>
      </c>
      <c r="K5536" s="2" t="s">
        <v>5</v>
      </c>
      <c r="L5536" s="2" t="s">
        <v>5</v>
      </c>
      <c r="M5536" s="2" t="s">
        <v>5</v>
      </c>
      <c r="N5536" s="4">
        <v>0</v>
      </c>
    </row>
    <row r="5537" spans="1:14" x14ac:dyDescent="0.25">
      <c r="A5537" s="2" t="s">
        <v>690</v>
      </c>
      <c r="B5537" s="2" t="s">
        <v>691</v>
      </c>
      <c r="C5537" s="3">
        <v>40.74</v>
      </c>
      <c r="D5537" s="4">
        <v>655.91399999999999</v>
      </c>
      <c r="E5537" s="4">
        <v>236.292</v>
      </c>
      <c r="F5537" s="4">
        <f t="shared" ref="F5537:F5600" si="313">D5537-E5537</f>
        <v>419.62199999999996</v>
      </c>
      <c r="G5537" s="5">
        <f t="shared" ref="G5537:G5600" si="314">IF(((D5537)=0),0,(D5537-E5537)/ D5537)</f>
        <v>0.63975155279503104</v>
      </c>
      <c r="H5537" s="2" t="s">
        <v>5</v>
      </c>
      <c r="I5537" s="6" t="s">
        <v>2300</v>
      </c>
      <c r="J5537" s="2" t="s">
        <v>5</v>
      </c>
      <c r="K5537" s="2" t="s">
        <v>5</v>
      </c>
      <c r="L5537" s="2" t="s">
        <v>5</v>
      </c>
      <c r="M5537" s="2" t="s">
        <v>5</v>
      </c>
      <c r="N5537" s="4">
        <v>0</v>
      </c>
    </row>
    <row r="5538" spans="1:14" x14ac:dyDescent="0.25">
      <c r="A5538" s="2" t="s">
        <v>690</v>
      </c>
      <c r="B5538" s="2" t="s">
        <v>691</v>
      </c>
      <c r="C5538" s="3">
        <v>2.1949999999999998</v>
      </c>
      <c r="D5538" s="4">
        <v>38.434449999999998</v>
      </c>
      <c r="E5538" s="4">
        <v>12.731</v>
      </c>
      <c r="F5538" s="4">
        <f t="shared" si="313"/>
        <v>25.703449999999997</v>
      </c>
      <c r="G5538" s="5">
        <f t="shared" si="314"/>
        <v>0.66876070816676181</v>
      </c>
      <c r="H5538" s="2" t="s">
        <v>5</v>
      </c>
      <c r="I5538" s="6" t="s">
        <v>2300</v>
      </c>
      <c r="J5538" s="2" t="s">
        <v>5</v>
      </c>
      <c r="K5538" s="2" t="s">
        <v>5</v>
      </c>
      <c r="L5538" s="2" t="s">
        <v>5</v>
      </c>
      <c r="M5538" s="2" t="s">
        <v>5</v>
      </c>
      <c r="N5538" s="4">
        <v>0</v>
      </c>
    </row>
    <row r="5539" spans="1:14" x14ac:dyDescent="0.25">
      <c r="A5539" s="2" t="s">
        <v>690</v>
      </c>
      <c r="B5539" s="2" t="s">
        <v>691</v>
      </c>
      <c r="C5539" s="3">
        <v>6.9749999999999996</v>
      </c>
      <c r="D5539" s="4">
        <v>122.13225</v>
      </c>
      <c r="E5539" s="4">
        <v>40.454999999999998</v>
      </c>
      <c r="F5539" s="4">
        <f t="shared" si="313"/>
        <v>81.677250000000001</v>
      </c>
      <c r="G5539" s="5">
        <f t="shared" si="314"/>
        <v>0.66876070816676181</v>
      </c>
      <c r="H5539" s="2" t="s">
        <v>5</v>
      </c>
      <c r="I5539" s="6" t="s">
        <v>2300</v>
      </c>
      <c r="J5539" s="2" t="s">
        <v>5</v>
      </c>
      <c r="K5539" s="2" t="s">
        <v>5</v>
      </c>
      <c r="L5539" s="2" t="s">
        <v>5</v>
      </c>
      <c r="M5539" s="2" t="s">
        <v>5</v>
      </c>
      <c r="N5539" s="4">
        <v>0</v>
      </c>
    </row>
    <row r="5540" spans="1:14" x14ac:dyDescent="0.25">
      <c r="A5540" s="2" t="s">
        <v>690</v>
      </c>
      <c r="B5540" s="2" t="s">
        <v>691</v>
      </c>
      <c r="C5540" s="3">
        <v>2.0499999999999998</v>
      </c>
      <c r="D5540" s="4">
        <v>35.895499999999998</v>
      </c>
      <c r="E5540" s="4">
        <v>11.89</v>
      </c>
      <c r="F5540" s="4">
        <f t="shared" si="313"/>
        <v>24.005499999999998</v>
      </c>
      <c r="G5540" s="5">
        <f t="shared" si="314"/>
        <v>0.66876070816676181</v>
      </c>
      <c r="H5540" s="2" t="s">
        <v>5</v>
      </c>
      <c r="I5540" s="6" t="s">
        <v>2300</v>
      </c>
      <c r="J5540" s="2" t="s">
        <v>5</v>
      </c>
      <c r="K5540" s="2" t="s">
        <v>5</v>
      </c>
      <c r="L5540" s="2" t="s">
        <v>5</v>
      </c>
      <c r="M5540" s="2" t="s">
        <v>5</v>
      </c>
      <c r="N5540" s="4">
        <v>0</v>
      </c>
    </row>
    <row r="5541" spans="1:14" x14ac:dyDescent="0.25">
      <c r="A5541" s="2" t="s">
        <v>1041</v>
      </c>
      <c r="B5541" s="2" t="s">
        <v>1042</v>
      </c>
      <c r="C5541" s="3">
        <v>72</v>
      </c>
      <c r="D5541" s="4">
        <v>2084.4</v>
      </c>
      <c r="E5541" s="4">
        <v>900</v>
      </c>
      <c r="F5541" s="4">
        <f t="shared" si="313"/>
        <v>1184.4000000000001</v>
      </c>
      <c r="G5541" s="5">
        <f t="shared" si="314"/>
        <v>0.56822107081174444</v>
      </c>
      <c r="H5541" s="2" t="s">
        <v>5</v>
      </c>
      <c r="I5541" s="6" t="s">
        <v>2300</v>
      </c>
      <c r="J5541" s="2" t="s">
        <v>5</v>
      </c>
      <c r="K5541" s="2" t="s">
        <v>5</v>
      </c>
      <c r="L5541" s="2" t="s">
        <v>5</v>
      </c>
      <c r="M5541" s="2" t="s">
        <v>5</v>
      </c>
      <c r="N5541" s="4">
        <v>0</v>
      </c>
    </row>
    <row r="5542" spans="1:14" x14ac:dyDescent="0.25">
      <c r="A5542" s="2" t="s">
        <v>1020</v>
      </c>
      <c r="B5542" s="2" t="s">
        <v>1021</v>
      </c>
      <c r="C5542" s="3">
        <v>144</v>
      </c>
      <c r="D5542" s="4">
        <v>23889.599999999999</v>
      </c>
      <c r="E5542" s="4">
        <v>14688</v>
      </c>
      <c r="F5542" s="4">
        <f t="shared" si="313"/>
        <v>9201.5999999999985</v>
      </c>
      <c r="G5542" s="5">
        <f t="shared" si="314"/>
        <v>0.38517179023508136</v>
      </c>
      <c r="H5542" s="2" t="s">
        <v>5</v>
      </c>
      <c r="I5542" s="6" t="s">
        <v>2300</v>
      </c>
      <c r="J5542" s="2" t="s">
        <v>5</v>
      </c>
      <c r="K5542" s="2" t="s">
        <v>5</v>
      </c>
      <c r="L5542" s="2" t="s">
        <v>5</v>
      </c>
      <c r="M5542" s="2" t="s">
        <v>5</v>
      </c>
      <c r="N5542" s="4">
        <v>0</v>
      </c>
    </row>
    <row r="5543" spans="1:14" x14ac:dyDescent="0.25">
      <c r="A5543" s="2" t="s">
        <v>1020</v>
      </c>
      <c r="B5543" s="2" t="s">
        <v>1021</v>
      </c>
      <c r="C5543" s="3">
        <v>72</v>
      </c>
      <c r="D5543" s="4">
        <v>11944.8</v>
      </c>
      <c r="E5543" s="4">
        <v>7344</v>
      </c>
      <c r="F5543" s="4">
        <f t="shared" si="313"/>
        <v>4600.7999999999993</v>
      </c>
      <c r="G5543" s="5">
        <f t="shared" si="314"/>
        <v>0.38517179023508136</v>
      </c>
      <c r="H5543" s="2" t="s">
        <v>5</v>
      </c>
      <c r="I5543" s="6" t="s">
        <v>2300</v>
      </c>
      <c r="J5543" s="2" t="s">
        <v>5</v>
      </c>
      <c r="K5543" s="2" t="s">
        <v>5</v>
      </c>
      <c r="L5543" s="2" t="s">
        <v>5</v>
      </c>
      <c r="M5543" s="2" t="s">
        <v>5</v>
      </c>
      <c r="N5543" s="4">
        <v>0</v>
      </c>
    </row>
    <row r="5544" spans="1:14" x14ac:dyDescent="0.25">
      <c r="A5544" s="2" t="s">
        <v>692</v>
      </c>
      <c r="B5544" s="2" t="s">
        <v>693</v>
      </c>
      <c r="C5544" s="3">
        <v>60.005000000000003</v>
      </c>
      <c r="D5544" s="4">
        <v>1282.3068499999999</v>
      </c>
      <c r="E5544" s="4">
        <v>750.0625</v>
      </c>
      <c r="F5544" s="4">
        <f t="shared" si="313"/>
        <v>532.24434999999994</v>
      </c>
      <c r="G5544" s="5">
        <f t="shared" si="314"/>
        <v>0.41506785212915298</v>
      </c>
      <c r="H5544" s="2" t="s">
        <v>5</v>
      </c>
      <c r="I5544" s="6" t="s">
        <v>2300</v>
      </c>
      <c r="J5544" s="2" t="s">
        <v>5</v>
      </c>
      <c r="K5544" s="2" t="s">
        <v>5</v>
      </c>
      <c r="L5544" s="2" t="s">
        <v>5</v>
      </c>
      <c r="M5544" s="2" t="s">
        <v>5</v>
      </c>
      <c r="N5544" s="4">
        <v>0</v>
      </c>
    </row>
    <row r="5545" spans="1:14" x14ac:dyDescent="0.25">
      <c r="A5545" s="2" t="s">
        <v>692</v>
      </c>
      <c r="B5545" s="2" t="s">
        <v>693</v>
      </c>
      <c r="C5545" s="3">
        <v>16.62</v>
      </c>
      <c r="D5545" s="4">
        <v>400.54199999999997</v>
      </c>
      <c r="E5545" s="4">
        <v>207.75</v>
      </c>
      <c r="F5545" s="4">
        <f t="shared" si="313"/>
        <v>192.79199999999997</v>
      </c>
      <c r="G5545" s="5">
        <f t="shared" si="314"/>
        <v>0.48132780082987547</v>
      </c>
      <c r="H5545" s="2" t="s">
        <v>5</v>
      </c>
      <c r="I5545" s="6" t="s">
        <v>2300</v>
      </c>
      <c r="J5545" s="2" t="s">
        <v>5</v>
      </c>
      <c r="K5545" s="2" t="s">
        <v>5</v>
      </c>
      <c r="L5545" s="2" t="s">
        <v>5</v>
      </c>
      <c r="M5545" s="2" t="s">
        <v>5</v>
      </c>
      <c r="N5545" s="4">
        <v>0</v>
      </c>
    </row>
    <row r="5546" spans="1:14" x14ac:dyDescent="0.25">
      <c r="A5546" s="2" t="s">
        <v>692</v>
      </c>
      <c r="B5546" s="2" t="s">
        <v>693</v>
      </c>
      <c r="C5546" s="3">
        <v>8.375</v>
      </c>
      <c r="D5546" s="4">
        <v>201.83750000000001</v>
      </c>
      <c r="E5546" s="4">
        <v>104.6875</v>
      </c>
      <c r="F5546" s="4">
        <f t="shared" si="313"/>
        <v>97.15</v>
      </c>
      <c r="G5546" s="5">
        <f t="shared" si="314"/>
        <v>0.48132780082987553</v>
      </c>
      <c r="H5546" s="2" t="s">
        <v>5</v>
      </c>
      <c r="I5546" s="6" t="s">
        <v>2300</v>
      </c>
      <c r="J5546" s="2" t="s">
        <v>5</v>
      </c>
      <c r="K5546" s="2" t="s">
        <v>5</v>
      </c>
      <c r="L5546" s="2" t="s">
        <v>5</v>
      </c>
      <c r="M5546" s="2" t="s">
        <v>5</v>
      </c>
      <c r="N5546" s="4">
        <v>0</v>
      </c>
    </row>
    <row r="5547" spans="1:14" x14ac:dyDescent="0.25">
      <c r="A5547" s="2" t="s">
        <v>692</v>
      </c>
      <c r="B5547" s="2" t="s">
        <v>693</v>
      </c>
      <c r="C5547" s="3">
        <v>10.55</v>
      </c>
      <c r="D5547" s="4">
        <v>254.255</v>
      </c>
      <c r="E5547" s="4">
        <v>131.875</v>
      </c>
      <c r="F5547" s="4">
        <f t="shared" si="313"/>
        <v>122.38</v>
      </c>
      <c r="G5547" s="5">
        <f t="shared" si="314"/>
        <v>0.48132780082987553</v>
      </c>
      <c r="H5547" s="2" t="s">
        <v>5</v>
      </c>
      <c r="I5547" s="6" t="s">
        <v>2300</v>
      </c>
      <c r="J5547" s="2" t="s">
        <v>5</v>
      </c>
      <c r="K5547" s="2" t="s">
        <v>5</v>
      </c>
      <c r="L5547" s="2" t="s">
        <v>5</v>
      </c>
      <c r="M5547" s="2" t="s">
        <v>5</v>
      </c>
      <c r="N5547" s="4">
        <v>0</v>
      </c>
    </row>
    <row r="5548" spans="1:14" x14ac:dyDescent="0.25">
      <c r="A5548" s="2" t="s">
        <v>692</v>
      </c>
      <c r="B5548" s="2" t="s">
        <v>693</v>
      </c>
      <c r="C5548" s="3">
        <v>31.87</v>
      </c>
      <c r="D5548" s="4">
        <v>768.06700000000001</v>
      </c>
      <c r="E5548" s="4">
        <v>398.375</v>
      </c>
      <c r="F5548" s="4">
        <f t="shared" si="313"/>
        <v>369.69200000000001</v>
      </c>
      <c r="G5548" s="5">
        <f t="shared" si="314"/>
        <v>0.48132780082987553</v>
      </c>
      <c r="H5548" s="2" t="s">
        <v>5</v>
      </c>
      <c r="I5548" s="6" t="s">
        <v>2300</v>
      </c>
      <c r="J5548" s="2" t="s">
        <v>5</v>
      </c>
      <c r="K5548" s="2" t="s">
        <v>5</v>
      </c>
      <c r="L5548" s="2" t="s">
        <v>5</v>
      </c>
      <c r="M5548" s="2" t="s">
        <v>5</v>
      </c>
      <c r="N5548" s="4">
        <v>0</v>
      </c>
    </row>
    <row r="5549" spans="1:14" x14ac:dyDescent="0.25">
      <c r="A5549" s="2" t="s">
        <v>1286</v>
      </c>
      <c r="B5549" s="2" t="s">
        <v>1287</v>
      </c>
      <c r="C5549" s="3">
        <v>17.25</v>
      </c>
      <c r="D5549" s="4">
        <v>411.75749999999999</v>
      </c>
      <c r="E5549" s="4">
        <v>215.625</v>
      </c>
      <c r="F5549" s="4">
        <f t="shared" si="313"/>
        <v>196.13249999999999</v>
      </c>
      <c r="G5549" s="5">
        <f t="shared" si="314"/>
        <v>0.4763301214914118</v>
      </c>
      <c r="H5549" s="2" t="s">
        <v>5</v>
      </c>
      <c r="I5549" s="6" t="s">
        <v>2300</v>
      </c>
      <c r="J5549" s="2" t="s">
        <v>5</v>
      </c>
      <c r="K5549" s="2" t="s">
        <v>5</v>
      </c>
      <c r="L5549" s="2" t="s">
        <v>5</v>
      </c>
      <c r="M5549" s="2" t="s">
        <v>5</v>
      </c>
      <c r="N5549" s="4">
        <v>0</v>
      </c>
    </row>
    <row r="5550" spans="1:14" x14ac:dyDescent="0.25">
      <c r="A5550" s="2" t="s">
        <v>1560</v>
      </c>
      <c r="B5550" s="2" t="s">
        <v>1561</v>
      </c>
      <c r="C5550" s="3">
        <v>8.25</v>
      </c>
      <c r="D5550" s="4">
        <v>198.82499999999999</v>
      </c>
      <c r="E5550" s="4">
        <v>103.125</v>
      </c>
      <c r="F5550" s="4">
        <f t="shared" si="313"/>
        <v>95.699999999999989</v>
      </c>
      <c r="G5550" s="5">
        <f t="shared" si="314"/>
        <v>0.48132780082987547</v>
      </c>
      <c r="H5550" s="2" t="s">
        <v>5</v>
      </c>
      <c r="I5550" s="6" t="s">
        <v>2300</v>
      </c>
      <c r="J5550" s="2" t="s">
        <v>5</v>
      </c>
      <c r="K5550" s="2" t="s">
        <v>5</v>
      </c>
      <c r="L5550" s="2" t="s">
        <v>5</v>
      </c>
      <c r="M5550" s="2" t="s">
        <v>5</v>
      </c>
      <c r="N5550" s="4">
        <v>0</v>
      </c>
    </row>
    <row r="5551" spans="1:14" x14ac:dyDescent="0.25">
      <c r="A5551" s="2" t="s">
        <v>587</v>
      </c>
      <c r="B5551" s="2" t="s">
        <v>588</v>
      </c>
      <c r="C5551" s="3">
        <v>16.760000000000002</v>
      </c>
      <c r="D5551" s="4">
        <v>450.84399999999999</v>
      </c>
      <c r="E5551" s="4">
        <v>234.64</v>
      </c>
      <c r="F5551" s="4">
        <f t="shared" si="313"/>
        <v>216.20400000000001</v>
      </c>
      <c r="G5551" s="5">
        <f t="shared" si="314"/>
        <v>0.47955390334572495</v>
      </c>
      <c r="H5551" s="2" t="s">
        <v>5</v>
      </c>
      <c r="I5551" s="6" t="s">
        <v>2300</v>
      </c>
      <c r="J5551" s="2" t="s">
        <v>5</v>
      </c>
      <c r="K5551" s="2" t="s">
        <v>5</v>
      </c>
      <c r="L5551" s="2" t="s">
        <v>5</v>
      </c>
      <c r="M5551" s="2" t="s">
        <v>5</v>
      </c>
      <c r="N5551" s="4">
        <v>0</v>
      </c>
    </row>
    <row r="5552" spans="1:14" x14ac:dyDescent="0.25">
      <c r="A5552" s="2" t="s">
        <v>587</v>
      </c>
      <c r="B5552" s="2" t="s">
        <v>588</v>
      </c>
      <c r="C5552" s="3">
        <v>12.35</v>
      </c>
      <c r="D5552" s="4">
        <v>317.88900000000001</v>
      </c>
      <c r="E5552" s="4">
        <v>172.9</v>
      </c>
      <c r="F5552" s="4">
        <f t="shared" si="313"/>
        <v>144.989</v>
      </c>
      <c r="G5552" s="5">
        <f t="shared" si="314"/>
        <v>0.45609945609945612</v>
      </c>
      <c r="H5552" s="2" t="s">
        <v>5</v>
      </c>
      <c r="I5552" s="6" t="s">
        <v>2300</v>
      </c>
      <c r="J5552" s="2" t="s">
        <v>5</v>
      </c>
      <c r="K5552" s="2" t="s">
        <v>5</v>
      </c>
      <c r="L5552" s="2" t="s">
        <v>5</v>
      </c>
      <c r="M5552" s="2" t="s">
        <v>5</v>
      </c>
      <c r="N5552" s="4">
        <v>0</v>
      </c>
    </row>
    <row r="5553" spans="1:14" x14ac:dyDescent="0.25">
      <c r="A5553" s="2" t="s">
        <v>136</v>
      </c>
      <c r="B5553" s="2" t="s">
        <v>137</v>
      </c>
      <c r="C5553" s="3">
        <v>2.1560000000000001</v>
      </c>
      <c r="D5553" s="4">
        <v>57.996400000000001</v>
      </c>
      <c r="E5553" s="4">
        <v>30.184000000000001</v>
      </c>
      <c r="F5553" s="4">
        <f t="shared" si="313"/>
        <v>27.8124</v>
      </c>
      <c r="G5553" s="5">
        <f t="shared" si="314"/>
        <v>0.4795539033457249</v>
      </c>
      <c r="H5553" s="2" t="s">
        <v>5</v>
      </c>
      <c r="I5553" s="6" t="s">
        <v>2300</v>
      </c>
      <c r="J5553" s="2" t="s">
        <v>5</v>
      </c>
      <c r="K5553" s="2" t="s">
        <v>5</v>
      </c>
      <c r="L5553" s="2" t="s">
        <v>5</v>
      </c>
      <c r="M5553" s="2" t="s">
        <v>5</v>
      </c>
      <c r="N5553" s="4">
        <v>0</v>
      </c>
    </row>
    <row r="5554" spans="1:14" x14ac:dyDescent="0.25">
      <c r="A5554" s="2" t="s">
        <v>136</v>
      </c>
      <c r="B5554" s="2" t="s">
        <v>137</v>
      </c>
      <c r="C5554" s="3">
        <v>30.45</v>
      </c>
      <c r="D5554" s="4">
        <v>730.8</v>
      </c>
      <c r="E5554" s="4">
        <v>426.3</v>
      </c>
      <c r="F5554" s="4">
        <f t="shared" si="313"/>
        <v>304.49999999999994</v>
      </c>
      <c r="G5554" s="5">
        <f t="shared" si="314"/>
        <v>0.41666666666666663</v>
      </c>
      <c r="H5554" s="2" t="s">
        <v>5</v>
      </c>
      <c r="I5554" s="6" t="s">
        <v>2300</v>
      </c>
      <c r="J5554" s="2" t="s">
        <v>5</v>
      </c>
      <c r="K5554" s="2" t="s">
        <v>5</v>
      </c>
      <c r="L5554" s="2" t="s">
        <v>5</v>
      </c>
      <c r="M5554" s="2" t="s">
        <v>5</v>
      </c>
      <c r="N5554" s="4">
        <v>0</v>
      </c>
    </row>
    <row r="5555" spans="1:14" x14ac:dyDescent="0.25">
      <c r="A5555" s="2" t="s">
        <v>136</v>
      </c>
      <c r="B5555" s="2" t="s">
        <v>137</v>
      </c>
      <c r="C5555" s="3">
        <v>78.55</v>
      </c>
      <c r="D5555" s="4">
        <v>1885.2</v>
      </c>
      <c r="E5555" s="4">
        <v>1099.7</v>
      </c>
      <c r="F5555" s="4">
        <f t="shared" si="313"/>
        <v>785.5</v>
      </c>
      <c r="G5555" s="5">
        <f t="shared" si="314"/>
        <v>0.41666666666666663</v>
      </c>
      <c r="H5555" s="2" t="s">
        <v>5</v>
      </c>
      <c r="I5555" s="6" t="s">
        <v>2300</v>
      </c>
      <c r="J5555" s="2" t="s">
        <v>5</v>
      </c>
      <c r="K5555" s="2" t="s">
        <v>5</v>
      </c>
      <c r="L5555" s="2" t="s">
        <v>5</v>
      </c>
      <c r="M5555" s="2" t="s">
        <v>5</v>
      </c>
      <c r="N5555" s="4">
        <v>0</v>
      </c>
    </row>
    <row r="5556" spans="1:14" x14ac:dyDescent="0.25">
      <c r="A5556" s="2" t="s">
        <v>136</v>
      </c>
      <c r="B5556" s="2" t="s">
        <v>137</v>
      </c>
      <c r="C5556" s="3">
        <v>39.04</v>
      </c>
      <c r="D5556" s="4">
        <v>1004.4992</v>
      </c>
      <c r="E5556" s="4">
        <v>546.55999999999995</v>
      </c>
      <c r="F5556" s="4">
        <f t="shared" si="313"/>
        <v>457.93920000000003</v>
      </c>
      <c r="G5556" s="5">
        <f t="shared" si="314"/>
        <v>0.45588806840264284</v>
      </c>
      <c r="H5556" s="2" t="s">
        <v>5</v>
      </c>
      <c r="I5556" s="6" t="s">
        <v>2300</v>
      </c>
      <c r="J5556" s="2" t="s">
        <v>5</v>
      </c>
      <c r="K5556" s="2" t="s">
        <v>5</v>
      </c>
      <c r="L5556" s="2" t="s">
        <v>5</v>
      </c>
      <c r="M5556" s="2" t="s">
        <v>5</v>
      </c>
      <c r="N5556" s="4">
        <v>0</v>
      </c>
    </row>
    <row r="5557" spans="1:14" x14ac:dyDescent="0.25">
      <c r="A5557" s="2" t="s">
        <v>136</v>
      </c>
      <c r="B5557" s="2" t="s">
        <v>137</v>
      </c>
      <c r="C5557" s="3">
        <v>25.945</v>
      </c>
      <c r="D5557" s="4">
        <v>667.56484999999998</v>
      </c>
      <c r="E5557" s="4">
        <v>363.23</v>
      </c>
      <c r="F5557" s="4">
        <f t="shared" si="313"/>
        <v>304.33484999999996</v>
      </c>
      <c r="G5557" s="5">
        <f t="shared" si="314"/>
        <v>0.45588806840264279</v>
      </c>
      <c r="H5557" s="2" t="s">
        <v>5</v>
      </c>
      <c r="I5557" s="6" t="s">
        <v>2300</v>
      </c>
      <c r="J5557" s="2" t="s">
        <v>5</v>
      </c>
      <c r="K5557" s="2" t="s">
        <v>5</v>
      </c>
      <c r="L5557" s="2" t="s">
        <v>5</v>
      </c>
      <c r="M5557" s="2" t="s">
        <v>5</v>
      </c>
      <c r="N5557" s="4">
        <v>0</v>
      </c>
    </row>
    <row r="5558" spans="1:14" x14ac:dyDescent="0.25">
      <c r="A5558" s="2" t="s">
        <v>136</v>
      </c>
      <c r="B5558" s="2" t="s">
        <v>137</v>
      </c>
      <c r="C5558" s="3">
        <v>25.4</v>
      </c>
      <c r="D5558" s="4">
        <v>609.6</v>
      </c>
      <c r="E5558" s="4">
        <v>355.6</v>
      </c>
      <c r="F5558" s="4">
        <f t="shared" si="313"/>
        <v>254</v>
      </c>
      <c r="G5558" s="5">
        <f t="shared" si="314"/>
        <v>0.41666666666666663</v>
      </c>
      <c r="H5558" s="2" t="s">
        <v>5</v>
      </c>
      <c r="I5558" s="6" t="s">
        <v>2300</v>
      </c>
      <c r="J5558" s="2" t="s">
        <v>5</v>
      </c>
      <c r="K5558" s="2" t="s">
        <v>5</v>
      </c>
      <c r="L5558" s="2" t="s">
        <v>5</v>
      </c>
      <c r="M5558" s="2" t="s">
        <v>5</v>
      </c>
      <c r="N5558" s="4">
        <v>0</v>
      </c>
    </row>
    <row r="5559" spans="1:14" x14ac:dyDescent="0.25">
      <c r="A5559" s="2" t="s">
        <v>136</v>
      </c>
      <c r="B5559" s="2" t="s">
        <v>137</v>
      </c>
      <c r="C5559" s="3">
        <v>10.42</v>
      </c>
      <c r="D5559" s="4">
        <v>250.08</v>
      </c>
      <c r="E5559" s="4">
        <v>145.88</v>
      </c>
      <c r="F5559" s="4">
        <f t="shared" si="313"/>
        <v>104.20000000000002</v>
      </c>
      <c r="G5559" s="5">
        <f t="shared" si="314"/>
        <v>0.41666666666666674</v>
      </c>
      <c r="H5559" s="2" t="s">
        <v>5</v>
      </c>
      <c r="I5559" s="6" t="s">
        <v>2300</v>
      </c>
      <c r="J5559" s="2" t="s">
        <v>5</v>
      </c>
      <c r="K5559" s="2" t="s">
        <v>5</v>
      </c>
      <c r="L5559" s="2" t="s">
        <v>5</v>
      </c>
      <c r="M5559" s="2" t="s">
        <v>5</v>
      </c>
      <c r="N5559" s="4">
        <v>0</v>
      </c>
    </row>
    <row r="5560" spans="1:14" x14ac:dyDescent="0.25">
      <c r="A5560" s="2" t="s">
        <v>136</v>
      </c>
      <c r="B5560" s="2" t="s">
        <v>137</v>
      </c>
      <c r="C5560" s="3">
        <v>21.274999999999999</v>
      </c>
      <c r="D5560" s="4">
        <v>537.61924999999997</v>
      </c>
      <c r="E5560" s="4">
        <v>297.85000000000002</v>
      </c>
      <c r="F5560" s="4">
        <f t="shared" si="313"/>
        <v>239.76924999999994</v>
      </c>
      <c r="G5560" s="5">
        <f t="shared" si="314"/>
        <v>0.44598337950138495</v>
      </c>
      <c r="H5560" s="2" t="s">
        <v>5</v>
      </c>
      <c r="I5560" s="6" t="s">
        <v>2300</v>
      </c>
      <c r="J5560" s="2" t="s">
        <v>5</v>
      </c>
      <c r="K5560" s="2" t="s">
        <v>5</v>
      </c>
      <c r="L5560" s="2" t="s">
        <v>5</v>
      </c>
      <c r="M5560" s="2" t="s">
        <v>5</v>
      </c>
      <c r="N5560" s="4">
        <v>0</v>
      </c>
    </row>
    <row r="5561" spans="1:14" x14ac:dyDescent="0.25">
      <c r="A5561" s="2" t="s">
        <v>136</v>
      </c>
      <c r="B5561" s="2" t="s">
        <v>137</v>
      </c>
      <c r="C5561" s="3">
        <v>8.34</v>
      </c>
      <c r="D5561" s="4">
        <v>224.346</v>
      </c>
      <c r="E5561" s="4">
        <v>116.76</v>
      </c>
      <c r="F5561" s="4">
        <f t="shared" si="313"/>
        <v>107.586</v>
      </c>
      <c r="G5561" s="5">
        <f t="shared" si="314"/>
        <v>0.4795539033457249</v>
      </c>
      <c r="H5561" s="2" t="s">
        <v>5</v>
      </c>
      <c r="I5561" s="6" t="s">
        <v>2300</v>
      </c>
      <c r="J5561" s="2" t="s">
        <v>5</v>
      </c>
      <c r="K5561" s="2" t="s">
        <v>5</v>
      </c>
      <c r="L5561" s="2" t="s">
        <v>5</v>
      </c>
      <c r="M5561" s="2" t="s">
        <v>5</v>
      </c>
      <c r="N5561" s="4">
        <v>0</v>
      </c>
    </row>
    <row r="5562" spans="1:14" x14ac:dyDescent="0.25">
      <c r="A5562" s="2" t="s">
        <v>136</v>
      </c>
      <c r="B5562" s="2" t="s">
        <v>137</v>
      </c>
      <c r="C5562" s="3">
        <v>5.28</v>
      </c>
      <c r="D5562" s="4">
        <v>142.03200000000001</v>
      </c>
      <c r="E5562" s="4">
        <v>73.92</v>
      </c>
      <c r="F5562" s="4">
        <f t="shared" si="313"/>
        <v>68.112000000000009</v>
      </c>
      <c r="G5562" s="5">
        <f t="shared" si="314"/>
        <v>0.47955390334572495</v>
      </c>
      <c r="H5562" s="2" t="s">
        <v>5</v>
      </c>
      <c r="I5562" s="6" t="s">
        <v>2300</v>
      </c>
      <c r="J5562" s="2" t="s">
        <v>5</v>
      </c>
      <c r="K5562" s="2" t="s">
        <v>5</v>
      </c>
      <c r="L5562" s="2" t="s">
        <v>5</v>
      </c>
      <c r="M5562" s="2" t="s">
        <v>5</v>
      </c>
      <c r="N5562" s="4">
        <v>0</v>
      </c>
    </row>
    <row r="5563" spans="1:14" x14ac:dyDescent="0.25">
      <c r="A5563" s="2" t="s">
        <v>136</v>
      </c>
      <c r="B5563" s="2" t="s">
        <v>137</v>
      </c>
      <c r="C5563" s="3">
        <v>22.36</v>
      </c>
      <c r="D5563" s="4">
        <v>362.67919999999998</v>
      </c>
      <c r="E5563" s="4">
        <v>313.04000000000002</v>
      </c>
      <c r="F5563" s="4">
        <f t="shared" si="313"/>
        <v>49.63919999999996</v>
      </c>
      <c r="G5563" s="5">
        <f t="shared" si="314"/>
        <v>0.13686806411837227</v>
      </c>
      <c r="H5563" s="2" t="s">
        <v>5</v>
      </c>
      <c r="I5563" s="6" t="s">
        <v>2300</v>
      </c>
      <c r="J5563" s="2" t="s">
        <v>5</v>
      </c>
      <c r="K5563" s="2" t="s">
        <v>5</v>
      </c>
      <c r="L5563" s="2" t="s">
        <v>5</v>
      </c>
      <c r="M5563" s="2" t="s">
        <v>5</v>
      </c>
      <c r="N5563" s="4">
        <v>0</v>
      </c>
    </row>
    <row r="5564" spans="1:14" x14ac:dyDescent="0.25">
      <c r="A5564" s="2" t="s">
        <v>136</v>
      </c>
      <c r="B5564" s="2" t="s">
        <v>137</v>
      </c>
      <c r="C5564" s="3">
        <v>30.31</v>
      </c>
      <c r="D5564" s="4">
        <v>765.93370000000004</v>
      </c>
      <c r="E5564" s="4">
        <v>424.34</v>
      </c>
      <c r="F5564" s="4">
        <f t="shared" si="313"/>
        <v>341.59370000000007</v>
      </c>
      <c r="G5564" s="5">
        <f t="shared" si="314"/>
        <v>0.44598337950138511</v>
      </c>
      <c r="H5564" s="2" t="s">
        <v>5</v>
      </c>
      <c r="I5564" s="6" t="s">
        <v>2300</v>
      </c>
      <c r="J5564" s="2" t="s">
        <v>5</v>
      </c>
      <c r="K5564" s="2" t="s">
        <v>5</v>
      </c>
      <c r="L5564" s="2" t="s">
        <v>5</v>
      </c>
      <c r="M5564" s="2" t="s">
        <v>5</v>
      </c>
      <c r="N5564" s="4">
        <v>0</v>
      </c>
    </row>
    <row r="5565" spans="1:14" x14ac:dyDescent="0.25">
      <c r="A5565" s="2" t="s">
        <v>136</v>
      </c>
      <c r="B5565" s="2" t="s">
        <v>137</v>
      </c>
      <c r="C5565" s="3">
        <v>6.32</v>
      </c>
      <c r="D5565" s="4">
        <v>170.00800000000001</v>
      </c>
      <c r="E5565" s="4">
        <v>88.48</v>
      </c>
      <c r="F5565" s="4">
        <f t="shared" si="313"/>
        <v>81.528000000000006</v>
      </c>
      <c r="G5565" s="5">
        <f t="shared" si="314"/>
        <v>0.4795539033457249</v>
      </c>
      <c r="H5565" s="2" t="s">
        <v>5</v>
      </c>
      <c r="I5565" s="6" t="s">
        <v>2300</v>
      </c>
      <c r="J5565" s="2" t="s">
        <v>5</v>
      </c>
      <c r="K5565" s="2" t="s">
        <v>5</v>
      </c>
      <c r="L5565" s="2" t="s">
        <v>5</v>
      </c>
      <c r="M5565" s="2" t="s">
        <v>5</v>
      </c>
      <c r="N5565" s="4">
        <v>0</v>
      </c>
    </row>
    <row r="5566" spans="1:14" x14ac:dyDescent="0.25">
      <c r="A5566" s="2" t="s">
        <v>136</v>
      </c>
      <c r="B5566" s="2" t="s">
        <v>137</v>
      </c>
      <c r="C5566" s="3">
        <v>2.06</v>
      </c>
      <c r="D5566" s="4">
        <v>55.414000000000001</v>
      </c>
      <c r="E5566" s="4">
        <v>28.84</v>
      </c>
      <c r="F5566" s="4">
        <f t="shared" si="313"/>
        <v>26.574000000000002</v>
      </c>
      <c r="G5566" s="5">
        <f t="shared" si="314"/>
        <v>0.4795539033457249</v>
      </c>
      <c r="H5566" s="2" t="s">
        <v>5</v>
      </c>
      <c r="I5566" s="6" t="s">
        <v>2300</v>
      </c>
      <c r="J5566" s="2" t="s">
        <v>5</v>
      </c>
      <c r="K5566" s="2" t="s">
        <v>5</v>
      </c>
      <c r="L5566" s="2" t="s">
        <v>5</v>
      </c>
      <c r="M5566" s="2" t="s">
        <v>5</v>
      </c>
      <c r="N5566" s="4">
        <v>0</v>
      </c>
    </row>
    <row r="5567" spans="1:14" x14ac:dyDescent="0.25">
      <c r="A5567" s="2" t="s">
        <v>626</v>
      </c>
      <c r="B5567" s="2" t="s">
        <v>627</v>
      </c>
      <c r="C5567" s="3">
        <v>16.234000000000002</v>
      </c>
      <c r="D5567" s="4">
        <v>379.71325999999999</v>
      </c>
      <c r="E5567" s="4">
        <v>227.27600000000001</v>
      </c>
      <c r="F5567" s="4">
        <f t="shared" si="313"/>
        <v>152.43725999999998</v>
      </c>
      <c r="G5567" s="5">
        <f t="shared" si="314"/>
        <v>0.4014536126549807</v>
      </c>
      <c r="H5567" s="2" t="s">
        <v>5</v>
      </c>
      <c r="I5567" s="6" t="s">
        <v>2300</v>
      </c>
      <c r="J5567" s="2" t="s">
        <v>5</v>
      </c>
      <c r="K5567" s="2" t="s">
        <v>5</v>
      </c>
      <c r="L5567" s="2" t="s">
        <v>5</v>
      </c>
      <c r="M5567" s="2" t="s">
        <v>5</v>
      </c>
      <c r="N5567" s="4">
        <v>0</v>
      </c>
    </row>
    <row r="5568" spans="1:14" x14ac:dyDescent="0.25">
      <c r="A5568" s="2" t="s">
        <v>626</v>
      </c>
      <c r="B5568" s="2" t="s">
        <v>627</v>
      </c>
      <c r="C5568" s="3">
        <v>12.46</v>
      </c>
      <c r="D5568" s="4">
        <v>333.30500000000001</v>
      </c>
      <c r="E5568" s="4">
        <v>174.44</v>
      </c>
      <c r="F5568" s="4">
        <f t="shared" si="313"/>
        <v>158.86500000000001</v>
      </c>
      <c r="G5568" s="5">
        <f t="shared" si="314"/>
        <v>0.47663551401869159</v>
      </c>
      <c r="H5568" s="2" t="s">
        <v>5</v>
      </c>
      <c r="I5568" s="6" t="s">
        <v>2300</v>
      </c>
      <c r="J5568" s="2" t="s">
        <v>5</v>
      </c>
      <c r="K5568" s="2" t="s">
        <v>5</v>
      </c>
      <c r="L5568" s="2" t="s">
        <v>5</v>
      </c>
      <c r="M5568" s="2" t="s">
        <v>5</v>
      </c>
      <c r="N5568" s="4">
        <v>0</v>
      </c>
    </row>
    <row r="5569" spans="1:14" x14ac:dyDescent="0.25">
      <c r="A5569" s="2" t="s">
        <v>626</v>
      </c>
      <c r="B5569" s="2" t="s">
        <v>627</v>
      </c>
      <c r="C5569" s="3">
        <v>14.91</v>
      </c>
      <c r="D5569" s="4">
        <v>0</v>
      </c>
      <c r="E5569" s="4">
        <v>208.74</v>
      </c>
      <c r="F5569" s="4">
        <f t="shared" si="313"/>
        <v>-208.74</v>
      </c>
      <c r="G5569" s="5">
        <f t="shared" si="314"/>
        <v>0</v>
      </c>
      <c r="H5569" s="2" t="s">
        <v>5</v>
      </c>
      <c r="I5569" s="6" t="s">
        <v>2300</v>
      </c>
      <c r="J5569" s="2" t="s">
        <v>5</v>
      </c>
      <c r="K5569" s="2" t="s">
        <v>5</v>
      </c>
      <c r="L5569" s="2" t="s">
        <v>5</v>
      </c>
      <c r="M5569" s="2" t="s">
        <v>5</v>
      </c>
      <c r="N5569" s="4">
        <v>0</v>
      </c>
    </row>
    <row r="5570" spans="1:14" x14ac:dyDescent="0.25">
      <c r="A5570" s="2" t="s">
        <v>626</v>
      </c>
      <c r="B5570" s="2" t="s">
        <v>627</v>
      </c>
      <c r="C5570" s="3">
        <v>8.56</v>
      </c>
      <c r="D5570" s="4">
        <v>228.98</v>
      </c>
      <c r="E5570" s="4">
        <v>119.84</v>
      </c>
      <c r="F5570" s="4">
        <f t="shared" si="313"/>
        <v>109.13999999999999</v>
      </c>
      <c r="G5570" s="5">
        <f t="shared" si="314"/>
        <v>0.47663551401869153</v>
      </c>
      <c r="H5570" s="2" t="s">
        <v>5</v>
      </c>
      <c r="I5570" s="6" t="s">
        <v>2300</v>
      </c>
      <c r="J5570" s="2" t="s">
        <v>5</v>
      </c>
      <c r="K5570" s="2" t="s">
        <v>5</v>
      </c>
      <c r="L5570" s="2" t="s">
        <v>5</v>
      </c>
      <c r="M5570" s="2" t="s">
        <v>5</v>
      </c>
      <c r="N5570" s="4">
        <v>0</v>
      </c>
    </row>
    <row r="5571" spans="1:14" x14ac:dyDescent="0.25">
      <c r="A5571" s="2" t="s">
        <v>837</v>
      </c>
      <c r="B5571" s="2" t="s">
        <v>838</v>
      </c>
      <c r="C5571" s="3">
        <v>9.7349999999999994</v>
      </c>
      <c r="D5571" s="4">
        <v>261.87150000000003</v>
      </c>
      <c r="E5571" s="4">
        <v>136.29</v>
      </c>
      <c r="F5571" s="4">
        <f t="shared" si="313"/>
        <v>125.58150000000003</v>
      </c>
      <c r="G5571" s="5">
        <f t="shared" si="314"/>
        <v>0.47955390334572501</v>
      </c>
      <c r="H5571" s="2" t="s">
        <v>5</v>
      </c>
      <c r="I5571" s="6" t="s">
        <v>2300</v>
      </c>
      <c r="J5571" s="2" t="s">
        <v>5</v>
      </c>
      <c r="K5571" s="2" t="s">
        <v>5</v>
      </c>
      <c r="L5571" s="2" t="s">
        <v>5</v>
      </c>
      <c r="M5571" s="2" t="s">
        <v>5</v>
      </c>
      <c r="N5571" s="4">
        <v>0</v>
      </c>
    </row>
    <row r="5572" spans="1:14" x14ac:dyDescent="0.25">
      <c r="A5572" s="2" t="s">
        <v>837</v>
      </c>
      <c r="B5572" s="2" t="s">
        <v>838</v>
      </c>
      <c r="C5572" s="3">
        <v>5.67</v>
      </c>
      <c r="D5572" s="4">
        <v>152.523</v>
      </c>
      <c r="E5572" s="4">
        <v>79.38</v>
      </c>
      <c r="F5572" s="4">
        <f t="shared" si="313"/>
        <v>73.143000000000001</v>
      </c>
      <c r="G5572" s="5">
        <f t="shared" si="314"/>
        <v>0.4795539033457249</v>
      </c>
      <c r="H5572" s="2" t="s">
        <v>5</v>
      </c>
      <c r="I5572" s="6" t="s">
        <v>2300</v>
      </c>
      <c r="J5572" s="2" t="s">
        <v>5</v>
      </c>
      <c r="K5572" s="2" t="s">
        <v>5</v>
      </c>
      <c r="L5572" s="2" t="s">
        <v>5</v>
      </c>
      <c r="M5572" s="2" t="s">
        <v>5</v>
      </c>
      <c r="N5572" s="4">
        <v>0</v>
      </c>
    </row>
    <row r="5573" spans="1:14" x14ac:dyDescent="0.25">
      <c r="A5573" s="2" t="s">
        <v>837</v>
      </c>
      <c r="B5573" s="2" t="s">
        <v>838</v>
      </c>
      <c r="C5573" s="3">
        <v>9.86</v>
      </c>
      <c r="D5573" s="4">
        <v>265.23399999999998</v>
      </c>
      <c r="E5573" s="4">
        <v>138.04</v>
      </c>
      <c r="F5573" s="4">
        <f t="shared" si="313"/>
        <v>127.19399999999999</v>
      </c>
      <c r="G5573" s="5">
        <f t="shared" si="314"/>
        <v>0.4795539033457249</v>
      </c>
      <c r="H5573" s="2" t="s">
        <v>5</v>
      </c>
      <c r="I5573" s="6" t="s">
        <v>2300</v>
      </c>
      <c r="J5573" s="2" t="s">
        <v>5</v>
      </c>
      <c r="K5573" s="2" t="s">
        <v>5</v>
      </c>
      <c r="L5573" s="2" t="s">
        <v>5</v>
      </c>
      <c r="M5573" s="2" t="s">
        <v>5</v>
      </c>
      <c r="N5573" s="4">
        <v>0</v>
      </c>
    </row>
    <row r="5574" spans="1:14" x14ac:dyDescent="0.25">
      <c r="A5574" s="2" t="s">
        <v>2161</v>
      </c>
      <c r="B5574" s="2" t="s">
        <v>2162</v>
      </c>
      <c r="C5574" s="3">
        <v>3.6520000000000001</v>
      </c>
      <c r="D5574" s="4">
        <v>98.238799999999998</v>
      </c>
      <c r="E5574" s="4">
        <v>51.128</v>
      </c>
      <c r="F5574" s="4">
        <f t="shared" si="313"/>
        <v>47.110799999999998</v>
      </c>
      <c r="G5574" s="5">
        <f t="shared" si="314"/>
        <v>0.4795539033457249</v>
      </c>
      <c r="H5574" s="2" t="s">
        <v>5</v>
      </c>
      <c r="I5574" s="6" t="s">
        <v>2300</v>
      </c>
      <c r="J5574" s="2" t="s">
        <v>5</v>
      </c>
      <c r="K5574" s="2" t="s">
        <v>5</v>
      </c>
      <c r="L5574" s="2" t="s">
        <v>5</v>
      </c>
      <c r="M5574" s="2" t="s">
        <v>5</v>
      </c>
      <c r="N5574" s="4">
        <v>0</v>
      </c>
    </row>
    <row r="5575" spans="1:14" x14ac:dyDescent="0.25">
      <c r="A5575" s="2" t="s">
        <v>2161</v>
      </c>
      <c r="B5575" s="2" t="s">
        <v>2162</v>
      </c>
      <c r="C5575" s="3">
        <v>7.45</v>
      </c>
      <c r="D5575" s="4">
        <v>200.405</v>
      </c>
      <c r="E5575" s="4">
        <v>104.3</v>
      </c>
      <c r="F5575" s="4">
        <f t="shared" si="313"/>
        <v>96.105000000000004</v>
      </c>
      <c r="G5575" s="5">
        <f t="shared" si="314"/>
        <v>0.4795539033457249</v>
      </c>
      <c r="H5575" s="2" t="s">
        <v>5</v>
      </c>
      <c r="I5575" s="6" t="s">
        <v>2300</v>
      </c>
      <c r="J5575" s="2" t="s">
        <v>5</v>
      </c>
      <c r="K5575" s="2" t="s">
        <v>5</v>
      </c>
      <c r="L5575" s="2" t="s">
        <v>5</v>
      </c>
      <c r="M5575" s="2" t="s">
        <v>5</v>
      </c>
      <c r="N5575" s="4">
        <v>0</v>
      </c>
    </row>
    <row r="5576" spans="1:14" x14ac:dyDescent="0.25">
      <c r="A5576" s="2" t="s">
        <v>873</v>
      </c>
      <c r="B5576" s="2" t="s">
        <v>874</v>
      </c>
      <c r="C5576" s="3">
        <v>30.59</v>
      </c>
      <c r="D5576" s="4">
        <v>787.08069999999998</v>
      </c>
      <c r="E5576" s="4">
        <v>428.26</v>
      </c>
      <c r="F5576" s="4">
        <f t="shared" si="313"/>
        <v>358.82069999999999</v>
      </c>
      <c r="G5576" s="5">
        <f t="shared" si="314"/>
        <v>0.45588806840264284</v>
      </c>
      <c r="H5576" s="2" t="s">
        <v>5</v>
      </c>
      <c r="I5576" s="6" t="s">
        <v>2300</v>
      </c>
      <c r="J5576" s="2" t="s">
        <v>5</v>
      </c>
      <c r="K5576" s="2" t="s">
        <v>5</v>
      </c>
      <c r="L5576" s="2" t="s">
        <v>5</v>
      </c>
      <c r="M5576" s="2" t="s">
        <v>5</v>
      </c>
      <c r="N5576" s="4">
        <v>0</v>
      </c>
    </row>
    <row r="5577" spans="1:14" x14ac:dyDescent="0.25">
      <c r="A5577" s="2" t="s">
        <v>589</v>
      </c>
      <c r="B5577" s="2" t="s">
        <v>590</v>
      </c>
      <c r="C5577" s="3">
        <v>58.305</v>
      </c>
      <c r="D5577" s="4">
        <v>989.43584999999996</v>
      </c>
      <c r="E5577" s="4">
        <v>801.69375000000002</v>
      </c>
      <c r="F5577" s="4">
        <f t="shared" si="313"/>
        <v>187.74209999999994</v>
      </c>
      <c r="G5577" s="5">
        <f t="shared" si="314"/>
        <v>0.18974661166764872</v>
      </c>
      <c r="H5577" s="2" t="s">
        <v>5</v>
      </c>
      <c r="I5577" s="6" t="s">
        <v>2300</v>
      </c>
      <c r="J5577" s="2" t="s">
        <v>5</v>
      </c>
      <c r="K5577" s="2" t="s">
        <v>5</v>
      </c>
      <c r="L5577" s="2" t="s">
        <v>5</v>
      </c>
      <c r="M5577" s="2" t="s">
        <v>5</v>
      </c>
      <c r="N5577" s="4">
        <v>0</v>
      </c>
    </row>
    <row r="5578" spans="1:14" x14ac:dyDescent="0.25">
      <c r="A5578" s="2" t="s">
        <v>589</v>
      </c>
      <c r="B5578" s="2" t="s">
        <v>590</v>
      </c>
      <c r="C5578" s="3">
        <v>45.25</v>
      </c>
      <c r="D5578" s="4">
        <v>823.55</v>
      </c>
      <c r="E5578" s="4">
        <v>622.1875</v>
      </c>
      <c r="F5578" s="4">
        <f t="shared" si="313"/>
        <v>201.36249999999995</v>
      </c>
      <c r="G5578" s="5">
        <f t="shared" si="314"/>
        <v>0.24450549450549447</v>
      </c>
      <c r="H5578" s="2" t="s">
        <v>5</v>
      </c>
      <c r="I5578" s="6" t="s">
        <v>2300</v>
      </c>
      <c r="J5578" s="2" t="s">
        <v>5</v>
      </c>
      <c r="K5578" s="2" t="s">
        <v>5</v>
      </c>
      <c r="L5578" s="2" t="s">
        <v>5</v>
      </c>
      <c r="M5578" s="2" t="s">
        <v>5</v>
      </c>
      <c r="N5578" s="4">
        <v>0</v>
      </c>
    </row>
    <row r="5579" spans="1:14" x14ac:dyDescent="0.25">
      <c r="A5579" s="2" t="s">
        <v>589</v>
      </c>
      <c r="B5579" s="2" t="s">
        <v>590</v>
      </c>
      <c r="C5579" s="3">
        <v>23.9</v>
      </c>
      <c r="D5579" s="4">
        <v>500.94400000000002</v>
      </c>
      <c r="E5579" s="4">
        <v>328.625</v>
      </c>
      <c r="F5579" s="4">
        <f t="shared" si="313"/>
        <v>172.31900000000002</v>
      </c>
      <c r="G5579" s="5">
        <f t="shared" si="314"/>
        <v>0.34398854961832065</v>
      </c>
      <c r="H5579" s="2" t="s">
        <v>5</v>
      </c>
      <c r="I5579" s="6" t="s">
        <v>2300</v>
      </c>
      <c r="J5579" s="2" t="s">
        <v>5</v>
      </c>
      <c r="K5579" s="2" t="s">
        <v>5</v>
      </c>
      <c r="L5579" s="2" t="s">
        <v>5</v>
      </c>
      <c r="M5579" s="2" t="s">
        <v>5</v>
      </c>
      <c r="N5579" s="4">
        <v>0</v>
      </c>
    </row>
    <row r="5580" spans="1:14" x14ac:dyDescent="0.25">
      <c r="A5580" s="2" t="s">
        <v>589</v>
      </c>
      <c r="B5580" s="2" t="s">
        <v>590</v>
      </c>
      <c r="C5580" s="3">
        <v>25.8</v>
      </c>
      <c r="D5580" s="4">
        <v>565.02</v>
      </c>
      <c r="E5580" s="4">
        <v>354.75</v>
      </c>
      <c r="F5580" s="4">
        <f t="shared" si="313"/>
        <v>210.26999999999998</v>
      </c>
      <c r="G5580" s="5">
        <f t="shared" si="314"/>
        <v>0.37214611872146119</v>
      </c>
      <c r="H5580" s="2" t="s">
        <v>5</v>
      </c>
      <c r="I5580" s="6" t="s">
        <v>2300</v>
      </c>
      <c r="J5580" s="2" t="s">
        <v>5</v>
      </c>
      <c r="K5580" s="2" t="s">
        <v>5</v>
      </c>
      <c r="L5580" s="2" t="s">
        <v>5</v>
      </c>
      <c r="M5580" s="2" t="s">
        <v>5</v>
      </c>
      <c r="N5580" s="4">
        <v>0</v>
      </c>
    </row>
    <row r="5581" spans="1:14" x14ac:dyDescent="0.25">
      <c r="A5581" s="2" t="s">
        <v>589</v>
      </c>
      <c r="B5581" s="2" t="s">
        <v>590</v>
      </c>
      <c r="C5581" s="3">
        <v>42.72</v>
      </c>
      <c r="D5581" s="4">
        <v>778.35839999999996</v>
      </c>
      <c r="E5581" s="4">
        <v>587.4</v>
      </c>
      <c r="F5581" s="4">
        <f t="shared" si="313"/>
        <v>190.95839999999998</v>
      </c>
      <c r="G5581" s="5">
        <f t="shared" si="314"/>
        <v>0.24533479692645443</v>
      </c>
      <c r="H5581" s="2" t="s">
        <v>5</v>
      </c>
      <c r="I5581" s="6" t="s">
        <v>2300</v>
      </c>
      <c r="J5581" s="2" t="s">
        <v>5</v>
      </c>
      <c r="K5581" s="2" t="s">
        <v>5</v>
      </c>
      <c r="L5581" s="2" t="s">
        <v>5</v>
      </c>
      <c r="M5581" s="2" t="s">
        <v>5</v>
      </c>
      <c r="N5581" s="4">
        <v>0</v>
      </c>
    </row>
    <row r="5582" spans="1:14" x14ac:dyDescent="0.25">
      <c r="A5582" s="2" t="s">
        <v>589</v>
      </c>
      <c r="B5582" s="2" t="s">
        <v>590</v>
      </c>
      <c r="C5582" s="3">
        <v>22.85</v>
      </c>
      <c r="D5582" s="4">
        <v>416.327</v>
      </c>
      <c r="E5582" s="4">
        <v>314.1875</v>
      </c>
      <c r="F5582" s="4">
        <f t="shared" si="313"/>
        <v>102.1395</v>
      </c>
      <c r="G5582" s="5">
        <f t="shared" si="314"/>
        <v>0.24533479692645443</v>
      </c>
      <c r="H5582" s="2" t="s">
        <v>5</v>
      </c>
      <c r="I5582" s="6" t="s">
        <v>2300</v>
      </c>
      <c r="J5582" s="2" t="s">
        <v>5</v>
      </c>
      <c r="K5582" s="2" t="s">
        <v>5</v>
      </c>
      <c r="L5582" s="2" t="s">
        <v>5</v>
      </c>
      <c r="M5582" s="2" t="s">
        <v>5</v>
      </c>
      <c r="N5582" s="4">
        <v>0</v>
      </c>
    </row>
    <row r="5583" spans="1:14" x14ac:dyDescent="0.25">
      <c r="A5583" s="2" t="s">
        <v>589</v>
      </c>
      <c r="B5583" s="2" t="s">
        <v>590</v>
      </c>
      <c r="C5583" s="3">
        <v>46</v>
      </c>
      <c r="D5583" s="4">
        <v>841.34</v>
      </c>
      <c r="E5583" s="4">
        <v>632.5</v>
      </c>
      <c r="F5583" s="4">
        <f t="shared" si="313"/>
        <v>208.84000000000003</v>
      </c>
      <c r="G5583" s="5">
        <f t="shared" si="314"/>
        <v>0.24822307271733191</v>
      </c>
      <c r="H5583" s="2" t="s">
        <v>5</v>
      </c>
      <c r="I5583" s="6" t="s">
        <v>2300</v>
      </c>
      <c r="J5583" s="2" t="s">
        <v>5</v>
      </c>
      <c r="K5583" s="2" t="s">
        <v>5</v>
      </c>
      <c r="L5583" s="2" t="s">
        <v>5</v>
      </c>
      <c r="M5583" s="2" t="s">
        <v>5</v>
      </c>
      <c r="N5583" s="4">
        <v>0</v>
      </c>
    </row>
    <row r="5584" spans="1:14" x14ac:dyDescent="0.25">
      <c r="A5584" s="2" t="s">
        <v>589</v>
      </c>
      <c r="B5584" s="2" t="s">
        <v>590</v>
      </c>
      <c r="C5584" s="3">
        <v>54.465000000000003</v>
      </c>
      <c r="D5584" s="4">
        <v>924.27104999999995</v>
      </c>
      <c r="E5584" s="4">
        <v>748.89374999999995</v>
      </c>
      <c r="F5584" s="4">
        <f t="shared" si="313"/>
        <v>175.37729999999999</v>
      </c>
      <c r="G5584" s="5">
        <f t="shared" si="314"/>
        <v>0.18974661166764881</v>
      </c>
      <c r="H5584" s="2" t="s">
        <v>5</v>
      </c>
      <c r="I5584" s="6" t="s">
        <v>2300</v>
      </c>
      <c r="J5584" s="2" t="s">
        <v>5</v>
      </c>
      <c r="K5584" s="2" t="s">
        <v>5</v>
      </c>
      <c r="L5584" s="2" t="s">
        <v>5</v>
      </c>
      <c r="M5584" s="2" t="s">
        <v>5</v>
      </c>
      <c r="N5584" s="4">
        <v>0</v>
      </c>
    </row>
    <row r="5585" spans="1:14" x14ac:dyDescent="0.25">
      <c r="A5585" s="2" t="s">
        <v>589</v>
      </c>
      <c r="B5585" s="2" t="s">
        <v>590</v>
      </c>
      <c r="C5585" s="3">
        <v>19.3</v>
      </c>
      <c r="D5585" s="4">
        <v>422.67</v>
      </c>
      <c r="E5585" s="4">
        <v>265.375</v>
      </c>
      <c r="F5585" s="4">
        <f t="shared" si="313"/>
        <v>157.29500000000002</v>
      </c>
      <c r="G5585" s="5">
        <f t="shared" si="314"/>
        <v>0.37214611872146119</v>
      </c>
      <c r="H5585" s="2" t="s">
        <v>5</v>
      </c>
      <c r="I5585" s="6" t="s">
        <v>2300</v>
      </c>
      <c r="J5585" s="2" t="s">
        <v>5</v>
      </c>
      <c r="K5585" s="2" t="s">
        <v>5</v>
      </c>
      <c r="L5585" s="2" t="s">
        <v>5</v>
      </c>
      <c r="M5585" s="2" t="s">
        <v>5</v>
      </c>
      <c r="N5585" s="4">
        <v>0</v>
      </c>
    </row>
    <row r="5586" spans="1:14" x14ac:dyDescent="0.25">
      <c r="A5586" s="2" t="s">
        <v>589</v>
      </c>
      <c r="B5586" s="2" t="s">
        <v>590</v>
      </c>
      <c r="C5586" s="3">
        <v>33.229999999999997</v>
      </c>
      <c r="D5586" s="4">
        <v>604.78599999999994</v>
      </c>
      <c r="E5586" s="4">
        <v>456.91250000000002</v>
      </c>
      <c r="F5586" s="4">
        <f t="shared" si="313"/>
        <v>147.87349999999992</v>
      </c>
      <c r="G5586" s="5">
        <f t="shared" si="314"/>
        <v>0.24450549450549439</v>
      </c>
      <c r="H5586" s="2" t="s">
        <v>5</v>
      </c>
      <c r="I5586" s="6" t="s">
        <v>2300</v>
      </c>
      <c r="J5586" s="2" t="s">
        <v>5</v>
      </c>
      <c r="K5586" s="2" t="s">
        <v>5</v>
      </c>
      <c r="L5586" s="2" t="s">
        <v>5</v>
      </c>
      <c r="M5586" s="2" t="s">
        <v>5</v>
      </c>
      <c r="N5586" s="4">
        <v>0</v>
      </c>
    </row>
    <row r="5587" spans="1:14" x14ac:dyDescent="0.25">
      <c r="A5587" s="2" t="s">
        <v>589</v>
      </c>
      <c r="B5587" s="2" t="s">
        <v>590</v>
      </c>
      <c r="C5587" s="3">
        <v>30.265000000000001</v>
      </c>
      <c r="D5587" s="4">
        <v>549.61239999999998</v>
      </c>
      <c r="E5587" s="4">
        <v>416.14375000000001</v>
      </c>
      <c r="F5587" s="4">
        <f t="shared" si="313"/>
        <v>133.46864999999997</v>
      </c>
      <c r="G5587" s="5">
        <f t="shared" si="314"/>
        <v>0.2428414096916299</v>
      </c>
      <c r="H5587" s="2" t="s">
        <v>5</v>
      </c>
      <c r="I5587" s="6" t="s">
        <v>2300</v>
      </c>
      <c r="J5587" s="2" t="s">
        <v>5</v>
      </c>
      <c r="K5587" s="2" t="s">
        <v>5</v>
      </c>
      <c r="L5587" s="2" t="s">
        <v>5</v>
      </c>
      <c r="M5587" s="2" t="s">
        <v>5</v>
      </c>
      <c r="N5587" s="4">
        <v>0</v>
      </c>
    </row>
    <row r="5588" spans="1:14" x14ac:dyDescent="0.25">
      <c r="A5588" s="2" t="s">
        <v>589</v>
      </c>
      <c r="B5588" s="2" t="s">
        <v>590</v>
      </c>
      <c r="C5588" s="3">
        <v>118.375</v>
      </c>
      <c r="D5588" s="4">
        <v>2580.5749999999998</v>
      </c>
      <c r="E5588" s="4">
        <v>1627.65625</v>
      </c>
      <c r="F5588" s="4">
        <f t="shared" si="313"/>
        <v>952.91874999999982</v>
      </c>
      <c r="G5588" s="5">
        <f t="shared" si="314"/>
        <v>0.36926605504587151</v>
      </c>
      <c r="H5588" s="2" t="s">
        <v>5</v>
      </c>
      <c r="I5588" s="6" t="s">
        <v>2300</v>
      </c>
      <c r="J5588" s="2" t="s">
        <v>5</v>
      </c>
      <c r="K5588" s="2" t="s">
        <v>5</v>
      </c>
      <c r="L5588" s="2" t="s">
        <v>5</v>
      </c>
      <c r="M5588" s="2" t="s">
        <v>5</v>
      </c>
      <c r="N5588" s="4">
        <v>0</v>
      </c>
    </row>
    <row r="5589" spans="1:14" x14ac:dyDescent="0.25">
      <c r="A5589" s="2" t="s">
        <v>589</v>
      </c>
      <c r="B5589" s="2" t="s">
        <v>590</v>
      </c>
      <c r="C5589" s="3">
        <v>241.65</v>
      </c>
      <c r="D5589" s="4">
        <v>4100.8005000000003</v>
      </c>
      <c r="E5589" s="4">
        <v>3322.6875</v>
      </c>
      <c r="F5589" s="4">
        <f t="shared" si="313"/>
        <v>778.11300000000028</v>
      </c>
      <c r="G5589" s="5">
        <f t="shared" si="314"/>
        <v>0.18974661166764883</v>
      </c>
      <c r="H5589" s="2" t="s">
        <v>5</v>
      </c>
      <c r="I5589" s="6" t="s">
        <v>2300</v>
      </c>
      <c r="J5589" s="2" t="s">
        <v>5</v>
      </c>
      <c r="K5589" s="2" t="s">
        <v>5</v>
      </c>
      <c r="L5589" s="2" t="s">
        <v>5</v>
      </c>
      <c r="M5589" s="2" t="s">
        <v>5</v>
      </c>
      <c r="N5589" s="4">
        <v>0</v>
      </c>
    </row>
    <row r="5590" spans="1:14" x14ac:dyDescent="0.25">
      <c r="A5590" s="2" t="s">
        <v>589</v>
      </c>
      <c r="B5590" s="2" t="s">
        <v>590</v>
      </c>
      <c r="C5590" s="3">
        <v>119.755</v>
      </c>
      <c r="D5590" s="4">
        <v>2610.6590000000001</v>
      </c>
      <c r="E5590" s="4">
        <v>1646.6312499999999</v>
      </c>
      <c r="F5590" s="4">
        <f t="shared" si="313"/>
        <v>964.0277500000002</v>
      </c>
      <c r="G5590" s="5">
        <f t="shared" si="314"/>
        <v>0.36926605504587162</v>
      </c>
      <c r="H5590" s="2" t="s">
        <v>5</v>
      </c>
      <c r="I5590" s="6" t="s">
        <v>2300</v>
      </c>
      <c r="J5590" s="2" t="s">
        <v>5</v>
      </c>
      <c r="K5590" s="2" t="s">
        <v>5</v>
      </c>
      <c r="L5590" s="2" t="s">
        <v>5</v>
      </c>
      <c r="M5590" s="2" t="s">
        <v>5</v>
      </c>
      <c r="N5590" s="4">
        <v>0</v>
      </c>
    </row>
    <row r="5591" spans="1:14" x14ac:dyDescent="0.25">
      <c r="A5591" s="2" t="s">
        <v>589</v>
      </c>
      <c r="B5591" s="2" t="s">
        <v>590</v>
      </c>
      <c r="C5591" s="3">
        <v>15.680999999999999</v>
      </c>
      <c r="D5591" s="4">
        <v>323.96946000000003</v>
      </c>
      <c r="E5591" s="4">
        <v>215.61375000000001</v>
      </c>
      <c r="F5591" s="4">
        <f t="shared" si="313"/>
        <v>108.35571000000002</v>
      </c>
      <c r="G5591" s="5">
        <f t="shared" si="314"/>
        <v>0.33446272991287512</v>
      </c>
      <c r="H5591" s="2" t="s">
        <v>5</v>
      </c>
      <c r="I5591" s="6" t="s">
        <v>2300</v>
      </c>
      <c r="J5591" s="2" t="s">
        <v>5</v>
      </c>
      <c r="K5591" s="2" t="s">
        <v>5</v>
      </c>
      <c r="L5591" s="2" t="s">
        <v>5</v>
      </c>
      <c r="M5591" s="2" t="s">
        <v>5</v>
      </c>
      <c r="N5591" s="4">
        <v>0</v>
      </c>
    </row>
    <row r="5592" spans="1:14" x14ac:dyDescent="0.25">
      <c r="A5592" s="2" t="s">
        <v>589</v>
      </c>
      <c r="B5592" s="2" t="s">
        <v>590</v>
      </c>
      <c r="C5592" s="3">
        <v>60.7</v>
      </c>
      <c r="D5592" s="4">
        <v>1329.33</v>
      </c>
      <c r="E5592" s="4">
        <v>834.625</v>
      </c>
      <c r="F5592" s="4">
        <f t="shared" si="313"/>
        <v>494.70499999999993</v>
      </c>
      <c r="G5592" s="5">
        <f t="shared" si="314"/>
        <v>0.37214611872146114</v>
      </c>
      <c r="H5592" s="2" t="s">
        <v>5</v>
      </c>
      <c r="I5592" s="6" t="s">
        <v>2300</v>
      </c>
      <c r="J5592" s="2" t="s">
        <v>5</v>
      </c>
      <c r="K5592" s="2" t="s">
        <v>5</v>
      </c>
      <c r="L5592" s="2" t="s">
        <v>5</v>
      </c>
      <c r="M5592" s="2" t="s">
        <v>5</v>
      </c>
      <c r="N5592" s="4">
        <v>0</v>
      </c>
    </row>
    <row r="5593" spans="1:14" x14ac:dyDescent="0.25">
      <c r="A5593" s="2" t="s">
        <v>589</v>
      </c>
      <c r="B5593" s="2" t="s">
        <v>590</v>
      </c>
      <c r="C5593" s="3">
        <v>104.32</v>
      </c>
      <c r="D5593" s="4">
        <v>1894.4512</v>
      </c>
      <c r="E5593" s="4">
        <v>1434.4</v>
      </c>
      <c r="F5593" s="4">
        <f t="shared" si="313"/>
        <v>460.05119999999988</v>
      </c>
      <c r="G5593" s="5">
        <f t="shared" si="314"/>
        <v>0.2428414096916299</v>
      </c>
      <c r="H5593" s="2" t="s">
        <v>5</v>
      </c>
      <c r="I5593" s="6" t="s">
        <v>2300</v>
      </c>
      <c r="J5593" s="2" t="s">
        <v>5</v>
      </c>
      <c r="K5593" s="2" t="s">
        <v>5</v>
      </c>
      <c r="L5593" s="2" t="s">
        <v>5</v>
      </c>
      <c r="M5593" s="2" t="s">
        <v>5</v>
      </c>
      <c r="N5593" s="4">
        <v>0</v>
      </c>
    </row>
    <row r="5594" spans="1:14" x14ac:dyDescent="0.25">
      <c r="A5594" s="2" t="s">
        <v>173</v>
      </c>
      <c r="B5594" s="2" t="s">
        <v>174</v>
      </c>
      <c r="C5594" s="3">
        <v>12.48</v>
      </c>
      <c r="D5594" s="4">
        <v>307.88159999999999</v>
      </c>
      <c r="E5594" s="4">
        <v>184.08</v>
      </c>
      <c r="F5594" s="4">
        <f t="shared" si="313"/>
        <v>123.80159999999998</v>
      </c>
      <c r="G5594" s="5">
        <f t="shared" si="314"/>
        <v>0.40210782326712602</v>
      </c>
      <c r="H5594" s="2" t="s">
        <v>5</v>
      </c>
      <c r="I5594" s="6" t="s">
        <v>2300</v>
      </c>
      <c r="J5594" s="2" t="s">
        <v>5</v>
      </c>
      <c r="K5594" s="2" t="s">
        <v>5</v>
      </c>
      <c r="L5594" s="2" t="s">
        <v>5</v>
      </c>
      <c r="M5594" s="2" t="s">
        <v>5</v>
      </c>
      <c r="N5594" s="4">
        <v>0</v>
      </c>
    </row>
    <row r="5595" spans="1:14" x14ac:dyDescent="0.25">
      <c r="A5595" s="2" t="s">
        <v>173</v>
      </c>
      <c r="B5595" s="2" t="s">
        <v>174</v>
      </c>
      <c r="C5595" s="3">
        <v>12.34</v>
      </c>
      <c r="D5595" s="4">
        <v>304.42779999999999</v>
      </c>
      <c r="E5595" s="4">
        <v>182.01499999999999</v>
      </c>
      <c r="F5595" s="4">
        <f t="shared" si="313"/>
        <v>122.4128</v>
      </c>
      <c r="G5595" s="5">
        <f t="shared" si="314"/>
        <v>0.40210782326712607</v>
      </c>
      <c r="H5595" s="2" t="s">
        <v>5</v>
      </c>
      <c r="I5595" s="6" t="s">
        <v>2300</v>
      </c>
      <c r="J5595" s="2" t="s">
        <v>5</v>
      </c>
      <c r="K5595" s="2" t="s">
        <v>5</v>
      </c>
      <c r="L5595" s="2" t="s">
        <v>5</v>
      </c>
      <c r="M5595" s="2" t="s">
        <v>5</v>
      </c>
      <c r="N5595" s="4">
        <v>0</v>
      </c>
    </row>
    <row r="5596" spans="1:14" x14ac:dyDescent="0.25">
      <c r="A5596" s="2" t="s">
        <v>739</v>
      </c>
      <c r="B5596" s="2" t="s">
        <v>740</v>
      </c>
      <c r="C5596" s="3">
        <v>14.96</v>
      </c>
      <c r="D5596" s="4">
        <v>426.21039999999999</v>
      </c>
      <c r="E5596" s="4">
        <v>220.66</v>
      </c>
      <c r="F5596" s="4">
        <f t="shared" si="313"/>
        <v>205.5504</v>
      </c>
      <c r="G5596" s="5">
        <f t="shared" si="314"/>
        <v>0.48227448227448227</v>
      </c>
      <c r="H5596" s="2" t="s">
        <v>5</v>
      </c>
      <c r="I5596" s="6" t="s">
        <v>2300</v>
      </c>
      <c r="J5596" s="2" t="s">
        <v>5</v>
      </c>
      <c r="K5596" s="2" t="s">
        <v>5</v>
      </c>
      <c r="L5596" s="2" t="s">
        <v>5</v>
      </c>
      <c r="M5596" s="2" t="s">
        <v>5</v>
      </c>
      <c r="N5596" s="4">
        <v>0</v>
      </c>
    </row>
    <row r="5597" spans="1:14" x14ac:dyDescent="0.25">
      <c r="A5597" s="2" t="s">
        <v>739</v>
      </c>
      <c r="B5597" s="2" t="s">
        <v>740</v>
      </c>
      <c r="C5597" s="3">
        <v>12.484999999999999</v>
      </c>
      <c r="D5597" s="4">
        <v>355.69765000000001</v>
      </c>
      <c r="E5597" s="4">
        <v>184.15375</v>
      </c>
      <c r="F5597" s="4">
        <f t="shared" si="313"/>
        <v>171.54390000000001</v>
      </c>
      <c r="G5597" s="5">
        <f t="shared" si="314"/>
        <v>0.48227448227448227</v>
      </c>
      <c r="H5597" s="2" t="s">
        <v>5</v>
      </c>
      <c r="I5597" s="6" t="s">
        <v>2300</v>
      </c>
      <c r="J5597" s="2" t="s">
        <v>5</v>
      </c>
      <c r="K5597" s="2" t="s">
        <v>5</v>
      </c>
      <c r="L5597" s="2" t="s">
        <v>5</v>
      </c>
      <c r="M5597" s="2" t="s">
        <v>5</v>
      </c>
      <c r="N5597" s="4">
        <v>0</v>
      </c>
    </row>
    <row r="5598" spans="1:14" x14ac:dyDescent="0.25">
      <c r="A5598" s="2" t="s">
        <v>739</v>
      </c>
      <c r="B5598" s="2" t="s">
        <v>740</v>
      </c>
      <c r="C5598" s="3">
        <v>1</v>
      </c>
      <c r="D5598" s="4">
        <v>28.49</v>
      </c>
      <c r="E5598" s="4">
        <v>14.75</v>
      </c>
      <c r="F5598" s="4">
        <f t="shared" si="313"/>
        <v>13.739999999999998</v>
      </c>
      <c r="G5598" s="5">
        <f t="shared" si="314"/>
        <v>0.48227448227448222</v>
      </c>
      <c r="H5598" s="2" t="s">
        <v>5</v>
      </c>
      <c r="I5598" s="6" t="s">
        <v>2300</v>
      </c>
      <c r="J5598" s="2" t="s">
        <v>5</v>
      </c>
      <c r="K5598" s="2" t="s">
        <v>5</v>
      </c>
      <c r="L5598" s="2" t="s">
        <v>5</v>
      </c>
      <c r="M5598" s="2" t="s">
        <v>5</v>
      </c>
      <c r="N5598" s="4">
        <v>0</v>
      </c>
    </row>
    <row r="5599" spans="1:14" x14ac:dyDescent="0.25">
      <c r="A5599" s="2" t="s">
        <v>739</v>
      </c>
      <c r="B5599" s="2" t="s">
        <v>740</v>
      </c>
      <c r="C5599" s="3">
        <v>6.29</v>
      </c>
      <c r="D5599" s="4">
        <v>179.2021</v>
      </c>
      <c r="E5599" s="4">
        <v>92.777500000000003</v>
      </c>
      <c r="F5599" s="4">
        <f t="shared" si="313"/>
        <v>86.424599999999998</v>
      </c>
      <c r="G5599" s="5">
        <f t="shared" si="314"/>
        <v>0.48227448227448227</v>
      </c>
      <c r="H5599" s="2" t="s">
        <v>5</v>
      </c>
      <c r="I5599" s="6" t="s">
        <v>2300</v>
      </c>
      <c r="J5599" s="2" t="s">
        <v>5</v>
      </c>
      <c r="K5599" s="2" t="s">
        <v>5</v>
      </c>
      <c r="L5599" s="2" t="s">
        <v>5</v>
      </c>
      <c r="M5599" s="2" t="s">
        <v>5</v>
      </c>
      <c r="N5599" s="4">
        <v>0</v>
      </c>
    </row>
    <row r="5600" spans="1:14" x14ac:dyDescent="0.25">
      <c r="A5600" s="2" t="s">
        <v>739</v>
      </c>
      <c r="B5600" s="2" t="s">
        <v>740</v>
      </c>
      <c r="C5600" s="3">
        <v>16.204999999999998</v>
      </c>
      <c r="D5600" s="4">
        <v>461.68045000000001</v>
      </c>
      <c r="E5600" s="4">
        <v>239.02375000000001</v>
      </c>
      <c r="F5600" s="4">
        <f t="shared" si="313"/>
        <v>222.6567</v>
      </c>
      <c r="G5600" s="5">
        <f t="shared" si="314"/>
        <v>0.48227448227448227</v>
      </c>
      <c r="H5600" s="2" t="s">
        <v>5</v>
      </c>
      <c r="I5600" s="6" t="s">
        <v>2300</v>
      </c>
      <c r="J5600" s="2" t="s">
        <v>5</v>
      </c>
      <c r="K5600" s="2" t="s">
        <v>5</v>
      </c>
      <c r="L5600" s="2" t="s">
        <v>5</v>
      </c>
      <c r="M5600" s="2" t="s">
        <v>5</v>
      </c>
      <c r="N5600" s="4">
        <v>0</v>
      </c>
    </row>
    <row r="5601" spans="1:14" x14ac:dyDescent="0.25">
      <c r="A5601" s="2" t="s">
        <v>2210</v>
      </c>
      <c r="B5601" s="2" t="s">
        <v>2211</v>
      </c>
      <c r="C5601" s="3">
        <v>11.42</v>
      </c>
      <c r="D5601" s="4">
        <v>325.35579999999999</v>
      </c>
      <c r="E5601" s="4">
        <v>168.44499999999999</v>
      </c>
      <c r="F5601" s="4">
        <f t="shared" ref="F5601:F5664" si="315">D5601-E5601</f>
        <v>156.91079999999999</v>
      </c>
      <c r="G5601" s="5">
        <f t="shared" ref="G5601:G5664" si="316">IF(((D5601)=0),0,(D5601-E5601)/ D5601)</f>
        <v>0.48227448227448227</v>
      </c>
      <c r="H5601" s="2" t="s">
        <v>5</v>
      </c>
      <c r="I5601" s="6" t="s">
        <v>2300</v>
      </c>
      <c r="J5601" s="2" t="s">
        <v>5</v>
      </c>
      <c r="K5601" s="2" t="s">
        <v>5</v>
      </c>
      <c r="L5601" s="2" t="s">
        <v>5</v>
      </c>
      <c r="M5601" s="2" t="s">
        <v>5</v>
      </c>
      <c r="N5601" s="4">
        <v>0</v>
      </c>
    </row>
    <row r="5602" spans="1:14" x14ac:dyDescent="0.25">
      <c r="A5602" s="2" t="s">
        <v>175</v>
      </c>
      <c r="B5602" s="2" t="s">
        <v>176</v>
      </c>
      <c r="C5602" s="3">
        <v>23</v>
      </c>
      <c r="D5602" s="4">
        <v>567.41</v>
      </c>
      <c r="E5602" s="4">
        <v>339.25</v>
      </c>
      <c r="F5602" s="4">
        <f t="shared" si="315"/>
        <v>228.15999999999997</v>
      </c>
      <c r="G5602" s="5">
        <f t="shared" si="316"/>
        <v>0.40210782326712602</v>
      </c>
      <c r="H5602" s="2" t="s">
        <v>5</v>
      </c>
      <c r="I5602" s="6" t="s">
        <v>2300</v>
      </c>
      <c r="J5602" s="2" t="s">
        <v>5</v>
      </c>
      <c r="K5602" s="2" t="s">
        <v>5</v>
      </c>
      <c r="L5602" s="2" t="s">
        <v>5</v>
      </c>
      <c r="M5602" s="2" t="s">
        <v>5</v>
      </c>
      <c r="N5602" s="4">
        <v>0</v>
      </c>
    </row>
    <row r="5603" spans="1:14" x14ac:dyDescent="0.25">
      <c r="A5603" s="2" t="s">
        <v>175</v>
      </c>
      <c r="B5603" s="2" t="s">
        <v>176</v>
      </c>
      <c r="C5603" s="3">
        <v>13.2</v>
      </c>
      <c r="D5603" s="4">
        <v>325.64400000000001</v>
      </c>
      <c r="E5603" s="4">
        <v>194.7</v>
      </c>
      <c r="F5603" s="4">
        <f t="shared" si="315"/>
        <v>130.94400000000002</v>
      </c>
      <c r="G5603" s="5">
        <f t="shared" si="316"/>
        <v>0.40210782326712613</v>
      </c>
      <c r="H5603" s="2" t="s">
        <v>5</v>
      </c>
      <c r="I5603" s="6" t="s">
        <v>2300</v>
      </c>
      <c r="J5603" s="2" t="s">
        <v>5</v>
      </c>
      <c r="K5603" s="2" t="s">
        <v>5</v>
      </c>
      <c r="L5603" s="2" t="s">
        <v>5</v>
      </c>
      <c r="M5603" s="2" t="s">
        <v>5</v>
      </c>
      <c r="N5603" s="4">
        <v>0</v>
      </c>
    </row>
    <row r="5604" spans="1:14" x14ac:dyDescent="0.25">
      <c r="A5604" s="2" t="s">
        <v>1296</v>
      </c>
      <c r="B5604" s="2" t="s">
        <v>1297</v>
      </c>
      <c r="C5604" s="3">
        <v>38.590000000000003</v>
      </c>
      <c r="D5604" s="4">
        <v>1099.4291000000001</v>
      </c>
      <c r="E5604" s="4">
        <v>569.20249999999999</v>
      </c>
      <c r="F5604" s="4">
        <f t="shared" si="315"/>
        <v>530.22660000000008</v>
      </c>
      <c r="G5604" s="5">
        <f t="shared" si="316"/>
        <v>0.48227448227448233</v>
      </c>
      <c r="H5604" s="2" t="s">
        <v>5</v>
      </c>
      <c r="I5604" s="6" t="s">
        <v>2300</v>
      </c>
      <c r="J5604" s="2" t="s">
        <v>5</v>
      </c>
      <c r="K5604" s="2" t="s">
        <v>5</v>
      </c>
      <c r="L5604" s="2" t="s">
        <v>5</v>
      </c>
      <c r="M5604" s="2" t="s">
        <v>5</v>
      </c>
      <c r="N5604" s="4">
        <v>0</v>
      </c>
    </row>
    <row r="5605" spans="1:14" x14ac:dyDescent="0.25">
      <c r="A5605" s="2" t="s">
        <v>1296</v>
      </c>
      <c r="B5605" s="2" t="s">
        <v>1297</v>
      </c>
      <c r="C5605" s="3">
        <v>61.59</v>
      </c>
      <c r="D5605" s="4">
        <v>1754.6991</v>
      </c>
      <c r="E5605" s="4">
        <v>908.45249999999999</v>
      </c>
      <c r="F5605" s="4">
        <f t="shared" si="315"/>
        <v>846.24660000000006</v>
      </c>
      <c r="G5605" s="5">
        <f t="shared" si="316"/>
        <v>0.48227448227448227</v>
      </c>
      <c r="H5605" s="2" t="s">
        <v>5</v>
      </c>
      <c r="I5605" s="6" t="s">
        <v>2300</v>
      </c>
      <c r="J5605" s="2" t="s">
        <v>5</v>
      </c>
      <c r="K5605" s="2" t="s">
        <v>5</v>
      </c>
      <c r="L5605" s="2" t="s">
        <v>5</v>
      </c>
      <c r="M5605" s="2" t="s">
        <v>5</v>
      </c>
      <c r="N5605" s="4">
        <v>0</v>
      </c>
    </row>
    <row r="5606" spans="1:14" x14ac:dyDescent="0.25">
      <c r="A5606" s="2" t="s">
        <v>1296</v>
      </c>
      <c r="B5606" s="2" t="s">
        <v>1297</v>
      </c>
      <c r="C5606" s="3">
        <v>6.25</v>
      </c>
      <c r="D5606" s="4">
        <v>178.0625</v>
      </c>
      <c r="E5606" s="4">
        <v>92.1875</v>
      </c>
      <c r="F5606" s="4">
        <f t="shared" si="315"/>
        <v>85.875</v>
      </c>
      <c r="G5606" s="5">
        <f t="shared" si="316"/>
        <v>0.48227448227448227</v>
      </c>
      <c r="H5606" s="2" t="s">
        <v>5</v>
      </c>
      <c r="I5606" s="6" t="s">
        <v>2300</v>
      </c>
      <c r="J5606" s="2" t="s">
        <v>5</v>
      </c>
      <c r="K5606" s="2" t="s">
        <v>5</v>
      </c>
      <c r="L5606" s="2" t="s">
        <v>5</v>
      </c>
      <c r="M5606" s="2" t="s">
        <v>5</v>
      </c>
      <c r="N5606" s="4">
        <v>0</v>
      </c>
    </row>
    <row r="5607" spans="1:14" x14ac:dyDescent="0.25">
      <c r="A5607" s="2" t="s">
        <v>1296</v>
      </c>
      <c r="B5607" s="2" t="s">
        <v>1297</v>
      </c>
      <c r="C5607" s="3">
        <v>15.555</v>
      </c>
      <c r="D5607" s="4">
        <v>443.16194999999999</v>
      </c>
      <c r="E5607" s="4">
        <v>229.43625</v>
      </c>
      <c r="F5607" s="4">
        <f t="shared" si="315"/>
        <v>213.72569999999999</v>
      </c>
      <c r="G5607" s="5">
        <f t="shared" si="316"/>
        <v>0.48227448227448227</v>
      </c>
      <c r="H5607" s="2" t="s">
        <v>5</v>
      </c>
      <c r="I5607" s="6" t="s">
        <v>2300</v>
      </c>
      <c r="J5607" s="2" t="s">
        <v>5</v>
      </c>
      <c r="K5607" s="2" t="s">
        <v>5</v>
      </c>
      <c r="L5607" s="2" t="s">
        <v>5</v>
      </c>
      <c r="M5607" s="2" t="s">
        <v>5</v>
      </c>
      <c r="N5607" s="4">
        <v>0</v>
      </c>
    </row>
    <row r="5608" spans="1:14" x14ac:dyDescent="0.25">
      <c r="A5608" s="2" t="s">
        <v>1296</v>
      </c>
      <c r="B5608" s="2" t="s">
        <v>1297</v>
      </c>
      <c r="C5608" s="3">
        <v>12.75</v>
      </c>
      <c r="D5608" s="4">
        <v>364.90499999999997</v>
      </c>
      <c r="E5608" s="4">
        <v>188.0625</v>
      </c>
      <c r="F5608" s="4">
        <f t="shared" si="315"/>
        <v>176.84249999999997</v>
      </c>
      <c r="G5608" s="5">
        <f t="shared" si="316"/>
        <v>0.48462613556953177</v>
      </c>
      <c r="H5608" s="2" t="s">
        <v>5</v>
      </c>
      <c r="I5608" s="6" t="s">
        <v>2300</v>
      </c>
      <c r="J5608" s="2" t="s">
        <v>5</v>
      </c>
      <c r="K5608" s="2" t="s">
        <v>5</v>
      </c>
      <c r="L5608" s="2" t="s">
        <v>5</v>
      </c>
      <c r="M5608" s="2" t="s">
        <v>5</v>
      </c>
      <c r="N5608" s="4">
        <v>0</v>
      </c>
    </row>
    <row r="5609" spans="1:14" x14ac:dyDescent="0.25">
      <c r="A5609" s="2" t="s">
        <v>1296</v>
      </c>
      <c r="B5609" s="2" t="s">
        <v>1297</v>
      </c>
      <c r="C5609" s="3">
        <v>8.8450000000000006</v>
      </c>
      <c r="D5609" s="4">
        <v>253.1439</v>
      </c>
      <c r="E5609" s="4">
        <v>130.46375</v>
      </c>
      <c r="F5609" s="4">
        <f t="shared" si="315"/>
        <v>122.68015</v>
      </c>
      <c r="G5609" s="5">
        <f t="shared" si="316"/>
        <v>0.48462613556953177</v>
      </c>
      <c r="H5609" s="2" t="s">
        <v>5</v>
      </c>
      <c r="I5609" s="6" t="s">
        <v>2300</v>
      </c>
      <c r="J5609" s="2" t="s">
        <v>5</v>
      </c>
      <c r="K5609" s="2" t="s">
        <v>5</v>
      </c>
      <c r="L5609" s="2" t="s">
        <v>5</v>
      </c>
      <c r="M5609" s="2" t="s">
        <v>5</v>
      </c>
      <c r="N5609" s="4">
        <v>0</v>
      </c>
    </row>
    <row r="5610" spans="1:14" x14ac:dyDescent="0.25">
      <c r="A5610" s="2" t="s">
        <v>786</v>
      </c>
      <c r="B5610" s="2" t="s">
        <v>787</v>
      </c>
      <c r="C5610" s="3">
        <v>13.67</v>
      </c>
      <c r="D5610" s="4">
        <v>277.6377</v>
      </c>
      <c r="E5610" s="4">
        <v>170.875</v>
      </c>
      <c r="F5610" s="4">
        <f t="shared" si="315"/>
        <v>106.7627</v>
      </c>
      <c r="G5610" s="5">
        <f t="shared" si="316"/>
        <v>0.3845396356474643</v>
      </c>
      <c r="H5610" s="2" t="s">
        <v>5</v>
      </c>
      <c r="I5610" s="6" t="s">
        <v>2300</v>
      </c>
      <c r="J5610" s="2" t="s">
        <v>5</v>
      </c>
      <c r="K5610" s="2" t="s">
        <v>5</v>
      </c>
      <c r="L5610" s="2" t="s">
        <v>5</v>
      </c>
      <c r="M5610" s="2" t="s">
        <v>5</v>
      </c>
      <c r="N5610" s="4">
        <v>0</v>
      </c>
    </row>
    <row r="5611" spans="1:14" x14ac:dyDescent="0.25">
      <c r="A5611" s="2" t="s">
        <v>786</v>
      </c>
      <c r="B5611" s="2" t="s">
        <v>787</v>
      </c>
      <c r="C5611" s="3">
        <v>5.58</v>
      </c>
      <c r="D5611" s="4">
        <v>113.32980000000001</v>
      </c>
      <c r="E5611" s="4">
        <v>69.75</v>
      </c>
      <c r="F5611" s="4">
        <f t="shared" si="315"/>
        <v>43.579800000000006</v>
      </c>
      <c r="G5611" s="5">
        <f t="shared" si="316"/>
        <v>0.38453963564746435</v>
      </c>
      <c r="H5611" s="2" t="s">
        <v>5</v>
      </c>
      <c r="I5611" s="6" t="s">
        <v>2300</v>
      </c>
      <c r="J5611" s="2" t="s">
        <v>5</v>
      </c>
      <c r="K5611" s="2" t="s">
        <v>5</v>
      </c>
      <c r="L5611" s="2" t="s">
        <v>5</v>
      </c>
      <c r="M5611" s="2" t="s">
        <v>5</v>
      </c>
      <c r="N5611" s="4">
        <v>0</v>
      </c>
    </row>
    <row r="5612" spans="1:14" x14ac:dyDescent="0.25">
      <c r="A5612" s="2" t="s">
        <v>786</v>
      </c>
      <c r="B5612" s="2" t="s">
        <v>787</v>
      </c>
      <c r="C5612" s="3">
        <v>37.42</v>
      </c>
      <c r="D5612" s="4">
        <v>593.85540000000003</v>
      </c>
      <c r="E5612" s="4">
        <v>467.75</v>
      </c>
      <c r="F5612" s="4">
        <f t="shared" si="315"/>
        <v>126.10540000000003</v>
      </c>
      <c r="G5612" s="5">
        <f t="shared" si="316"/>
        <v>0.21235034656584756</v>
      </c>
      <c r="H5612" s="2" t="s">
        <v>5</v>
      </c>
      <c r="I5612" s="6" t="s">
        <v>2300</v>
      </c>
      <c r="J5612" s="2" t="s">
        <v>5</v>
      </c>
      <c r="K5612" s="2" t="s">
        <v>5</v>
      </c>
      <c r="L5612" s="2" t="s">
        <v>5</v>
      </c>
      <c r="M5612" s="2" t="s">
        <v>5</v>
      </c>
      <c r="N5612" s="4">
        <v>0</v>
      </c>
    </row>
    <row r="5613" spans="1:14" x14ac:dyDescent="0.25">
      <c r="A5613" s="2" t="s">
        <v>786</v>
      </c>
      <c r="B5613" s="2" t="s">
        <v>787</v>
      </c>
      <c r="C5613" s="3">
        <v>62.935000000000002</v>
      </c>
      <c r="D5613" s="4">
        <v>998.77845000000002</v>
      </c>
      <c r="E5613" s="4">
        <v>786.6875</v>
      </c>
      <c r="F5613" s="4">
        <f t="shared" si="315"/>
        <v>212.09095000000002</v>
      </c>
      <c r="G5613" s="5">
        <f t="shared" si="316"/>
        <v>0.21235034656584753</v>
      </c>
      <c r="H5613" s="2" t="s">
        <v>5</v>
      </c>
      <c r="I5613" s="6" t="s">
        <v>2300</v>
      </c>
      <c r="J5613" s="2" t="s">
        <v>5</v>
      </c>
      <c r="K5613" s="2" t="s">
        <v>5</v>
      </c>
      <c r="L5613" s="2" t="s">
        <v>5</v>
      </c>
      <c r="M5613" s="2" t="s">
        <v>5</v>
      </c>
      <c r="N5613" s="4">
        <v>0</v>
      </c>
    </row>
    <row r="5614" spans="1:14" x14ac:dyDescent="0.25">
      <c r="A5614" s="2" t="s">
        <v>340</v>
      </c>
      <c r="B5614" s="2" t="s">
        <v>341</v>
      </c>
      <c r="C5614" s="3">
        <v>4.78</v>
      </c>
      <c r="D5614" s="4">
        <v>225.37700000000001</v>
      </c>
      <c r="E5614" s="4">
        <v>83.65</v>
      </c>
      <c r="F5614" s="4">
        <f t="shared" si="315"/>
        <v>141.727</v>
      </c>
      <c r="G5614" s="5">
        <f t="shared" si="316"/>
        <v>0.62884411452810174</v>
      </c>
      <c r="H5614" s="2" t="s">
        <v>5</v>
      </c>
      <c r="I5614" s="6" t="s">
        <v>2300</v>
      </c>
      <c r="J5614" s="2" t="s">
        <v>5</v>
      </c>
      <c r="K5614" s="2" t="s">
        <v>5</v>
      </c>
      <c r="L5614" s="2" t="s">
        <v>5</v>
      </c>
      <c r="M5614" s="2" t="s">
        <v>5</v>
      </c>
      <c r="N5614" s="4">
        <v>0</v>
      </c>
    </row>
    <row r="5615" spans="1:14" x14ac:dyDescent="0.25">
      <c r="A5615" s="2" t="s">
        <v>340</v>
      </c>
      <c r="B5615" s="2" t="s">
        <v>341</v>
      </c>
      <c r="C5615" s="3">
        <v>12.29</v>
      </c>
      <c r="D5615" s="4">
        <v>579.47349999999994</v>
      </c>
      <c r="E5615" s="4">
        <v>215.07499999999999</v>
      </c>
      <c r="F5615" s="4">
        <f t="shared" si="315"/>
        <v>364.39849999999996</v>
      </c>
      <c r="G5615" s="5">
        <f t="shared" si="316"/>
        <v>0.62884411452810174</v>
      </c>
      <c r="H5615" s="2" t="s">
        <v>5</v>
      </c>
      <c r="I5615" s="6" t="s">
        <v>2300</v>
      </c>
      <c r="J5615" s="2" t="s">
        <v>5</v>
      </c>
      <c r="K5615" s="2" t="s">
        <v>5</v>
      </c>
      <c r="L5615" s="2" t="s">
        <v>5</v>
      </c>
      <c r="M5615" s="2" t="s">
        <v>5</v>
      </c>
      <c r="N5615" s="4">
        <v>0</v>
      </c>
    </row>
    <row r="5616" spans="1:14" x14ac:dyDescent="0.25">
      <c r="A5616" s="2" t="s">
        <v>340</v>
      </c>
      <c r="B5616" s="2" t="s">
        <v>341</v>
      </c>
      <c r="C5616" s="3">
        <v>10.95</v>
      </c>
      <c r="D5616" s="4">
        <v>516.29250000000002</v>
      </c>
      <c r="E5616" s="4">
        <v>191.625</v>
      </c>
      <c r="F5616" s="4">
        <f t="shared" si="315"/>
        <v>324.66750000000002</v>
      </c>
      <c r="G5616" s="5">
        <f t="shared" si="316"/>
        <v>0.62884411452810185</v>
      </c>
      <c r="H5616" s="2" t="s">
        <v>5</v>
      </c>
      <c r="I5616" s="6" t="s">
        <v>2300</v>
      </c>
      <c r="J5616" s="2" t="s">
        <v>5</v>
      </c>
      <c r="K5616" s="2" t="s">
        <v>5</v>
      </c>
      <c r="L5616" s="2" t="s">
        <v>5</v>
      </c>
      <c r="M5616" s="2" t="s">
        <v>5</v>
      </c>
      <c r="N5616" s="4">
        <v>0</v>
      </c>
    </row>
    <row r="5617" spans="1:14" x14ac:dyDescent="0.25">
      <c r="A5617" s="2" t="s">
        <v>342</v>
      </c>
      <c r="B5617" s="2" t="s">
        <v>343</v>
      </c>
      <c r="C5617" s="3">
        <v>42</v>
      </c>
      <c r="D5617" s="4">
        <v>2601.9</v>
      </c>
      <c r="E5617" s="4">
        <v>1029</v>
      </c>
      <c r="F5617" s="4">
        <f t="shared" si="315"/>
        <v>1572.9</v>
      </c>
      <c r="G5617" s="5">
        <f t="shared" si="316"/>
        <v>0.60451977401129942</v>
      </c>
      <c r="H5617" s="2" t="s">
        <v>5</v>
      </c>
      <c r="I5617" s="6" t="s">
        <v>2300</v>
      </c>
      <c r="J5617" s="2" t="s">
        <v>5</v>
      </c>
      <c r="K5617" s="2" t="s">
        <v>5</v>
      </c>
      <c r="L5617" s="2" t="s">
        <v>5</v>
      </c>
      <c r="M5617" s="2" t="s">
        <v>5</v>
      </c>
      <c r="N5617" s="4">
        <v>0</v>
      </c>
    </row>
    <row r="5618" spans="1:14" x14ac:dyDescent="0.25">
      <c r="A5618" s="2" t="s">
        <v>670</v>
      </c>
      <c r="B5618" s="2" t="s">
        <v>671</v>
      </c>
      <c r="C5618" s="3">
        <v>31.245000000000001</v>
      </c>
      <c r="D5618" s="4">
        <v>840.4905</v>
      </c>
      <c r="E5618" s="4">
        <v>453.05250000000001</v>
      </c>
      <c r="F5618" s="4">
        <f t="shared" si="315"/>
        <v>387.43799999999999</v>
      </c>
      <c r="G5618" s="5">
        <f t="shared" si="316"/>
        <v>0.46096654275092935</v>
      </c>
      <c r="H5618" s="2" t="s">
        <v>5</v>
      </c>
      <c r="I5618" s="6" t="s">
        <v>2300</v>
      </c>
      <c r="J5618" s="2" t="s">
        <v>5</v>
      </c>
      <c r="K5618" s="2" t="s">
        <v>5</v>
      </c>
      <c r="L5618" s="2" t="s">
        <v>5</v>
      </c>
      <c r="M5618" s="2" t="s">
        <v>5</v>
      </c>
      <c r="N5618" s="4">
        <v>0</v>
      </c>
    </row>
    <row r="5619" spans="1:14" x14ac:dyDescent="0.25">
      <c r="A5619" s="2" t="s">
        <v>670</v>
      </c>
      <c r="B5619" s="2" t="s">
        <v>671</v>
      </c>
      <c r="C5619" s="3">
        <v>17.34</v>
      </c>
      <c r="D5619" s="4">
        <v>466.44600000000003</v>
      </c>
      <c r="E5619" s="4">
        <v>251.43</v>
      </c>
      <c r="F5619" s="4">
        <f t="shared" si="315"/>
        <v>215.01600000000002</v>
      </c>
      <c r="G5619" s="5">
        <f t="shared" si="316"/>
        <v>0.46096654275092941</v>
      </c>
      <c r="H5619" s="2" t="s">
        <v>5</v>
      </c>
      <c r="I5619" s="6" t="s">
        <v>2300</v>
      </c>
      <c r="J5619" s="2" t="s">
        <v>5</v>
      </c>
      <c r="K5619" s="2" t="s">
        <v>5</v>
      </c>
      <c r="L5619" s="2" t="s">
        <v>5</v>
      </c>
      <c r="M5619" s="2" t="s">
        <v>5</v>
      </c>
      <c r="N5619" s="4">
        <v>0</v>
      </c>
    </row>
    <row r="5620" spans="1:14" x14ac:dyDescent="0.25">
      <c r="A5620" s="2" t="s">
        <v>670</v>
      </c>
      <c r="B5620" s="2" t="s">
        <v>671</v>
      </c>
      <c r="C5620" s="3">
        <v>8.42</v>
      </c>
      <c r="D5620" s="4">
        <v>226.49799999999999</v>
      </c>
      <c r="E5620" s="4">
        <v>122.09</v>
      </c>
      <c r="F5620" s="4">
        <f t="shared" si="315"/>
        <v>104.40799999999999</v>
      </c>
      <c r="G5620" s="5">
        <f t="shared" si="316"/>
        <v>0.46096654275092935</v>
      </c>
      <c r="H5620" s="2" t="s">
        <v>5</v>
      </c>
      <c r="I5620" s="6" t="s">
        <v>2300</v>
      </c>
      <c r="J5620" s="2" t="s">
        <v>5</v>
      </c>
      <c r="K5620" s="2" t="s">
        <v>5</v>
      </c>
      <c r="L5620" s="2" t="s">
        <v>5</v>
      </c>
      <c r="M5620" s="2" t="s">
        <v>5</v>
      </c>
      <c r="N5620" s="4">
        <v>0</v>
      </c>
    </row>
    <row r="5621" spans="1:14" x14ac:dyDescent="0.25">
      <c r="A5621" s="2" t="s">
        <v>344</v>
      </c>
      <c r="B5621" s="2" t="s">
        <v>345</v>
      </c>
      <c r="C5621" s="3">
        <v>42</v>
      </c>
      <c r="D5621" s="4">
        <v>1129.8</v>
      </c>
      <c r="E5621" s="4">
        <v>609</v>
      </c>
      <c r="F5621" s="4">
        <f t="shared" si="315"/>
        <v>520.79999999999995</v>
      </c>
      <c r="G5621" s="5">
        <f t="shared" si="316"/>
        <v>0.46096654275092935</v>
      </c>
      <c r="H5621" s="2" t="s">
        <v>5</v>
      </c>
      <c r="I5621" s="6" t="s">
        <v>2300</v>
      </c>
      <c r="J5621" s="2" t="s">
        <v>5</v>
      </c>
      <c r="K5621" s="2" t="s">
        <v>5</v>
      </c>
      <c r="L5621" s="2" t="s">
        <v>5</v>
      </c>
      <c r="M5621" s="2" t="s">
        <v>5</v>
      </c>
      <c r="N5621" s="4">
        <v>0</v>
      </c>
    </row>
    <row r="5622" spans="1:14" x14ac:dyDescent="0.25">
      <c r="A5622" s="2" t="s">
        <v>344</v>
      </c>
      <c r="B5622" s="2" t="s">
        <v>345</v>
      </c>
      <c r="C5622" s="3">
        <v>-37.799999999999997</v>
      </c>
      <c r="D5622" s="4">
        <v>-1016.82</v>
      </c>
      <c r="E5622" s="4">
        <v>-548.1</v>
      </c>
      <c r="F5622" s="4">
        <f t="shared" si="315"/>
        <v>-468.72</v>
      </c>
      <c r="G5622" s="5">
        <f t="shared" si="316"/>
        <v>0.46096654275092935</v>
      </c>
      <c r="H5622" s="2" t="s">
        <v>5</v>
      </c>
      <c r="I5622" s="6" t="s">
        <v>2300</v>
      </c>
      <c r="J5622" s="2" t="s">
        <v>5</v>
      </c>
      <c r="K5622" s="2" t="s">
        <v>5</v>
      </c>
      <c r="L5622" s="2" t="s">
        <v>5</v>
      </c>
      <c r="M5622" s="2" t="s">
        <v>5</v>
      </c>
      <c r="N5622" s="4">
        <v>0</v>
      </c>
    </row>
    <row r="5623" spans="1:14" x14ac:dyDescent="0.25">
      <c r="A5623" s="2" t="s">
        <v>346</v>
      </c>
      <c r="B5623" s="2" t="s">
        <v>347</v>
      </c>
      <c r="C5623" s="3">
        <v>9.86</v>
      </c>
      <c r="D5623" s="4">
        <v>265.23399999999998</v>
      </c>
      <c r="E5623" s="4">
        <v>142.97</v>
      </c>
      <c r="F5623" s="4">
        <f t="shared" si="315"/>
        <v>122.26399999999998</v>
      </c>
      <c r="G5623" s="5">
        <f t="shared" si="316"/>
        <v>0.46096654275092935</v>
      </c>
      <c r="H5623" s="2" t="s">
        <v>5</v>
      </c>
      <c r="I5623" s="6" t="s">
        <v>2300</v>
      </c>
      <c r="J5623" s="2" t="s">
        <v>5</v>
      </c>
      <c r="K5623" s="2" t="s">
        <v>5</v>
      </c>
      <c r="L5623" s="2" t="s">
        <v>5</v>
      </c>
      <c r="M5623" s="2" t="s">
        <v>5</v>
      </c>
      <c r="N5623" s="4">
        <v>0</v>
      </c>
    </row>
    <row r="5624" spans="1:14" x14ac:dyDescent="0.25">
      <c r="A5624" s="2" t="s">
        <v>1115</v>
      </c>
      <c r="B5624" s="2" t="s">
        <v>1116</v>
      </c>
      <c r="C5624" s="3">
        <v>4</v>
      </c>
      <c r="D5624" s="4">
        <v>83.04</v>
      </c>
      <c r="E5624" s="4">
        <v>56</v>
      </c>
      <c r="F5624" s="4">
        <f t="shared" si="315"/>
        <v>27.040000000000006</v>
      </c>
      <c r="G5624" s="5">
        <f t="shared" si="316"/>
        <v>0.32562620423892108</v>
      </c>
      <c r="H5624" s="2" t="s">
        <v>5</v>
      </c>
      <c r="I5624" s="6" t="s">
        <v>2300</v>
      </c>
      <c r="J5624" s="2" t="s">
        <v>5</v>
      </c>
      <c r="K5624" s="2" t="s">
        <v>5</v>
      </c>
      <c r="L5624" s="2" t="s">
        <v>5</v>
      </c>
      <c r="M5624" s="2" t="s">
        <v>5</v>
      </c>
      <c r="N5624" s="4">
        <v>0</v>
      </c>
    </row>
    <row r="5625" spans="1:14" x14ac:dyDescent="0.25">
      <c r="A5625" s="2" t="s">
        <v>1115</v>
      </c>
      <c r="B5625" s="2" t="s">
        <v>1116</v>
      </c>
      <c r="C5625" s="3">
        <v>6</v>
      </c>
      <c r="D5625" s="4">
        <v>126.48</v>
      </c>
      <c r="E5625" s="4">
        <v>84</v>
      </c>
      <c r="F5625" s="4">
        <f t="shared" si="315"/>
        <v>42.480000000000004</v>
      </c>
      <c r="G5625" s="5">
        <f t="shared" si="316"/>
        <v>0.33586337760910817</v>
      </c>
      <c r="H5625" s="2" t="s">
        <v>5</v>
      </c>
      <c r="I5625" s="6" t="s">
        <v>2300</v>
      </c>
      <c r="J5625" s="2" t="s">
        <v>5</v>
      </c>
      <c r="K5625" s="2" t="s">
        <v>5</v>
      </c>
      <c r="L5625" s="2" t="s">
        <v>5</v>
      </c>
      <c r="M5625" s="2" t="s">
        <v>5</v>
      </c>
      <c r="N5625" s="4">
        <v>0</v>
      </c>
    </row>
    <row r="5626" spans="1:14" x14ac:dyDescent="0.25">
      <c r="A5626" s="2" t="s">
        <v>741</v>
      </c>
      <c r="B5626" s="2" t="s">
        <v>742</v>
      </c>
      <c r="C5626" s="3">
        <v>16</v>
      </c>
      <c r="D5626" s="4">
        <v>325.76</v>
      </c>
      <c r="E5626" s="4">
        <v>244</v>
      </c>
      <c r="F5626" s="4">
        <f t="shared" si="315"/>
        <v>81.759999999999991</v>
      </c>
      <c r="G5626" s="5">
        <f t="shared" si="316"/>
        <v>0.25098231827111983</v>
      </c>
      <c r="H5626" s="2" t="s">
        <v>5</v>
      </c>
      <c r="I5626" s="6" t="s">
        <v>2300</v>
      </c>
      <c r="J5626" s="2" t="s">
        <v>5</v>
      </c>
      <c r="K5626" s="2" t="s">
        <v>5</v>
      </c>
      <c r="L5626" s="2" t="s">
        <v>5</v>
      </c>
      <c r="M5626" s="2" t="s">
        <v>5</v>
      </c>
      <c r="N5626" s="4">
        <v>0</v>
      </c>
    </row>
    <row r="5627" spans="1:14" x14ac:dyDescent="0.25">
      <c r="A5627" s="2" t="s">
        <v>741</v>
      </c>
      <c r="B5627" s="2" t="s">
        <v>742</v>
      </c>
      <c r="C5627" s="3">
        <v>1</v>
      </c>
      <c r="D5627" s="4">
        <v>24.37</v>
      </c>
      <c r="E5627" s="4">
        <v>15.25</v>
      </c>
      <c r="F5627" s="4">
        <f t="shared" si="315"/>
        <v>9.120000000000001</v>
      </c>
      <c r="G5627" s="5">
        <f t="shared" si="316"/>
        <v>0.37423061140746822</v>
      </c>
      <c r="H5627" s="2" t="s">
        <v>5</v>
      </c>
      <c r="I5627" s="6" t="s">
        <v>2300</v>
      </c>
      <c r="J5627" s="2" t="s">
        <v>5</v>
      </c>
      <c r="K5627" s="2" t="s">
        <v>5</v>
      </c>
      <c r="L5627" s="2" t="s">
        <v>5</v>
      </c>
      <c r="M5627" s="2" t="s">
        <v>5</v>
      </c>
      <c r="N5627" s="4">
        <v>0</v>
      </c>
    </row>
    <row r="5628" spans="1:14" x14ac:dyDescent="0.25">
      <c r="A5628" s="2" t="s">
        <v>741</v>
      </c>
      <c r="B5628" s="2" t="s">
        <v>742</v>
      </c>
      <c r="C5628" s="3">
        <v>4</v>
      </c>
      <c r="D5628" s="4">
        <v>86.44</v>
      </c>
      <c r="E5628" s="4">
        <v>61</v>
      </c>
      <c r="F5628" s="4">
        <f t="shared" si="315"/>
        <v>25.439999999999998</v>
      </c>
      <c r="G5628" s="5">
        <f t="shared" si="316"/>
        <v>0.29430819065247571</v>
      </c>
      <c r="H5628" s="2" t="s">
        <v>5</v>
      </c>
      <c r="I5628" s="6" t="s">
        <v>2300</v>
      </c>
      <c r="J5628" s="2" t="s">
        <v>5</v>
      </c>
      <c r="K5628" s="2" t="s">
        <v>5</v>
      </c>
      <c r="L5628" s="2" t="s">
        <v>5</v>
      </c>
      <c r="M5628" s="2" t="s">
        <v>5</v>
      </c>
      <c r="N5628" s="4">
        <v>0</v>
      </c>
    </row>
    <row r="5629" spans="1:14" x14ac:dyDescent="0.25">
      <c r="A5629" s="2" t="s">
        <v>741</v>
      </c>
      <c r="B5629" s="2" t="s">
        <v>742</v>
      </c>
      <c r="C5629" s="3">
        <v>4</v>
      </c>
      <c r="D5629" s="4">
        <v>86.44</v>
      </c>
      <c r="E5629" s="4">
        <v>61</v>
      </c>
      <c r="F5629" s="4">
        <f t="shared" si="315"/>
        <v>25.439999999999998</v>
      </c>
      <c r="G5629" s="5">
        <f t="shared" si="316"/>
        <v>0.29430819065247571</v>
      </c>
      <c r="H5629" s="2" t="s">
        <v>5</v>
      </c>
      <c r="I5629" s="6" t="s">
        <v>2300</v>
      </c>
      <c r="J5629" s="2" t="s">
        <v>5</v>
      </c>
      <c r="K5629" s="2" t="s">
        <v>5</v>
      </c>
      <c r="L5629" s="2" t="s">
        <v>5</v>
      </c>
      <c r="M5629" s="2" t="s">
        <v>5</v>
      </c>
      <c r="N5629" s="4">
        <v>0</v>
      </c>
    </row>
    <row r="5630" spans="1:14" x14ac:dyDescent="0.25">
      <c r="A5630" s="2" t="s">
        <v>741</v>
      </c>
      <c r="B5630" s="2" t="s">
        <v>742</v>
      </c>
      <c r="C5630" s="3">
        <v>8</v>
      </c>
      <c r="D5630" s="4">
        <v>172.88</v>
      </c>
      <c r="E5630" s="4">
        <v>122</v>
      </c>
      <c r="F5630" s="4">
        <f t="shared" si="315"/>
        <v>50.879999999999995</v>
      </c>
      <c r="G5630" s="5">
        <f t="shared" si="316"/>
        <v>0.29430819065247571</v>
      </c>
      <c r="H5630" s="2" t="s">
        <v>5</v>
      </c>
      <c r="I5630" s="6" t="s">
        <v>2300</v>
      </c>
      <c r="J5630" s="2" t="s">
        <v>5</v>
      </c>
      <c r="K5630" s="2" t="s">
        <v>5</v>
      </c>
      <c r="L5630" s="2" t="s">
        <v>5</v>
      </c>
      <c r="M5630" s="2" t="s">
        <v>5</v>
      </c>
      <c r="N5630" s="4">
        <v>0</v>
      </c>
    </row>
    <row r="5631" spans="1:14" x14ac:dyDescent="0.25">
      <c r="A5631" s="2" t="s">
        <v>741</v>
      </c>
      <c r="B5631" s="2" t="s">
        <v>742</v>
      </c>
      <c r="C5631" s="3">
        <v>8</v>
      </c>
      <c r="D5631" s="4">
        <v>169.28</v>
      </c>
      <c r="E5631" s="4">
        <v>122</v>
      </c>
      <c r="F5631" s="4">
        <f t="shared" si="315"/>
        <v>47.28</v>
      </c>
      <c r="G5631" s="5">
        <f t="shared" si="316"/>
        <v>0.27930056710775047</v>
      </c>
      <c r="H5631" s="2" t="s">
        <v>5</v>
      </c>
      <c r="I5631" s="6" t="s">
        <v>2300</v>
      </c>
      <c r="J5631" s="2" t="s">
        <v>5</v>
      </c>
      <c r="K5631" s="2" t="s">
        <v>5</v>
      </c>
      <c r="L5631" s="2" t="s">
        <v>5</v>
      </c>
      <c r="M5631" s="2" t="s">
        <v>5</v>
      </c>
      <c r="N5631" s="4">
        <v>0</v>
      </c>
    </row>
    <row r="5632" spans="1:14" x14ac:dyDescent="0.25">
      <c r="A5632" s="2" t="s">
        <v>256</v>
      </c>
      <c r="B5632" s="2" t="s">
        <v>257</v>
      </c>
      <c r="C5632" s="3">
        <v>4</v>
      </c>
      <c r="D5632" s="4">
        <v>82.36</v>
      </c>
      <c r="E5632" s="4">
        <v>64.56</v>
      </c>
      <c r="F5632" s="4">
        <f t="shared" si="315"/>
        <v>17.799999999999997</v>
      </c>
      <c r="G5632" s="5">
        <f t="shared" si="316"/>
        <v>0.21612433220009711</v>
      </c>
      <c r="H5632" s="2" t="s">
        <v>5</v>
      </c>
      <c r="I5632" s="6" t="s">
        <v>2300</v>
      </c>
      <c r="J5632" s="2" t="s">
        <v>5</v>
      </c>
      <c r="K5632" s="2" t="s">
        <v>5</v>
      </c>
      <c r="L5632" s="2" t="s">
        <v>5</v>
      </c>
      <c r="M5632" s="2" t="s">
        <v>5</v>
      </c>
      <c r="N5632" s="4">
        <v>0</v>
      </c>
    </row>
    <row r="5633" spans="1:14" x14ac:dyDescent="0.25">
      <c r="A5633" s="2" t="s">
        <v>256</v>
      </c>
      <c r="B5633" s="2" t="s">
        <v>257</v>
      </c>
      <c r="C5633" s="3">
        <v>8</v>
      </c>
      <c r="D5633" s="4">
        <v>195.84</v>
      </c>
      <c r="E5633" s="4">
        <v>129.12</v>
      </c>
      <c r="F5633" s="4">
        <f t="shared" si="315"/>
        <v>66.72</v>
      </c>
      <c r="G5633" s="5">
        <f t="shared" si="316"/>
        <v>0.34068627450980393</v>
      </c>
      <c r="H5633" s="2" t="s">
        <v>5</v>
      </c>
      <c r="I5633" s="6" t="s">
        <v>2300</v>
      </c>
      <c r="J5633" s="2" t="s">
        <v>5</v>
      </c>
      <c r="K5633" s="2" t="s">
        <v>5</v>
      </c>
      <c r="L5633" s="2" t="s">
        <v>5</v>
      </c>
      <c r="M5633" s="2" t="s">
        <v>5</v>
      </c>
      <c r="N5633" s="4">
        <v>0</v>
      </c>
    </row>
    <row r="5634" spans="1:14" x14ac:dyDescent="0.25">
      <c r="A5634" s="2" t="s">
        <v>256</v>
      </c>
      <c r="B5634" s="2" t="s">
        <v>257</v>
      </c>
      <c r="C5634" s="3">
        <v>12</v>
      </c>
      <c r="D5634" s="4">
        <v>310.08</v>
      </c>
      <c r="E5634" s="4">
        <v>193.68</v>
      </c>
      <c r="F5634" s="4">
        <f t="shared" si="315"/>
        <v>116.39999999999998</v>
      </c>
      <c r="G5634" s="5">
        <f t="shared" si="316"/>
        <v>0.37538699690402472</v>
      </c>
      <c r="H5634" s="2" t="s">
        <v>5</v>
      </c>
      <c r="I5634" s="6" t="s">
        <v>2300</v>
      </c>
      <c r="J5634" s="2" t="s">
        <v>5</v>
      </c>
      <c r="K5634" s="2" t="s">
        <v>5</v>
      </c>
      <c r="L5634" s="2" t="s">
        <v>5</v>
      </c>
      <c r="M5634" s="2" t="s">
        <v>5</v>
      </c>
      <c r="N5634" s="4">
        <v>0</v>
      </c>
    </row>
    <row r="5635" spans="1:14" x14ac:dyDescent="0.25">
      <c r="A5635" s="2" t="s">
        <v>256</v>
      </c>
      <c r="B5635" s="2" t="s">
        <v>257</v>
      </c>
      <c r="C5635" s="3">
        <v>8</v>
      </c>
      <c r="D5635" s="4">
        <v>195.84</v>
      </c>
      <c r="E5635" s="4">
        <v>129.12</v>
      </c>
      <c r="F5635" s="4">
        <f t="shared" si="315"/>
        <v>66.72</v>
      </c>
      <c r="G5635" s="5">
        <f t="shared" si="316"/>
        <v>0.34068627450980393</v>
      </c>
      <c r="H5635" s="2" t="s">
        <v>5</v>
      </c>
      <c r="I5635" s="6" t="s">
        <v>2300</v>
      </c>
      <c r="J5635" s="2" t="s">
        <v>5</v>
      </c>
      <c r="K5635" s="2" t="s">
        <v>5</v>
      </c>
      <c r="L5635" s="2" t="s">
        <v>5</v>
      </c>
      <c r="M5635" s="2" t="s">
        <v>5</v>
      </c>
      <c r="N5635" s="4">
        <v>0</v>
      </c>
    </row>
    <row r="5636" spans="1:14" x14ac:dyDescent="0.25">
      <c r="A5636" s="2" t="s">
        <v>256</v>
      </c>
      <c r="B5636" s="2" t="s">
        <v>257</v>
      </c>
      <c r="C5636" s="3">
        <v>1</v>
      </c>
      <c r="D5636" s="4">
        <v>25.84</v>
      </c>
      <c r="E5636" s="4">
        <v>16.14</v>
      </c>
      <c r="F5636" s="4">
        <f t="shared" si="315"/>
        <v>9.6999999999999993</v>
      </c>
      <c r="G5636" s="5">
        <f t="shared" si="316"/>
        <v>0.37538699690402472</v>
      </c>
      <c r="H5636" s="2" t="s">
        <v>5</v>
      </c>
      <c r="I5636" s="6" t="s">
        <v>2300</v>
      </c>
      <c r="J5636" s="2" t="s">
        <v>5</v>
      </c>
      <c r="K5636" s="2" t="s">
        <v>5</v>
      </c>
      <c r="L5636" s="2" t="s">
        <v>5</v>
      </c>
      <c r="M5636" s="2" t="s">
        <v>5</v>
      </c>
      <c r="N5636" s="4">
        <v>0</v>
      </c>
    </row>
    <row r="5637" spans="1:14" x14ac:dyDescent="0.25">
      <c r="A5637" s="2" t="s">
        <v>256</v>
      </c>
      <c r="B5637" s="2" t="s">
        <v>257</v>
      </c>
      <c r="C5637" s="3">
        <v>16</v>
      </c>
      <c r="D5637" s="4">
        <v>327.52</v>
      </c>
      <c r="E5637" s="4">
        <v>258.24</v>
      </c>
      <c r="F5637" s="4">
        <f t="shared" si="315"/>
        <v>69.279999999999973</v>
      </c>
      <c r="G5637" s="5">
        <f t="shared" si="316"/>
        <v>0.21152906692721049</v>
      </c>
      <c r="H5637" s="2" t="s">
        <v>5</v>
      </c>
      <c r="I5637" s="6" t="s">
        <v>2300</v>
      </c>
      <c r="J5637" s="2" t="s">
        <v>5</v>
      </c>
      <c r="K5637" s="2" t="s">
        <v>5</v>
      </c>
      <c r="L5637" s="2" t="s">
        <v>5</v>
      </c>
      <c r="M5637" s="2" t="s">
        <v>5</v>
      </c>
      <c r="N5637" s="4">
        <v>0</v>
      </c>
    </row>
    <row r="5638" spans="1:14" x14ac:dyDescent="0.25">
      <c r="A5638" s="2" t="s">
        <v>256</v>
      </c>
      <c r="B5638" s="2" t="s">
        <v>257</v>
      </c>
      <c r="C5638" s="3">
        <v>8</v>
      </c>
      <c r="D5638" s="4">
        <v>0</v>
      </c>
      <c r="E5638" s="4">
        <v>129.12</v>
      </c>
      <c r="F5638" s="4">
        <f t="shared" si="315"/>
        <v>-129.12</v>
      </c>
      <c r="G5638" s="5">
        <f t="shared" si="316"/>
        <v>0</v>
      </c>
      <c r="H5638" s="2" t="s">
        <v>5</v>
      </c>
      <c r="I5638" s="6" t="s">
        <v>2300</v>
      </c>
      <c r="J5638" s="2" t="s">
        <v>5</v>
      </c>
      <c r="K5638" s="2" t="s">
        <v>5</v>
      </c>
      <c r="L5638" s="2" t="s">
        <v>5</v>
      </c>
      <c r="M5638" s="2" t="s">
        <v>5</v>
      </c>
      <c r="N5638" s="4">
        <v>0</v>
      </c>
    </row>
    <row r="5639" spans="1:14" x14ac:dyDescent="0.25">
      <c r="A5639" s="2" t="s">
        <v>1117</v>
      </c>
      <c r="B5639" s="2" t="s">
        <v>1118</v>
      </c>
      <c r="C5639" s="3">
        <v>4</v>
      </c>
      <c r="D5639" s="4">
        <v>99.28</v>
      </c>
      <c r="E5639" s="4">
        <v>66.959999999999994</v>
      </c>
      <c r="F5639" s="4">
        <f t="shared" si="315"/>
        <v>32.320000000000007</v>
      </c>
      <c r="G5639" s="5">
        <f t="shared" si="316"/>
        <v>0.32554391619661571</v>
      </c>
      <c r="H5639" s="2" t="s">
        <v>5</v>
      </c>
      <c r="I5639" s="6" t="s">
        <v>2300</v>
      </c>
      <c r="J5639" s="2" t="s">
        <v>5</v>
      </c>
      <c r="K5639" s="2" t="s">
        <v>5</v>
      </c>
      <c r="L5639" s="2" t="s">
        <v>5</v>
      </c>
      <c r="M5639" s="2" t="s">
        <v>5</v>
      </c>
      <c r="N5639" s="4">
        <v>0</v>
      </c>
    </row>
    <row r="5640" spans="1:14" x14ac:dyDescent="0.25">
      <c r="A5640" s="2" t="s">
        <v>1117</v>
      </c>
      <c r="B5640" s="2" t="s">
        <v>1118</v>
      </c>
      <c r="C5640" s="3">
        <v>8</v>
      </c>
      <c r="D5640" s="4">
        <v>198.56</v>
      </c>
      <c r="E5640" s="4">
        <v>133.91999999999999</v>
      </c>
      <c r="F5640" s="4">
        <f t="shared" si="315"/>
        <v>64.640000000000015</v>
      </c>
      <c r="G5640" s="5">
        <f t="shared" si="316"/>
        <v>0.32554391619661571</v>
      </c>
      <c r="H5640" s="2" t="s">
        <v>5</v>
      </c>
      <c r="I5640" s="6" t="s">
        <v>2300</v>
      </c>
      <c r="J5640" s="2" t="s">
        <v>5</v>
      </c>
      <c r="K5640" s="2" t="s">
        <v>5</v>
      </c>
      <c r="L5640" s="2" t="s">
        <v>5</v>
      </c>
      <c r="M5640" s="2" t="s">
        <v>5</v>
      </c>
      <c r="N5640" s="4">
        <v>0</v>
      </c>
    </row>
    <row r="5641" spans="1:14" x14ac:dyDescent="0.25">
      <c r="A5641" s="2" t="s">
        <v>1117</v>
      </c>
      <c r="B5641" s="2" t="s">
        <v>1118</v>
      </c>
      <c r="C5641" s="3">
        <v>8</v>
      </c>
      <c r="D5641" s="4">
        <v>198.56</v>
      </c>
      <c r="E5641" s="4">
        <v>133.91999999999999</v>
      </c>
      <c r="F5641" s="4">
        <f t="shared" si="315"/>
        <v>64.640000000000015</v>
      </c>
      <c r="G5641" s="5">
        <f t="shared" si="316"/>
        <v>0.32554391619661571</v>
      </c>
      <c r="H5641" s="2" t="s">
        <v>5</v>
      </c>
      <c r="I5641" s="6" t="s">
        <v>2300</v>
      </c>
      <c r="J5641" s="2" t="s">
        <v>5</v>
      </c>
      <c r="K5641" s="2" t="s">
        <v>5</v>
      </c>
      <c r="L5641" s="2" t="s">
        <v>5</v>
      </c>
      <c r="M5641" s="2" t="s">
        <v>5</v>
      </c>
      <c r="N5641" s="4">
        <v>0</v>
      </c>
    </row>
    <row r="5642" spans="1:14" x14ac:dyDescent="0.25">
      <c r="A5642" s="2" t="s">
        <v>1117</v>
      </c>
      <c r="B5642" s="2" t="s">
        <v>1118</v>
      </c>
      <c r="C5642" s="3">
        <v>4</v>
      </c>
      <c r="D5642" s="4">
        <v>99.28</v>
      </c>
      <c r="E5642" s="4">
        <v>66.959999999999994</v>
      </c>
      <c r="F5642" s="4">
        <f t="shared" si="315"/>
        <v>32.320000000000007</v>
      </c>
      <c r="G5642" s="5">
        <f t="shared" si="316"/>
        <v>0.32554391619661571</v>
      </c>
      <c r="H5642" s="2" t="s">
        <v>5</v>
      </c>
      <c r="I5642" s="6" t="s">
        <v>2300</v>
      </c>
      <c r="J5642" s="2" t="s">
        <v>5</v>
      </c>
      <c r="K5642" s="2" t="s">
        <v>5</v>
      </c>
      <c r="L5642" s="2" t="s">
        <v>5</v>
      </c>
      <c r="M5642" s="2" t="s">
        <v>5</v>
      </c>
      <c r="N5642" s="4">
        <v>0</v>
      </c>
    </row>
    <row r="5643" spans="1:14" x14ac:dyDescent="0.25">
      <c r="A5643" s="2" t="s">
        <v>1117</v>
      </c>
      <c r="B5643" s="2" t="s">
        <v>1118</v>
      </c>
      <c r="C5643" s="3">
        <v>16</v>
      </c>
      <c r="D5643" s="4">
        <v>397.12</v>
      </c>
      <c r="E5643" s="4">
        <v>267.83999999999997</v>
      </c>
      <c r="F5643" s="4">
        <f t="shared" si="315"/>
        <v>129.28000000000003</v>
      </c>
      <c r="G5643" s="5">
        <f t="shared" si="316"/>
        <v>0.32554391619661571</v>
      </c>
      <c r="H5643" s="2" t="s">
        <v>5</v>
      </c>
      <c r="I5643" s="6" t="s">
        <v>2300</v>
      </c>
      <c r="J5643" s="2" t="s">
        <v>5</v>
      </c>
      <c r="K5643" s="2" t="s">
        <v>5</v>
      </c>
      <c r="L5643" s="2" t="s">
        <v>5</v>
      </c>
      <c r="M5643" s="2" t="s">
        <v>5</v>
      </c>
      <c r="N5643" s="4">
        <v>0</v>
      </c>
    </row>
    <row r="5644" spans="1:14" x14ac:dyDescent="0.25">
      <c r="A5644" s="2" t="s">
        <v>1117</v>
      </c>
      <c r="B5644" s="2" t="s">
        <v>1118</v>
      </c>
      <c r="C5644" s="3">
        <v>8</v>
      </c>
      <c r="D5644" s="4">
        <v>198.56</v>
      </c>
      <c r="E5644" s="4">
        <v>133.91999999999999</v>
      </c>
      <c r="F5644" s="4">
        <f t="shared" si="315"/>
        <v>64.640000000000015</v>
      </c>
      <c r="G5644" s="5">
        <f t="shared" si="316"/>
        <v>0.32554391619661571</v>
      </c>
      <c r="H5644" s="2" t="s">
        <v>5</v>
      </c>
      <c r="I5644" s="6" t="s">
        <v>2300</v>
      </c>
      <c r="J5644" s="2" t="s">
        <v>5</v>
      </c>
      <c r="K5644" s="2" t="s">
        <v>5</v>
      </c>
      <c r="L5644" s="2" t="s">
        <v>5</v>
      </c>
      <c r="M5644" s="2" t="s">
        <v>5</v>
      </c>
      <c r="N5644" s="4">
        <v>0</v>
      </c>
    </row>
    <row r="5645" spans="1:14" x14ac:dyDescent="0.25">
      <c r="A5645" s="2" t="s">
        <v>1117</v>
      </c>
      <c r="B5645" s="2" t="s">
        <v>1118</v>
      </c>
      <c r="C5645" s="3">
        <v>4</v>
      </c>
      <c r="D5645" s="4">
        <v>99.28</v>
      </c>
      <c r="E5645" s="4">
        <v>66.959999999999994</v>
      </c>
      <c r="F5645" s="4">
        <f t="shared" si="315"/>
        <v>32.320000000000007</v>
      </c>
      <c r="G5645" s="5">
        <f t="shared" si="316"/>
        <v>0.32554391619661571</v>
      </c>
      <c r="H5645" s="2" t="s">
        <v>5</v>
      </c>
      <c r="I5645" s="6" t="s">
        <v>2300</v>
      </c>
      <c r="J5645" s="2" t="s">
        <v>5</v>
      </c>
      <c r="K5645" s="2" t="s">
        <v>5</v>
      </c>
      <c r="L5645" s="2" t="s">
        <v>5</v>
      </c>
      <c r="M5645" s="2" t="s">
        <v>5</v>
      </c>
      <c r="N5645" s="4">
        <v>0</v>
      </c>
    </row>
    <row r="5646" spans="1:14" x14ac:dyDescent="0.25">
      <c r="A5646" s="2" t="s">
        <v>177</v>
      </c>
      <c r="B5646" s="2" t="s">
        <v>178</v>
      </c>
      <c r="C5646" s="3">
        <v>2</v>
      </c>
      <c r="D5646" s="4">
        <v>0</v>
      </c>
      <c r="E5646" s="4">
        <v>0</v>
      </c>
      <c r="F5646" s="4">
        <f t="shared" si="315"/>
        <v>0</v>
      </c>
      <c r="G5646" s="5">
        <f t="shared" si="316"/>
        <v>0</v>
      </c>
      <c r="H5646" s="2" t="s">
        <v>5</v>
      </c>
      <c r="I5646" s="6" t="s">
        <v>2300</v>
      </c>
      <c r="J5646" s="2" t="s">
        <v>5</v>
      </c>
      <c r="K5646" s="2" t="s">
        <v>5</v>
      </c>
      <c r="L5646" s="2" t="s">
        <v>5</v>
      </c>
      <c r="M5646" s="2" t="s">
        <v>5</v>
      </c>
      <c r="N5646" s="4">
        <v>0</v>
      </c>
    </row>
    <row r="5647" spans="1:14" x14ac:dyDescent="0.25">
      <c r="A5647" s="2" t="s">
        <v>177</v>
      </c>
      <c r="B5647" s="2" t="s">
        <v>178</v>
      </c>
      <c r="C5647" s="3">
        <v>13</v>
      </c>
      <c r="D5647" s="4">
        <v>45</v>
      </c>
      <c r="E5647" s="4">
        <v>0</v>
      </c>
      <c r="F5647" s="4">
        <f t="shared" si="315"/>
        <v>45</v>
      </c>
      <c r="G5647" s="5">
        <f t="shared" si="316"/>
        <v>1</v>
      </c>
      <c r="H5647" s="2" t="s">
        <v>5</v>
      </c>
      <c r="I5647" s="6" t="s">
        <v>2300</v>
      </c>
      <c r="J5647" s="2" t="s">
        <v>5</v>
      </c>
      <c r="K5647" s="2" t="s">
        <v>5</v>
      </c>
      <c r="L5647" s="2" t="s">
        <v>5</v>
      </c>
      <c r="M5647" s="2" t="s">
        <v>5</v>
      </c>
      <c r="N5647" s="4">
        <v>0</v>
      </c>
    </row>
    <row r="5648" spans="1:14" x14ac:dyDescent="0.25">
      <c r="A5648" s="2" t="s">
        <v>1172</v>
      </c>
      <c r="B5648" s="2" t="s">
        <v>1173</v>
      </c>
      <c r="C5648" s="3">
        <v>6</v>
      </c>
      <c r="D5648" s="4">
        <v>89.64</v>
      </c>
      <c r="E5648" s="4">
        <v>60.48</v>
      </c>
      <c r="F5648" s="4">
        <f t="shared" si="315"/>
        <v>29.160000000000004</v>
      </c>
      <c r="G5648" s="5">
        <f t="shared" si="316"/>
        <v>0.32530120481927716</v>
      </c>
      <c r="H5648" s="2" t="s">
        <v>5</v>
      </c>
      <c r="I5648" s="6" t="s">
        <v>2300</v>
      </c>
      <c r="J5648" s="2" t="s">
        <v>5</v>
      </c>
      <c r="K5648" s="2" t="s">
        <v>5</v>
      </c>
      <c r="L5648" s="2" t="s">
        <v>5</v>
      </c>
      <c r="M5648" s="2" t="s">
        <v>5</v>
      </c>
      <c r="N5648" s="4">
        <v>0</v>
      </c>
    </row>
    <row r="5649" spans="1:14" x14ac:dyDescent="0.25">
      <c r="A5649" s="2" t="s">
        <v>1172</v>
      </c>
      <c r="B5649" s="2" t="s">
        <v>1173</v>
      </c>
      <c r="C5649" s="3">
        <v>5</v>
      </c>
      <c r="D5649" s="4">
        <v>74.7</v>
      </c>
      <c r="E5649" s="4">
        <v>50.4</v>
      </c>
      <c r="F5649" s="4">
        <f t="shared" si="315"/>
        <v>24.300000000000004</v>
      </c>
      <c r="G5649" s="5">
        <f t="shared" si="316"/>
        <v>0.32530120481927716</v>
      </c>
      <c r="H5649" s="2" t="s">
        <v>5</v>
      </c>
      <c r="I5649" s="6" t="s">
        <v>2300</v>
      </c>
      <c r="J5649" s="2" t="s">
        <v>5</v>
      </c>
      <c r="K5649" s="2" t="s">
        <v>5</v>
      </c>
      <c r="L5649" s="2" t="s">
        <v>5</v>
      </c>
      <c r="M5649" s="2" t="s">
        <v>5</v>
      </c>
      <c r="N5649" s="4">
        <v>0</v>
      </c>
    </row>
    <row r="5650" spans="1:14" x14ac:dyDescent="0.25">
      <c r="A5650" s="2" t="s">
        <v>1172</v>
      </c>
      <c r="B5650" s="2" t="s">
        <v>1173</v>
      </c>
      <c r="C5650" s="3">
        <v>1</v>
      </c>
      <c r="D5650" s="4">
        <v>14.94</v>
      </c>
      <c r="E5650" s="4">
        <v>10.08</v>
      </c>
      <c r="F5650" s="4">
        <f t="shared" si="315"/>
        <v>4.8599999999999994</v>
      </c>
      <c r="G5650" s="5">
        <f t="shared" si="316"/>
        <v>0.3253012048192771</v>
      </c>
      <c r="H5650" s="2" t="s">
        <v>5</v>
      </c>
      <c r="I5650" s="6" t="s">
        <v>2300</v>
      </c>
      <c r="J5650" s="2" t="s">
        <v>5</v>
      </c>
      <c r="K5650" s="2" t="s">
        <v>5</v>
      </c>
      <c r="L5650" s="2" t="s">
        <v>5</v>
      </c>
      <c r="M5650" s="2" t="s">
        <v>5</v>
      </c>
      <c r="N5650" s="4">
        <v>0</v>
      </c>
    </row>
    <row r="5651" spans="1:14" x14ac:dyDescent="0.25">
      <c r="A5651" s="2" t="s">
        <v>1174</v>
      </c>
      <c r="B5651" s="2" t="s">
        <v>1175</v>
      </c>
      <c r="C5651" s="3">
        <v>1</v>
      </c>
      <c r="D5651" s="4">
        <v>20.010000000000002</v>
      </c>
      <c r="E5651" s="4">
        <v>13.3</v>
      </c>
      <c r="F5651" s="4">
        <f t="shared" si="315"/>
        <v>6.7100000000000009</v>
      </c>
      <c r="G5651" s="5">
        <f t="shared" si="316"/>
        <v>0.33533233383308347</v>
      </c>
      <c r="H5651" s="2" t="s">
        <v>5</v>
      </c>
      <c r="I5651" s="6" t="s">
        <v>2300</v>
      </c>
      <c r="J5651" s="2" t="s">
        <v>5</v>
      </c>
      <c r="K5651" s="2" t="s">
        <v>5</v>
      </c>
      <c r="L5651" s="2" t="s">
        <v>5</v>
      </c>
      <c r="M5651" s="2" t="s">
        <v>5</v>
      </c>
      <c r="N5651" s="4">
        <v>0</v>
      </c>
    </row>
    <row r="5652" spans="1:14" x14ac:dyDescent="0.25">
      <c r="A5652" s="2" t="s">
        <v>1174</v>
      </c>
      <c r="B5652" s="2" t="s">
        <v>1175</v>
      </c>
      <c r="C5652" s="3">
        <v>1</v>
      </c>
      <c r="D5652" s="4">
        <v>20.010000000000002</v>
      </c>
      <c r="E5652" s="4">
        <v>13.3</v>
      </c>
      <c r="F5652" s="4">
        <f t="shared" si="315"/>
        <v>6.7100000000000009</v>
      </c>
      <c r="G5652" s="5">
        <f t="shared" si="316"/>
        <v>0.33533233383308347</v>
      </c>
      <c r="H5652" s="2" t="s">
        <v>5</v>
      </c>
      <c r="I5652" s="6" t="s">
        <v>2300</v>
      </c>
      <c r="J5652" s="2" t="s">
        <v>5</v>
      </c>
      <c r="K5652" s="2" t="s">
        <v>5</v>
      </c>
      <c r="L5652" s="2" t="s">
        <v>5</v>
      </c>
      <c r="M5652" s="2" t="s">
        <v>5</v>
      </c>
      <c r="N5652" s="4">
        <v>0</v>
      </c>
    </row>
    <row r="5653" spans="1:14" x14ac:dyDescent="0.25">
      <c r="A5653" s="2" t="s">
        <v>1174</v>
      </c>
      <c r="B5653" s="2" t="s">
        <v>1175</v>
      </c>
      <c r="C5653" s="3">
        <v>1</v>
      </c>
      <c r="D5653" s="4">
        <v>20.010000000000002</v>
      </c>
      <c r="E5653" s="4">
        <v>13.3</v>
      </c>
      <c r="F5653" s="4">
        <f t="shared" si="315"/>
        <v>6.7100000000000009</v>
      </c>
      <c r="G5653" s="5">
        <f t="shared" si="316"/>
        <v>0.33533233383308347</v>
      </c>
      <c r="H5653" s="2" t="s">
        <v>5</v>
      </c>
      <c r="I5653" s="6" t="s">
        <v>2300</v>
      </c>
      <c r="J5653" s="2" t="s">
        <v>5</v>
      </c>
      <c r="K5653" s="2" t="s">
        <v>5</v>
      </c>
      <c r="L5653" s="2" t="s">
        <v>5</v>
      </c>
      <c r="M5653" s="2" t="s">
        <v>5</v>
      </c>
      <c r="N5653" s="4">
        <v>0</v>
      </c>
    </row>
    <row r="5654" spans="1:14" x14ac:dyDescent="0.25">
      <c r="A5654" s="2" t="s">
        <v>1176</v>
      </c>
      <c r="B5654" s="2" t="s">
        <v>1177</v>
      </c>
      <c r="C5654" s="3">
        <v>6</v>
      </c>
      <c r="D5654" s="4">
        <v>97.74</v>
      </c>
      <c r="E5654" s="4">
        <v>62.4</v>
      </c>
      <c r="F5654" s="4">
        <f t="shared" si="315"/>
        <v>35.339999999999996</v>
      </c>
      <c r="G5654" s="5">
        <f t="shared" si="316"/>
        <v>0.36157151626764883</v>
      </c>
      <c r="H5654" s="2" t="s">
        <v>5</v>
      </c>
      <c r="I5654" s="6" t="s">
        <v>2300</v>
      </c>
      <c r="J5654" s="2" t="s">
        <v>5</v>
      </c>
      <c r="K5654" s="2" t="s">
        <v>5</v>
      </c>
      <c r="L5654" s="2" t="s">
        <v>5</v>
      </c>
      <c r="M5654" s="2" t="s">
        <v>5</v>
      </c>
      <c r="N5654" s="4">
        <v>0</v>
      </c>
    </row>
    <row r="5655" spans="1:14" x14ac:dyDescent="0.25">
      <c r="A5655" s="2" t="s">
        <v>1176</v>
      </c>
      <c r="B5655" s="2" t="s">
        <v>1177</v>
      </c>
      <c r="C5655" s="3">
        <v>6</v>
      </c>
      <c r="D5655" s="4">
        <v>97.74</v>
      </c>
      <c r="E5655" s="4">
        <v>62.4</v>
      </c>
      <c r="F5655" s="4">
        <f t="shared" si="315"/>
        <v>35.339999999999996</v>
      </c>
      <c r="G5655" s="5">
        <f t="shared" si="316"/>
        <v>0.36157151626764883</v>
      </c>
      <c r="H5655" s="2" t="s">
        <v>5</v>
      </c>
      <c r="I5655" s="6" t="s">
        <v>2300</v>
      </c>
      <c r="J5655" s="2" t="s">
        <v>5</v>
      </c>
      <c r="K5655" s="2" t="s">
        <v>5</v>
      </c>
      <c r="L5655" s="2" t="s">
        <v>5</v>
      </c>
      <c r="M5655" s="2" t="s">
        <v>5</v>
      </c>
      <c r="N5655" s="4">
        <v>0</v>
      </c>
    </row>
    <row r="5656" spans="1:14" x14ac:dyDescent="0.25">
      <c r="A5656" s="2" t="s">
        <v>1176</v>
      </c>
      <c r="B5656" s="2" t="s">
        <v>1177</v>
      </c>
      <c r="C5656" s="3">
        <v>6</v>
      </c>
      <c r="D5656" s="4">
        <v>97.74</v>
      </c>
      <c r="E5656" s="4">
        <v>62.4</v>
      </c>
      <c r="F5656" s="4">
        <f t="shared" si="315"/>
        <v>35.339999999999996</v>
      </c>
      <c r="G5656" s="5">
        <f t="shared" si="316"/>
        <v>0.36157151626764883</v>
      </c>
      <c r="H5656" s="2" t="s">
        <v>5</v>
      </c>
      <c r="I5656" s="6" t="s">
        <v>2300</v>
      </c>
      <c r="J5656" s="2" t="s">
        <v>5</v>
      </c>
      <c r="K5656" s="2" t="s">
        <v>5</v>
      </c>
      <c r="L5656" s="2" t="s">
        <v>5</v>
      </c>
      <c r="M5656" s="2" t="s">
        <v>5</v>
      </c>
      <c r="N5656" s="4">
        <v>0</v>
      </c>
    </row>
    <row r="5657" spans="1:14" x14ac:dyDescent="0.25">
      <c r="A5657" s="2" t="s">
        <v>1176</v>
      </c>
      <c r="B5657" s="2" t="s">
        <v>1177</v>
      </c>
      <c r="C5657" s="3">
        <v>6</v>
      </c>
      <c r="D5657" s="4">
        <v>97.74</v>
      </c>
      <c r="E5657" s="4">
        <v>62.4</v>
      </c>
      <c r="F5657" s="4">
        <f t="shared" si="315"/>
        <v>35.339999999999996</v>
      </c>
      <c r="G5657" s="5">
        <f t="shared" si="316"/>
        <v>0.36157151626764883</v>
      </c>
      <c r="H5657" s="2" t="s">
        <v>5</v>
      </c>
      <c r="I5657" s="6" t="s">
        <v>2300</v>
      </c>
      <c r="J5657" s="2" t="s">
        <v>5</v>
      </c>
      <c r="K5657" s="2" t="s">
        <v>5</v>
      </c>
      <c r="L5657" s="2" t="s">
        <v>5</v>
      </c>
      <c r="M5657" s="2" t="s">
        <v>5</v>
      </c>
      <c r="N5657" s="4">
        <v>0</v>
      </c>
    </row>
    <row r="5658" spans="1:14" x14ac:dyDescent="0.25">
      <c r="A5658" s="2" t="s">
        <v>1176</v>
      </c>
      <c r="B5658" s="2" t="s">
        <v>1177</v>
      </c>
      <c r="C5658" s="3">
        <v>6</v>
      </c>
      <c r="D5658" s="4">
        <v>97.74</v>
      </c>
      <c r="E5658" s="4">
        <v>62.4</v>
      </c>
      <c r="F5658" s="4">
        <f t="shared" si="315"/>
        <v>35.339999999999996</v>
      </c>
      <c r="G5658" s="5">
        <f t="shared" si="316"/>
        <v>0.36157151626764883</v>
      </c>
      <c r="H5658" s="2" t="s">
        <v>5</v>
      </c>
      <c r="I5658" s="6" t="s">
        <v>2300</v>
      </c>
      <c r="J5658" s="2" t="s">
        <v>5</v>
      </c>
      <c r="K5658" s="2" t="s">
        <v>5</v>
      </c>
      <c r="L5658" s="2" t="s">
        <v>5</v>
      </c>
      <c r="M5658" s="2" t="s">
        <v>5</v>
      </c>
      <c r="N5658" s="4">
        <v>0</v>
      </c>
    </row>
    <row r="5659" spans="1:14" x14ac:dyDescent="0.25">
      <c r="A5659" s="2" t="s">
        <v>1176</v>
      </c>
      <c r="B5659" s="2" t="s">
        <v>1177</v>
      </c>
      <c r="C5659" s="3">
        <v>6</v>
      </c>
      <c r="D5659" s="4">
        <v>97.74</v>
      </c>
      <c r="E5659" s="4">
        <v>62.4</v>
      </c>
      <c r="F5659" s="4">
        <f t="shared" si="315"/>
        <v>35.339999999999996</v>
      </c>
      <c r="G5659" s="5">
        <f t="shared" si="316"/>
        <v>0.36157151626764883</v>
      </c>
      <c r="H5659" s="2" t="s">
        <v>5</v>
      </c>
      <c r="I5659" s="6" t="s">
        <v>2300</v>
      </c>
      <c r="J5659" s="2" t="s">
        <v>5</v>
      </c>
      <c r="K5659" s="2" t="s">
        <v>5</v>
      </c>
      <c r="L5659" s="2" t="s">
        <v>5</v>
      </c>
      <c r="M5659" s="2" t="s">
        <v>5</v>
      </c>
      <c r="N5659" s="4">
        <v>0</v>
      </c>
    </row>
    <row r="5660" spans="1:14" x14ac:dyDescent="0.25">
      <c r="A5660" s="2" t="s">
        <v>1119</v>
      </c>
      <c r="B5660" s="2" t="s">
        <v>1120</v>
      </c>
      <c r="C5660" s="3">
        <v>1</v>
      </c>
      <c r="D5660" s="4">
        <v>53</v>
      </c>
      <c r="E5660" s="4">
        <v>35.75</v>
      </c>
      <c r="F5660" s="4">
        <f t="shared" si="315"/>
        <v>17.25</v>
      </c>
      <c r="G5660" s="5">
        <f t="shared" si="316"/>
        <v>0.32547169811320753</v>
      </c>
      <c r="H5660" s="2" t="s">
        <v>5</v>
      </c>
      <c r="I5660" s="6" t="s">
        <v>2300</v>
      </c>
      <c r="J5660" s="2" t="s">
        <v>5</v>
      </c>
      <c r="K5660" s="2" t="s">
        <v>5</v>
      </c>
      <c r="L5660" s="2" t="s">
        <v>5</v>
      </c>
      <c r="M5660" s="2" t="s">
        <v>5</v>
      </c>
      <c r="N5660" s="4">
        <v>0</v>
      </c>
    </row>
    <row r="5661" spans="1:14" x14ac:dyDescent="0.25">
      <c r="A5661" s="2" t="s">
        <v>1119</v>
      </c>
      <c r="B5661" s="2" t="s">
        <v>1120</v>
      </c>
      <c r="C5661" s="3">
        <v>1</v>
      </c>
      <c r="D5661" s="4">
        <v>53</v>
      </c>
      <c r="E5661" s="4">
        <v>35.75</v>
      </c>
      <c r="F5661" s="4">
        <f t="shared" si="315"/>
        <v>17.25</v>
      </c>
      <c r="G5661" s="5">
        <f t="shared" si="316"/>
        <v>0.32547169811320753</v>
      </c>
      <c r="H5661" s="2" t="s">
        <v>5</v>
      </c>
      <c r="I5661" s="6" t="s">
        <v>2300</v>
      </c>
      <c r="J5661" s="2" t="s">
        <v>5</v>
      </c>
      <c r="K5661" s="2" t="s">
        <v>5</v>
      </c>
      <c r="L5661" s="2" t="s">
        <v>5</v>
      </c>
      <c r="M5661" s="2" t="s">
        <v>5</v>
      </c>
      <c r="N5661" s="4">
        <v>0</v>
      </c>
    </row>
    <row r="5662" spans="1:14" x14ac:dyDescent="0.25">
      <c r="A5662" s="2" t="s">
        <v>1119</v>
      </c>
      <c r="B5662" s="2" t="s">
        <v>1120</v>
      </c>
      <c r="C5662" s="3">
        <v>1</v>
      </c>
      <c r="D5662" s="4">
        <v>53</v>
      </c>
      <c r="E5662" s="4">
        <v>35.75</v>
      </c>
      <c r="F5662" s="4">
        <f t="shared" si="315"/>
        <v>17.25</v>
      </c>
      <c r="G5662" s="5">
        <f t="shared" si="316"/>
        <v>0.32547169811320753</v>
      </c>
      <c r="H5662" s="2" t="s">
        <v>5</v>
      </c>
      <c r="I5662" s="6" t="s">
        <v>2300</v>
      </c>
      <c r="J5662" s="2" t="s">
        <v>5</v>
      </c>
      <c r="K5662" s="2" t="s">
        <v>5</v>
      </c>
      <c r="L5662" s="2" t="s">
        <v>5</v>
      </c>
      <c r="M5662" s="2" t="s">
        <v>5</v>
      </c>
      <c r="N5662" s="4">
        <v>0</v>
      </c>
    </row>
    <row r="5663" spans="1:14" x14ac:dyDescent="0.25">
      <c r="A5663" s="2" t="s">
        <v>1119</v>
      </c>
      <c r="B5663" s="2" t="s">
        <v>1120</v>
      </c>
      <c r="C5663" s="3">
        <v>2</v>
      </c>
      <c r="D5663" s="4">
        <v>106</v>
      </c>
      <c r="E5663" s="4">
        <v>71.5</v>
      </c>
      <c r="F5663" s="4">
        <f t="shared" si="315"/>
        <v>34.5</v>
      </c>
      <c r="G5663" s="5">
        <f t="shared" si="316"/>
        <v>0.32547169811320753</v>
      </c>
      <c r="H5663" s="2" t="s">
        <v>5</v>
      </c>
      <c r="I5663" s="6" t="s">
        <v>2300</v>
      </c>
      <c r="J5663" s="2" t="s">
        <v>5</v>
      </c>
      <c r="K5663" s="2" t="s">
        <v>5</v>
      </c>
      <c r="L5663" s="2" t="s">
        <v>5</v>
      </c>
      <c r="M5663" s="2" t="s">
        <v>5</v>
      </c>
      <c r="N5663" s="4">
        <v>0</v>
      </c>
    </row>
    <row r="5664" spans="1:14" x14ac:dyDescent="0.25">
      <c r="A5664" s="2" t="s">
        <v>1119</v>
      </c>
      <c r="B5664" s="2" t="s">
        <v>1120</v>
      </c>
      <c r="C5664" s="3">
        <v>1</v>
      </c>
      <c r="D5664" s="4">
        <v>53</v>
      </c>
      <c r="E5664" s="4">
        <v>35.75</v>
      </c>
      <c r="F5664" s="4">
        <f t="shared" si="315"/>
        <v>17.25</v>
      </c>
      <c r="G5664" s="5">
        <f t="shared" si="316"/>
        <v>0.32547169811320753</v>
      </c>
      <c r="H5664" s="2" t="s">
        <v>5</v>
      </c>
      <c r="I5664" s="6" t="s">
        <v>2300</v>
      </c>
      <c r="J5664" s="2" t="s">
        <v>5</v>
      </c>
      <c r="K5664" s="2" t="s">
        <v>5</v>
      </c>
      <c r="L5664" s="2" t="s">
        <v>5</v>
      </c>
      <c r="M5664" s="2" t="s">
        <v>5</v>
      </c>
      <c r="N5664" s="4">
        <v>0</v>
      </c>
    </row>
    <row r="5665" spans="1:14" x14ac:dyDescent="0.25">
      <c r="A5665" s="2" t="s">
        <v>1119</v>
      </c>
      <c r="B5665" s="2" t="s">
        <v>1120</v>
      </c>
      <c r="C5665" s="3">
        <v>1</v>
      </c>
      <c r="D5665" s="4">
        <v>53</v>
      </c>
      <c r="E5665" s="4">
        <v>35.75</v>
      </c>
      <c r="F5665" s="4">
        <f t="shared" ref="F5665:F5728" si="317">D5665-E5665</f>
        <v>17.25</v>
      </c>
      <c r="G5665" s="5">
        <f t="shared" ref="G5665:G5728" si="318">IF(((D5665)=0),0,(D5665-E5665)/ D5665)</f>
        <v>0.32547169811320753</v>
      </c>
      <c r="H5665" s="2" t="s">
        <v>5</v>
      </c>
      <c r="I5665" s="6" t="s">
        <v>2300</v>
      </c>
      <c r="J5665" s="2" t="s">
        <v>5</v>
      </c>
      <c r="K5665" s="2" t="s">
        <v>5</v>
      </c>
      <c r="L5665" s="2" t="s">
        <v>5</v>
      </c>
      <c r="M5665" s="2" t="s">
        <v>5</v>
      </c>
      <c r="N5665" s="4">
        <v>0</v>
      </c>
    </row>
    <row r="5666" spans="1:14" x14ac:dyDescent="0.25">
      <c r="A5666" s="2" t="s">
        <v>1119</v>
      </c>
      <c r="B5666" s="2" t="s">
        <v>1120</v>
      </c>
      <c r="C5666" s="3">
        <v>2</v>
      </c>
      <c r="D5666" s="4">
        <v>106</v>
      </c>
      <c r="E5666" s="4">
        <v>71.5</v>
      </c>
      <c r="F5666" s="4">
        <f t="shared" si="317"/>
        <v>34.5</v>
      </c>
      <c r="G5666" s="5">
        <f t="shared" si="318"/>
        <v>0.32547169811320753</v>
      </c>
      <c r="H5666" s="2" t="s">
        <v>5</v>
      </c>
      <c r="I5666" s="6" t="s">
        <v>2300</v>
      </c>
      <c r="J5666" s="2" t="s">
        <v>5</v>
      </c>
      <c r="K5666" s="2" t="s">
        <v>5</v>
      </c>
      <c r="L5666" s="2" t="s">
        <v>5</v>
      </c>
      <c r="M5666" s="2" t="s">
        <v>5</v>
      </c>
      <c r="N5666" s="4">
        <v>0</v>
      </c>
    </row>
    <row r="5667" spans="1:14" x14ac:dyDescent="0.25">
      <c r="A5667" s="2" t="s">
        <v>1194</v>
      </c>
      <c r="B5667" s="2" t="s">
        <v>1195</v>
      </c>
      <c r="C5667" s="3">
        <v>1</v>
      </c>
      <c r="D5667" s="4">
        <v>50.14</v>
      </c>
      <c r="E5667" s="4">
        <v>33.82</v>
      </c>
      <c r="F5667" s="4">
        <f t="shared" si="317"/>
        <v>16.32</v>
      </c>
      <c r="G5667" s="5">
        <f t="shared" si="318"/>
        <v>0.32548863183087356</v>
      </c>
      <c r="H5667" s="2" t="s">
        <v>5</v>
      </c>
      <c r="I5667" s="6" t="s">
        <v>2300</v>
      </c>
      <c r="J5667" s="2" t="s">
        <v>5</v>
      </c>
      <c r="K5667" s="2" t="s">
        <v>5</v>
      </c>
      <c r="L5667" s="2" t="s">
        <v>5</v>
      </c>
      <c r="M5667" s="2" t="s">
        <v>5</v>
      </c>
      <c r="N5667" s="4">
        <v>0</v>
      </c>
    </row>
    <row r="5668" spans="1:14" x14ac:dyDescent="0.25">
      <c r="A5668" s="2" t="s">
        <v>1121</v>
      </c>
      <c r="B5668" s="2" t="s">
        <v>1122</v>
      </c>
      <c r="C5668" s="3">
        <v>1</v>
      </c>
      <c r="D5668" s="4">
        <v>61.53</v>
      </c>
      <c r="E5668" s="4">
        <v>41.5</v>
      </c>
      <c r="F5668" s="4">
        <f t="shared" si="317"/>
        <v>20.03</v>
      </c>
      <c r="G5668" s="5">
        <f t="shared" si="318"/>
        <v>0.32553226068584434</v>
      </c>
      <c r="H5668" s="2" t="s">
        <v>5</v>
      </c>
      <c r="I5668" s="6" t="s">
        <v>2300</v>
      </c>
      <c r="J5668" s="2" t="s">
        <v>5</v>
      </c>
      <c r="K5668" s="2" t="s">
        <v>5</v>
      </c>
      <c r="L5668" s="2" t="s">
        <v>5</v>
      </c>
      <c r="M5668" s="2" t="s">
        <v>5</v>
      </c>
      <c r="N5668" s="4">
        <v>0</v>
      </c>
    </row>
    <row r="5669" spans="1:14" x14ac:dyDescent="0.25">
      <c r="A5669" s="2" t="s">
        <v>1121</v>
      </c>
      <c r="B5669" s="2" t="s">
        <v>1122</v>
      </c>
      <c r="C5669" s="3">
        <v>2</v>
      </c>
      <c r="D5669" s="4">
        <v>123.06</v>
      </c>
      <c r="E5669" s="4">
        <v>83</v>
      </c>
      <c r="F5669" s="4">
        <f t="shared" si="317"/>
        <v>40.06</v>
      </c>
      <c r="G5669" s="5">
        <f t="shared" si="318"/>
        <v>0.32553226068584434</v>
      </c>
      <c r="H5669" s="2" t="s">
        <v>5</v>
      </c>
      <c r="I5669" s="6" t="s">
        <v>2300</v>
      </c>
      <c r="J5669" s="2" t="s">
        <v>5</v>
      </c>
      <c r="K5669" s="2" t="s">
        <v>5</v>
      </c>
      <c r="L5669" s="2" t="s">
        <v>5</v>
      </c>
      <c r="M5669" s="2" t="s">
        <v>5</v>
      </c>
      <c r="N5669" s="4">
        <v>0</v>
      </c>
    </row>
    <row r="5670" spans="1:14" x14ac:dyDescent="0.25">
      <c r="A5670" s="2" t="s">
        <v>1121</v>
      </c>
      <c r="B5670" s="2" t="s">
        <v>1122</v>
      </c>
      <c r="C5670" s="3">
        <v>1</v>
      </c>
      <c r="D5670" s="4">
        <v>61.53</v>
      </c>
      <c r="E5670" s="4">
        <v>41.5</v>
      </c>
      <c r="F5670" s="4">
        <f t="shared" si="317"/>
        <v>20.03</v>
      </c>
      <c r="G5670" s="5">
        <f t="shared" si="318"/>
        <v>0.32553226068584434</v>
      </c>
      <c r="H5670" s="2" t="s">
        <v>5</v>
      </c>
      <c r="I5670" s="6" t="s">
        <v>2300</v>
      </c>
      <c r="J5670" s="2" t="s">
        <v>5</v>
      </c>
      <c r="K5670" s="2" t="s">
        <v>5</v>
      </c>
      <c r="L5670" s="2" t="s">
        <v>5</v>
      </c>
      <c r="M5670" s="2" t="s">
        <v>5</v>
      </c>
      <c r="N5670" s="4">
        <v>0</v>
      </c>
    </row>
    <row r="5671" spans="1:14" x14ac:dyDescent="0.25">
      <c r="A5671" s="2" t="s">
        <v>1121</v>
      </c>
      <c r="B5671" s="2" t="s">
        <v>1122</v>
      </c>
      <c r="C5671" s="3">
        <v>1</v>
      </c>
      <c r="D5671" s="4">
        <v>61.53</v>
      </c>
      <c r="E5671" s="4">
        <v>41.5</v>
      </c>
      <c r="F5671" s="4">
        <f t="shared" si="317"/>
        <v>20.03</v>
      </c>
      <c r="G5671" s="5">
        <f t="shared" si="318"/>
        <v>0.32553226068584434</v>
      </c>
      <c r="H5671" s="2" t="s">
        <v>5</v>
      </c>
      <c r="I5671" s="6" t="s">
        <v>2300</v>
      </c>
      <c r="J5671" s="2" t="s">
        <v>5</v>
      </c>
      <c r="K5671" s="2" t="s">
        <v>5</v>
      </c>
      <c r="L5671" s="2" t="s">
        <v>5</v>
      </c>
      <c r="M5671" s="2" t="s">
        <v>5</v>
      </c>
      <c r="N5671" s="4">
        <v>0</v>
      </c>
    </row>
    <row r="5672" spans="1:14" x14ac:dyDescent="0.25">
      <c r="A5672" s="2" t="s">
        <v>1121</v>
      </c>
      <c r="B5672" s="2" t="s">
        <v>1122</v>
      </c>
      <c r="C5672" s="3">
        <v>2</v>
      </c>
      <c r="D5672" s="4">
        <v>123.06</v>
      </c>
      <c r="E5672" s="4">
        <v>83</v>
      </c>
      <c r="F5672" s="4">
        <f t="shared" si="317"/>
        <v>40.06</v>
      </c>
      <c r="G5672" s="5">
        <f t="shared" si="318"/>
        <v>0.32553226068584434</v>
      </c>
      <c r="H5672" s="2" t="s">
        <v>5</v>
      </c>
      <c r="I5672" s="6" t="s">
        <v>2300</v>
      </c>
      <c r="J5672" s="2" t="s">
        <v>5</v>
      </c>
      <c r="K5672" s="2" t="s">
        <v>5</v>
      </c>
      <c r="L5672" s="2" t="s">
        <v>5</v>
      </c>
      <c r="M5672" s="2" t="s">
        <v>5</v>
      </c>
      <c r="N5672" s="4">
        <v>0</v>
      </c>
    </row>
    <row r="5673" spans="1:14" x14ac:dyDescent="0.25">
      <c r="A5673" s="2" t="s">
        <v>1121</v>
      </c>
      <c r="B5673" s="2" t="s">
        <v>1122</v>
      </c>
      <c r="C5673" s="3">
        <v>1</v>
      </c>
      <c r="D5673" s="4">
        <v>61.53</v>
      </c>
      <c r="E5673" s="4">
        <v>41.5</v>
      </c>
      <c r="F5673" s="4">
        <f t="shared" si="317"/>
        <v>20.03</v>
      </c>
      <c r="G5673" s="5">
        <f t="shared" si="318"/>
        <v>0.32553226068584434</v>
      </c>
      <c r="H5673" s="2" t="s">
        <v>5</v>
      </c>
      <c r="I5673" s="6" t="s">
        <v>2300</v>
      </c>
      <c r="J5673" s="2" t="s">
        <v>5</v>
      </c>
      <c r="K5673" s="2" t="s">
        <v>5</v>
      </c>
      <c r="L5673" s="2" t="s">
        <v>5</v>
      </c>
      <c r="M5673" s="2" t="s">
        <v>5</v>
      </c>
      <c r="N5673" s="4">
        <v>0</v>
      </c>
    </row>
    <row r="5674" spans="1:14" x14ac:dyDescent="0.25">
      <c r="A5674" s="2" t="s">
        <v>1178</v>
      </c>
      <c r="B5674" s="2" t="s">
        <v>1179</v>
      </c>
      <c r="C5674" s="3">
        <v>1</v>
      </c>
      <c r="D5674" s="4">
        <v>23.2</v>
      </c>
      <c r="E5674" s="4">
        <v>15.65</v>
      </c>
      <c r="F5674" s="4">
        <f t="shared" si="317"/>
        <v>7.5499999999999989</v>
      </c>
      <c r="G5674" s="5">
        <f t="shared" si="318"/>
        <v>0.32543103448275856</v>
      </c>
      <c r="H5674" s="2" t="s">
        <v>5</v>
      </c>
      <c r="I5674" s="6" t="s">
        <v>2300</v>
      </c>
      <c r="J5674" s="2" t="s">
        <v>5</v>
      </c>
      <c r="K5674" s="2" t="s">
        <v>5</v>
      </c>
      <c r="L5674" s="2" t="s">
        <v>5</v>
      </c>
      <c r="M5674" s="2" t="s">
        <v>5</v>
      </c>
      <c r="N5674" s="4">
        <v>0</v>
      </c>
    </row>
    <row r="5675" spans="1:14" x14ac:dyDescent="0.25">
      <c r="A5675" s="2" t="s">
        <v>55</v>
      </c>
      <c r="B5675" s="2" t="s">
        <v>56</v>
      </c>
      <c r="C5675" s="3">
        <v>9.9700000000000006</v>
      </c>
      <c r="D5675" s="4">
        <v>213.45769999999999</v>
      </c>
      <c r="E5675" s="4">
        <v>117.646</v>
      </c>
      <c r="F5675" s="4">
        <f t="shared" si="317"/>
        <v>95.811699999999988</v>
      </c>
      <c r="G5675" s="5">
        <f t="shared" si="318"/>
        <v>0.44885567491826245</v>
      </c>
      <c r="H5675" s="2" t="s">
        <v>5</v>
      </c>
      <c r="I5675" s="6" t="s">
        <v>2300</v>
      </c>
      <c r="J5675" s="2" t="s">
        <v>5</v>
      </c>
      <c r="K5675" s="2" t="s">
        <v>5</v>
      </c>
      <c r="L5675" s="2" t="s">
        <v>5</v>
      </c>
      <c r="M5675" s="2" t="s">
        <v>5</v>
      </c>
      <c r="N5675" s="4">
        <v>0</v>
      </c>
    </row>
    <row r="5676" spans="1:14" x14ac:dyDescent="0.25">
      <c r="A5676" s="2" t="s">
        <v>55</v>
      </c>
      <c r="B5676" s="2" t="s">
        <v>56</v>
      </c>
      <c r="C5676" s="3">
        <v>22.684999999999999</v>
      </c>
      <c r="D5676" s="4">
        <v>485.68585000000002</v>
      </c>
      <c r="E5676" s="4">
        <v>267.68299999999999</v>
      </c>
      <c r="F5676" s="4">
        <f t="shared" si="317"/>
        <v>218.00285000000002</v>
      </c>
      <c r="G5676" s="5">
        <f t="shared" si="318"/>
        <v>0.4488556749182625</v>
      </c>
      <c r="H5676" s="2" t="s">
        <v>5</v>
      </c>
      <c r="I5676" s="6" t="s">
        <v>2300</v>
      </c>
      <c r="J5676" s="2" t="s">
        <v>5</v>
      </c>
      <c r="K5676" s="2" t="s">
        <v>5</v>
      </c>
      <c r="L5676" s="2" t="s">
        <v>5</v>
      </c>
      <c r="M5676" s="2" t="s">
        <v>5</v>
      </c>
      <c r="N5676" s="4">
        <v>0</v>
      </c>
    </row>
    <row r="5677" spans="1:14" x14ac:dyDescent="0.25">
      <c r="A5677" s="2" t="s">
        <v>55</v>
      </c>
      <c r="B5677" s="2" t="s">
        <v>56</v>
      </c>
      <c r="C5677" s="3">
        <v>1.976</v>
      </c>
      <c r="D5677" s="4">
        <v>41.910960000000003</v>
      </c>
      <c r="E5677" s="4">
        <v>23.316800000000001</v>
      </c>
      <c r="F5677" s="4">
        <f t="shared" si="317"/>
        <v>18.594160000000002</v>
      </c>
      <c r="G5677" s="5">
        <f t="shared" si="318"/>
        <v>0.44365865157944367</v>
      </c>
      <c r="H5677" s="2" t="s">
        <v>5</v>
      </c>
      <c r="I5677" s="6" t="s">
        <v>2300</v>
      </c>
      <c r="J5677" s="2" t="s">
        <v>5</v>
      </c>
      <c r="K5677" s="2" t="s">
        <v>5</v>
      </c>
      <c r="L5677" s="2" t="s">
        <v>5</v>
      </c>
      <c r="M5677" s="2" t="s">
        <v>5</v>
      </c>
      <c r="N5677" s="4">
        <v>0</v>
      </c>
    </row>
    <row r="5678" spans="1:14" x14ac:dyDescent="0.25">
      <c r="A5678" s="2" t="s">
        <v>55</v>
      </c>
      <c r="B5678" s="2" t="s">
        <v>56</v>
      </c>
      <c r="C5678" s="3">
        <v>14.33</v>
      </c>
      <c r="D5678" s="4">
        <v>286.17009999999999</v>
      </c>
      <c r="E5678" s="4">
        <v>169.09399999999999</v>
      </c>
      <c r="F5678" s="4">
        <f t="shared" si="317"/>
        <v>117.0761</v>
      </c>
      <c r="G5678" s="5">
        <f t="shared" si="318"/>
        <v>0.40911367050575864</v>
      </c>
      <c r="H5678" s="2" t="s">
        <v>5</v>
      </c>
      <c r="I5678" s="6" t="s">
        <v>2300</v>
      </c>
      <c r="J5678" s="2" t="s">
        <v>5</v>
      </c>
      <c r="K5678" s="2" t="s">
        <v>5</v>
      </c>
      <c r="L5678" s="2" t="s">
        <v>5</v>
      </c>
      <c r="M5678" s="2" t="s">
        <v>5</v>
      </c>
      <c r="N5678" s="4">
        <v>0</v>
      </c>
    </row>
    <row r="5679" spans="1:14" x14ac:dyDescent="0.25">
      <c r="A5679" s="2" t="s">
        <v>694</v>
      </c>
      <c r="B5679" s="2" t="s">
        <v>695</v>
      </c>
      <c r="C5679" s="3">
        <v>30</v>
      </c>
      <c r="D5679" s="4">
        <v>456.9</v>
      </c>
      <c r="E5679" s="4">
        <v>273</v>
      </c>
      <c r="F5679" s="4">
        <f t="shared" si="317"/>
        <v>183.89999999999998</v>
      </c>
      <c r="G5679" s="5">
        <f t="shared" si="318"/>
        <v>0.40249507550886404</v>
      </c>
      <c r="H5679" s="2" t="s">
        <v>5</v>
      </c>
      <c r="I5679" s="6" t="s">
        <v>2300</v>
      </c>
      <c r="J5679" s="2" t="s">
        <v>5</v>
      </c>
      <c r="K5679" s="2" t="s">
        <v>5</v>
      </c>
      <c r="L5679" s="2" t="s">
        <v>5</v>
      </c>
      <c r="M5679" s="2" t="s">
        <v>5</v>
      </c>
      <c r="N5679" s="4">
        <v>0</v>
      </c>
    </row>
    <row r="5680" spans="1:14" x14ac:dyDescent="0.25">
      <c r="A5680" s="2" t="s">
        <v>694</v>
      </c>
      <c r="B5680" s="2" t="s">
        <v>695</v>
      </c>
      <c r="C5680" s="3">
        <v>59.1</v>
      </c>
      <c r="D5680" s="4">
        <v>970.42200000000003</v>
      </c>
      <c r="E5680" s="4">
        <v>537.80999999999995</v>
      </c>
      <c r="F5680" s="4">
        <f t="shared" si="317"/>
        <v>432.61200000000008</v>
      </c>
      <c r="G5680" s="5">
        <f t="shared" si="318"/>
        <v>0.44579780755176623</v>
      </c>
      <c r="H5680" s="2" t="s">
        <v>5</v>
      </c>
      <c r="I5680" s="6" t="s">
        <v>2300</v>
      </c>
      <c r="J5680" s="2" t="s">
        <v>5</v>
      </c>
      <c r="K5680" s="2" t="s">
        <v>5</v>
      </c>
      <c r="L5680" s="2" t="s">
        <v>5</v>
      </c>
      <c r="M5680" s="2" t="s">
        <v>5</v>
      </c>
      <c r="N5680" s="4">
        <v>0</v>
      </c>
    </row>
    <row r="5681" spans="1:14" x14ac:dyDescent="0.25">
      <c r="A5681" s="2" t="s">
        <v>694</v>
      </c>
      <c r="B5681" s="2" t="s">
        <v>695</v>
      </c>
      <c r="C5681" s="3">
        <v>10</v>
      </c>
      <c r="D5681" s="4">
        <v>164.2</v>
      </c>
      <c r="E5681" s="4">
        <v>91</v>
      </c>
      <c r="F5681" s="4">
        <f t="shared" si="317"/>
        <v>73.199999999999989</v>
      </c>
      <c r="G5681" s="5">
        <f t="shared" si="318"/>
        <v>0.44579780755176612</v>
      </c>
      <c r="H5681" s="2" t="s">
        <v>5</v>
      </c>
      <c r="I5681" s="6" t="s">
        <v>2300</v>
      </c>
      <c r="J5681" s="2" t="s">
        <v>5</v>
      </c>
      <c r="K5681" s="2" t="s">
        <v>5</v>
      </c>
      <c r="L5681" s="2" t="s">
        <v>5</v>
      </c>
      <c r="M5681" s="2" t="s">
        <v>5</v>
      </c>
      <c r="N5681" s="4">
        <v>0</v>
      </c>
    </row>
    <row r="5682" spans="1:14" x14ac:dyDescent="0.25">
      <c r="A5682" s="2" t="s">
        <v>694</v>
      </c>
      <c r="B5682" s="2" t="s">
        <v>695</v>
      </c>
      <c r="C5682" s="3">
        <v>9.9</v>
      </c>
      <c r="D5682" s="4">
        <v>159.09299999999999</v>
      </c>
      <c r="E5682" s="4">
        <v>90.09</v>
      </c>
      <c r="F5682" s="4">
        <f t="shared" si="317"/>
        <v>69.002999999999986</v>
      </c>
      <c r="G5682" s="5">
        <f t="shared" si="318"/>
        <v>0.43372744243932787</v>
      </c>
      <c r="H5682" s="2" t="s">
        <v>5</v>
      </c>
      <c r="I5682" s="6" t="s">
        <v>2300</v>
      </c>
      <c r="J5682" s="2" t="s">
        <v>5</v>
      </c>
      <c r="K5682" s="2" t="s">
        <v>5</v>
      </c>
      <c r="L5682" s="2" t="s">
        <v>5</v>
      </c>
      <c r="M5682" s="2" t="s">
        <v>5</v>
      </c>
      <c r="N5682" s="4">
        <v>0</v>
      </c>
    </row>
    <row r="5683" spans="1:14" x14ac:dyDescent="0.25">
      <c r="A5683" s="2" t="s">
        <v>694</v>
      </c>
      <c r="B5683" s="2" t="s">
        <v>695</v>
      </c>
      <c r="C5683" s="3">
        <v>5</v>
      </c>
      <c r="D5683" s="4">
        <v>82.1</v>
      </c>
      <c r="E5683" s="4">
        <v>45.5</v>
      </c>
      <c r="F5683" s="4">
        <f t="shared" si="317"/>
        <v>36.599999999999994</v>
      </c>
      <c r="G5683" s="5">
        <f t="shared" si="318"/>
        <v>0.44579780755176612</v>
      </c>
      <c r="H5683" s="2" t="s">
        <v>5</v>
      </c>
      <c r="I5683" s="6" t="s">
        <v>2300</v>
      </c>
      <c r="J5683" s="2" t="s">
        <v>5</v>
      </c>
      <c r="K5683" s="2" t="s">
        <v>5</v>
      </c>
      <c r="L5683" s="2" t="s">
        <v>5</v>
      </c>
      <c r="M5683" s="2" t="s">
        <v>5</v>
      </c>
      <c r="N5683" s="4">
        <v>0</v>
      </c>
    </row>
    <row r="5684" spans="1:14" x14ac:dyDescent="0.25">
      <c r="A5684" s="2" t="s">
        <v>694</v>
      </c>
      <c r="B5684" s="2" t="s">
        <v>695</v>
      </c>
      <c r="C5684" s="3">
        <v>40</v>
      </c>
      <c r="D5684" s="4">
        <v>656.8</v>
      </c>
      <c r="E5684" s="4">
        <v>364</v>
      </c>
      <c r="F5684" s="4">
        <f t="shared" si="317"/>
        <v>292.79999999999995</v>
      </c>
      <c r="G5684" s="5">
        <f t="shared" si="318"/>
        <v>0.44579780755176612</v>
      </c>
      <c r="H5684" s="2" t="s">
        <v>5</v>
      </c>
      <c r="I5684" s="6" t="s">
        <v>2300</v>
      </c>
      <c r="J5684" s="2" t="s">
        <v>5</v>
      </c>
      <c r="K5684" s="2" t="s">
        <v>5</v>
      </c>
      <c r="L5684" s="2" t="s">
        <v>5</v>
      </c>
      <c r="M5684" s="2" t="s">
        <v>5</v>
      </c>
      <c r="N5684" s="4">
        <v>0</v>
      </c>
    </row>
    <row r="5685" spans="1:14" x14ac:dyDescent="0.25">
      <c r="A5685" s="2" t="s">
        <v>694</v>
      </c>
      <c r="B5685" s="2" t="s">
        <v>695</v>
      </c>
      <c r="C5685" s="3">
        <v>9.8849999999999998</v>
      </c>
      <c r="D5685" s="4">
        <v>162.3117</v>
      </c>
      <c r="E5685" s="4">
        <v>89.953500000000005</v>
      </c>
      <c r="F5685" s="4">
        <f t="shared" si="317"/>
        <v>72.358199999999997</v>
      </c>
      <c r="G5685" s="5">
        <f t="shared" si="318"/>
        <v>0.44579780755176612</v>
      </c>
      <c r="H5685" s="2" t="s">
        <v>5</v>
      </c>
      <c r="I5685" s="6" t="s">
        <v>2300</v>
      </c>
      <c r="J5685" s="2" t="s">
        <v>5</v>
      </c>
      <c r="K5685" s="2" t="s">
        <v>5</v>
      </c>
      <c r="L5685" s="2" t="s">
        <v>5</v>
      </c>
      <c r="M5685" s="2" t="s">
        <v>5</v>
      </c>
      <c r="N5685" s="4">
        <v>0</v>
      </c>
    </row>
    <row r="5686" spans="1:14" x14ac:dyDescent="0.25">
      <c r="A5686" s="2" t="s">
        <v>694</v>
      </c>
      <c r="B5686" s="2" t="s">
        <v>695</v>
      </c>
      <c r="C5686" s="3">
        <v>3.996</v>
      </c>
      <c r="D5686" s="4">
        <v>64.974959999999996</v>
      </c>
      <c r="E5686" s="4">
        <v>36.363599999999998</v>
      </c>
      <c r="F5686" s="4">
        <f t="shared" si="317"/>
        <v>28.611359999999998</v>
      </c>
      <c r="G5686" s="5">
        <f t="shared" si="318"/>
        <v>0.44034440344403442</v>
      </c>
      <c r="H5686" s="2" t="s">
        <v>5</v>
      </c>
      <c r="I5686" s="6" t="s">
        <v>2300</v>
      </c>
      <c r="J5686" s="2" t="s">
        <v>5</v>
      </c>
      <c r="K5686" s="2" t="s">
        <v>5</v>
      </c>
      <c r="L5686" s="2" t="s">
        <v>5</v>
      </c>
      <c r="M5686" s="2" t="s">
        <v>5</v>
      </c>
      <c r="N5686" s="4">
        <v>0</v>
      </c>
    </row>
    <row r="5687" spans="1:14" x14ac:dyDescent="0.25">
      <c r="A5687" s="2" t="s">
        <v>1764</v>
      </c>
      <c r="B5687" s="2" t="s">
        <v>1765</v>
      </c>
      <c r="C5687" s="3">
        <v>69.7</v>
      </c>
      <c r="D5687" s="4">
        <v>1063.6220000000001</v>
      </c>
      <c r="E5687" s="4">
        <v>871.25</v>
      </c>
      <c r="F5687" s="4">
        <f t="shared" si="317"/>
        <v>192.37200000000007</v>
      </c>
      <c r="G5687" s="5">
        <f t="shared" si="318"/>
        <v>0.18086500655307999</v>
      </c>
      <c r="H5687" s="2" t="s">
        <v>5</v>
      </c>
      <c r="I5687" s="6" t="s">
        <v>2300</v>
      </c>
      <c r="J5687" s="2" t="s">
        <v>5</v>
      </c>
      <c r="K5687" s="2" t="s">
        <v>5</v>
      </c>
      <c r="L5687" s="2" t="s">
        <v>5</v>
      </c>
      <c r="M5687" s="2" t="s">
        <v>5</v>
      </c>
      <c r="N5687" s="4">
        <v>0</v>
      </c>
    </row>
    <row r="5688" spans="1:14" x14ac:dyDescent="0.25">
      <c r="A5688" s="2" t="s">
        <v>790</v>
      </c>
      <c r="B5688" s="2" t="s">
        <v>791</v>
      </c>
      <c r="C5688" s="3">
        <v>6.29</v>
      </c>
      <c r="D5688" s="4">
        <v>103.2818</v>
      </c>
      <c r="E5688" s="4">
        <v>78.625</v>
      </c>
      <c r="F5688" s="4">
        <f t="shared" si="317"/>
        <v>24.656800000000004</v>
      </c>
      <c r="G5688" s="5">
        <f t="shared" si="318"/>
        <v>0.23873325213154692</v>
      </c>
      <c r="H5688" s="2" t="s">
        <v>5</v>
      </c>
      <c r="I5688" s="6" t="s">
        <v>2300</v>
      </c>
      <c r="J5688" s="2" t="s">
        <v>5</v>
      </c>
      <c r="K5688" s="2" t="s">
        <v>5</v>
      </c>
      <c r="L5688" s="2" t="s">
        <v>5</v>
      </c>
      <c r="M5688" s="2" t="s">
        <v>5</v>
      </c>
      <c r="N5688" s="4">
        <v>0</v>
      </c>
    </row>
    <row r="5689" spans="1:14" x14ac:dyDescent="0.25">
      <c r="A5689" s="2" t="s">
        <v>790</v>
      </c>
      <c r="B5689" s="2" t="s">
        <v>791</v>
      </c>
      <c r="C5689" s="3">
        <v>-3.016</v>
      </c>
      <c r="D5689" s="4">
        <v>-49.52272</v>
      </c>
      <c r="E5689" s="4">
        <v>-37.700000000000003</v>
      </c>
      <c r="F5689" s="4">
        <f t="shared" si="317"/>
        <v>-11.822719999999997</v>
      </c>
      <c r="G5689" s="5">
        <f t="shared" si="318"/>
        <v>0.23873325213154684</v>
      </c>
      <c r="H5689" s="2" t="s">
        <v>5</v>
      </c>
      <c r="I5689" s="6" t="s">
        <v>2300</v>
      </c>
      <c r="J5689" s="2" t="s">
        <v>5</v>
      </c>
      <c r="K5689" s="2" t="s">
        <v>5</v>
      </c>
      <c r="L5689" s="2" t="s">
        <v>5</v>
      </c>
      <c r="M5689" s="2" t="s">
        <v>5</v>
      </c>
      <c r="N5689" s="4">
        <v>0</v>
      </c>
    </row>
    <row r="5690" spans="1:14" x14ac:dyDescent="0.25">
      <c r="A5690" s="2" t="s">
        <v>790</v>
      </c>
      <c r="B5690" s="2" t="s">
        <v>791</v>
      </c>
      <c r="C5690" s="3">
        <v>3.206</v>
      </c>
      <c r="D5690" s="4">
        <v>52.642519999999998</v>
      </c>
      <c r="E5690" s="4">
        <v>40.075000000000003</v>
      </c>
      <c r="F5690" s="4">
        <f t="shared" si="317"/>
        <v>12.567519999999995</v>
      </c>
      <c r="G5690" s="5">
        <f t="shared" si="318"/>
        <v>0.23873325213154681</v>
      </c>
      <c r="H5690" s="2" t="s">
        <v>5</v>
      </c>
      <c r="I5690" s="6" t="s">
        <v>2300</v>
      </c>
      <c r="J5690" s="2" t="s">
        <v>5</v>
      </c>
      <c r="K5690" s="2" t="s">
        <v>5</v>
      </c>
      <c r="L5690" s="2" t="s">
        <v>5</v>
      </c>
      <c r="M5690" s="2" t="s">
        <v>5</v>
      </c>
      <c r="N5690" s="4">
        <v>0</v>
      </c>
    </row>
    <row r="5691" spans="1:14" x14ac:dyDescent="0.25">
      <c r="A5691" s="2" t="s">
        <v>634</v>
      </c>
      <c r="B5691" s="2" t="s">
        <v>635</v>
      </c>
      <c r="C5691" s="3">
        <v>9.7949999999999999</v>
      </c>
      <c r="D5691" s="4">
        <v>160.8339</v>
      </c>
      <c r="E5691" s="4">
        <v>122.4375</v>
      </c>
      <c r="F5691" s="4">
        <f t="shared" si="317"/>
        <v>38.3964</v>
      </c>
      <c r="G5691" s="5">
        <f t="shared" si="318"/>
        <v>0.23873325213154689</v>
      </c>
      <c r="H5691" s="2" t="s">
        <v>5</v>
      </c>
      <c r="I5691" s="6" t="s">
        <v>2300</v>
      </c>
      <c r="J5691" s="2" t="s">
        <v>5</v>
      </c>
      <c r="K5691" s="2" t="s">
        <v>5</v>
      </c>
      <c r="L5691" s="2" t="s">
        <v>5</v>
      </c>
      <c r="M5691" s="2" t="s">
        <v>5</v>
      </c>
      <c r="N5691" s="4">
        <v>0</v>
      </c>
    </row>
    <row r="5692" spans="1:14" x14ac:dyDescent="0.25">
      <c r="A5692" s="2" t="s">
        <v>634</v>
      </c>
      <c r="B5692" s="2" t="s">
        <v>635</v>
      </c>
      <c r="C5692" s="3">
        <v>9.8949999999999996</v>
      </c>
      <c r="D5692" s="4">
        <v>158.5179</v>
      </c>
      <c r="E5692" s="4">
        <v>123.6875</v>
      </c>
      <c r="F5692" s="4">
        <f t="shared" si="317"/>
        <v>34.830399999999997</v>
      </c>
      <c r="G5692" s="5">
        <f t="shared" si="318"/>
        <v>0.21972534332084892</v>
      </c>
      <c r="H5692" s="2" t="s">
        <v>5</v>
      </c>
      <c r="I5692" s="6" t="s">
        <v>2300</v>
      </c>
      <c r="J5692" s="2" t="s">
        <v>5</v>
      </c>
      <c r="K5692" s="2" t="s">
        <v>5</v>
      </c>
      <c r="L5692" s="2" t="s">
        <v>5</v>
      </c>
      <c r="M5692" s="2" t="s">
        <v>5</v>
      </c>
      <c r="N5692" s="4">
        <v>0</v>
      </c>
    </row>
    <row r="5693" spans="1:14" x14ac:dyDescent="0.25">
      <c r="A5693" s="2" t="s">
        <v>634</v>
      </c>
      <c r="B5693" s="2" t="s">
        <v>635</v>
      </c>
      <c r="C5693" s="3">
        <v>3.044</v>
      </c>
      <c r="D5693" s="4">
        <v>49.982480000000002</v>
      </c>
      <c r="E5693" s="4">
        <v>38.049999999999997</v>
      </c>
      <c r="F5693" s="4">
        <f t="shared" si="317"/>
        <v>11.932480000000005</v>
      </c>
      <c r="G5693" s="5">
        <f t="shared" si="318"/>
        <v>0.23873325213154697</v>
      </c>
      <c r="H5693" s="2" t="s">
        <v>5</v>
      </c>
      <c r="I5693" s="6" t="s">
        <v>2300</v>
      </c>
      <c r="J5693" s="2" t="s">
        <v>5</v>
      </c>
      <c r="K5693" s="2" t="s">
        <v>5</v>
      </c>
      <c r="L5693" s="2" t="s">
        <v>5</v>
      </c>
      <c r="M5693" s="2" t="s">
        <v>5</v>
      </c>
      <c r="N5693" s="4">
        <v>0</v>
      </c>
    </row>
    <row r="5694" spans="1:14" x14ac:dyDescent="0.25">
      <c r="A5694" s="2" t="s">
        <v>634</v>
      </c>
      <c r="B5694" s="2" t="s">
        <v>635</v>
      </c>
      <c r="C5694" s="3">
        <v>9.02</v>
      </c>
      <c r="D5694" s="4">
        <v>148.10839999999999</v>
      </c>
      <c r="E5694" s="4">
        <v>112.75</v>
      </c>
      <c r="F5694" s="4">
        <f t="shared" si="317"/>
        <v>35.358399999999989</v>
      </c>
      <c r="G5694" s="5">
        <f t="shared" si="318"/>
        <v>0.23873325213154684</v>
      </c>
      <c r="H5694" s="2" t="s">
        <v>5</v>
      </c>
      <c r="I5694" s="6" t="s">
        <v>2300</v>
      </c>
      <c r="J5694" s="2" t="s">
        <v>5</v>
      </c>
      <c r="K5694" s="2" t="s">
        <v>5</v>
      </c>
      <c r="L5694" s="2" t="s">
        <v>5</v>
      </c>
      <c r="M5694" s="2" t="s">
        <v>5</v>
      </c>
      <c r="N5694" s="4">
        <v>0</v>
      </c>
    </row>
    <row r="5695" spans="1:14" x14ac:dyDescent="0.25">
      <c r="A5695" s="2" t="s">
        <v>634</v>
      </c>
      <c r="B5695" s="2" t="s">
        <v>635</v>
      </c>
      <c r="C5695" s="3">
        <v>4.84</v>
      </c>
      <c r="D5695" s="4">
        <v>67.518000000000001</v>
      </c>
      <c r="E5695" s="4">
        <v>60.5</v>
      </c>
      <c r="F5695" s="4">
        <f t="shared" si="317"/>
        <v>7.0180000000000007</v>
      </c>
      <c r="G5695" s="5">
        <f t="shared" si="318"/>
        <v>0.10394265232974911</v>
      </c>
      <c r="H5695" s="2" t="s">
        <v>5</v>
      </c>
      <c r="I5695" s="6" t="s">
        <v>2300</v>
      </c>
      <c r="J5695" s="2" t="s">
        <v>5</v>
      </c>
      <c r="K5695" s="2" t="s">
        <v>5</v>
      </c>
      <c r="L5695" s="2" t="s">
        <v>5</v>
      </c>
      <c r="M5695" s="2" t="s">
        <v>5</v>
      </c>
      <c r="N5695" s="4">
        <v>0</v>
      </c>
    </row>
    <row r="5696" spans="1:14" x14ac:dyDescent="0.25">
      <c r="A5696" s="2" t="s">
        <v>634</v>
      </c>
      <c r="B5696" s="2" t="s">
        <v>635</v>
      </c>
      <c r="C5696" s="3">
        <v>9.98</v>
      </c>
      <c r="D5696" s="4">
        <v>163.8716</v>
      </c>
      <c r="E5696" s="4">
        <v>124.75</v>
      </c>
      <c r="F5696" s="4">
        <f t="shared" si="317"/>
        <v>39.121600000000001</v>
      </c>
      <c r="G5696" s="5">
        <f t="shared" si="318"/>
        <v>0.23873325213154689</v>
      </c>
      <c r="H5696" s="2" t="s">
        <v>5</v>
      </c>
      <c r="I5696" s="6" t="s">
        <v>2300</v>
      </c>
      <c r="J5696" s="2" t="s">
        <v>5</v>
      </c>
      <c r="K5696" s="2" t="s">
        <v>5</v>
      </c>
      <c r="L5696" s="2" t="s">
        <v>5</v>
      </c>
      <c r="M5696" s="2" t="s">
        <v>5</v>
      </c>
      <c r="N5696" s="4">
        <v>0</v>
      </c>
    </row>
    <row r="5697" spans="1:14" x14ac:dyDescent="0.25">
      <c r="A5697" s="2" t="s">
        <v>634</v>
      </c>
      <c r="B5697" s="2" t="s">
        <v>635</v>
      </c>
      <c r="C5697" s="3">
        <v>9.94</v>
      </c>
      <c r="D5697" s="4">
        <v>153.87119999999999</v>
      </c>
      <c r="E5697" s="4">
        <v>124.25</v>
      </c>
      <c r="F5697" s="4">
        <f t="shared" si="317"/>
        <v>29.621199999999988</v>
      </c>
      <c r="G5697" s="5">
        <f t="shared" si="318"/>
        <v>0.19250645994832036</v>
      </c>
      <c r="H5697" s="2" t="s">
        <v>5</v>
      </c>
      <c r="I5697" s="6" t="s">
        <v>2300</v>
      </c>
      <c r="J5697" s="2" t="s">
        <v>5</v>
      </c>
      <c r="K5697" s="2" t="s">
        <v>5</v>
      </c>
      <c r="L5697" s="2" t="s">
        <v>5</v>
      </c>
      <c r="M5697" s="2" t="s">
        <v>5</v>
      </c>
      <c r="N5697" s="4">
        <v>0</v>
      </c>
    </row>
    <row r="5698" spans="1:14" x14ac:dyDescent="0.25">
      <c r="A5698" s="2" t="s">
        <v>634</v>
      </c>
      <c r="B5698" s="2" t="s">
        <v>635</v>
      </c>
      <c r="C5698" s="3">
        <v>4.2359999999999998</v>
      </c>
      <c r="D5698" s="4">
        <v>69.555120000000002</v>
      </c>
      <c r="E5698" s="4">
        <v>52.95</v>
      </c>
      <c r="F5698" s="4">
        <f t="shared" si="317"/>
        <v>16.605119999999999</v>
      </c>
      <c r="G5698" s="5">
        <f t="shared" si="318"/>
        <v>0.23873325213154689</v>
      </c>
      <c r="H5698" s="2" t="s">
        <v>5</v>
      </c>
      <c r="I5698" s="6" t="s">
        <v>2300</v>
      </c>
      <c r="J5698" s="2" t="s">
        <v>5</v>
      </c>
      <c r="K5698" s="2" t="s">
        <v>5</v>
      </c>
      <c r="L5698" s="2" t="s">
        <v>5</v>
      </c>
      <c r="M5698" s="2" t="s">
        <v>5</v>
      </c>
      <c r="N5698" s="4">
        <v>0</v>
      </c>
    </row>
    <row r="5699" spans="1:14" x14ac:dyDescent="0.25">
      <c r="A5699" s="2" t="s">
        <v>2169</v>
      </c>
      <c r="B5699" s="2" t="s">
        <v>2170</v>
      </c>
      <c r="C5699" s="3">
        <v>12.38</v>
      </c>
      <c r="D5699" s="4">
        <v>203.27959999999999</v>
      </c>
      <c r="E5699" s="4">
        <v>154.75</v>
      </c>
      <c r="F5699" s="4">
        <f t="shared" si="317"/>
        <v>48.529599999999988</v>
      </c>
      <c r="G5699" s="5">
        <f t="shared" si="318"/>
        <v>0.23873325213154684</v>
      </c>
      <c r="H5699" s="2" t="s">
        <v>5</v>
      </c>
      <c r="I5699" s="6" t="s">
        <v>2300</v>
      </c>
      <c r="J5699" s="2" t="s">
        <v>5</v>
      </c>
      <c r="K5699" s="2" t="s">
        <v>5</v>
      </c>
      <c r="L5699" s="2" t="s">
        <v>5</v>
      </c>
      <c r="M5699" s="2" t="s">
        <v>5</v>
      </c>
      <c r="N5699" s="4">
        <v>0</v>
      </c>
    </row>
    <row r="5700" spans="1:14" x14ac:dyDescent="0.25">
      <c r="A5700" s="2" t="s">
        <v>2114</v>
      </c>
      <c r="B5700" s="2" t="s">
        <v>2115</v>
      </c>
      <c r="C5700" s="3">
        <v>21.16</v>
      </c>
      <c r="D5700" s="4">
        <v>646.64959999999996</v>
      </c>
      <c r="E5700" s="4">
        <v>333.27</v>
      </c>
      <c r="F5700" s="4">
        <f t="shared" si="317"/>
        <v>313.37959999999998</v>
      </c>
      <c r="G5700" s="5">
        <f t="shared" si="318"/>
        <v>0.48462041884816753</v>
      </c>
      <c r="H5700" s="2" t="s">
        <v>5</v>
      </c>
      <c r="I5700" s="6" t="s">
        <v>2300</v>
      </c>
      <c r="J5700" s="2" t="s">
        <v>5</v>
      </c>
      <c r="K5700" s="2" t="s">
        <v>5</v>
      </c>
      <c r="L5700" s="2" t="s">
        <v>5</v>
      </c>
      <c r="M5700" s="2" t="s">
        <v>5</v>
      </c>
      <c r="N5700" s="4">
        <v>0</v>
      </c>
    </row>
    <row r="5701" spans="1:14" x14ac:dyDescent="0.25">
      <c r="A5701" s="2" t="s">
        <v>181</v>
      </c>
      <c r="B5701" s="2" t="s">
        <v>182</v>
      </c>
      <c r="C5701" s="3">
        <v>75.741</v>
      </c>
      <c r="D5701" s="4">
        <v>2120.748</v>
      </c>
      <c r="E5701" s="4">
        <v>1666.3019999999999</v>
      </c>
      <c r="F5701" s="4">
        <f t="shared" si="317"/>
        <v>454.44600000000014</v>
      </c>
      <c r="G5701" s="5">
        <f t="shared" si="318"/>
        <v>0.21428571428571436</v>
      </c>
      <c r="H5701" s="2" t="s">
        <v>5</v>
      </c>
      <c r="I5701" s="6" t="s">
        <v>2300</v>
      </c>
      <c r="J5701" s="2" t="s">
        <v>5</v>
      </c>
      <c r="K5701" s="2" t="s">
        <v>5</v>
      </c>
      <c r="L5701" s="2" t="s">
        <v>5</v>
      </c>
      <c r="M5701" s="2" t="s">
        <v>5</v>
      </c>
      <c r="N5701" s="4">
        <v>0</v>
      </c>
    </row>
    <row r="5702" spans="1:14" x14ac:dyDescent="0.25">
      <c r="A5702" s="2" t="s">
        <v>181</v>
      </c>
      <c r="B5702" s="2" t="s">
        <v>182</v>
      </c>
      <c r="C5702" s="3">
        <v>4.24</v>
      </c>
      <c r="D5702" s="4">
        <v>153.4032</v>
      </c>
      <c r="E5702" s="4">
        <v>93.28</v>
      </c>
      <c r="F5702" s="4">
        <f t="shared" si="317"/>
        <v>60.123199999999997</v>
      </c>
      <c r="G5702" s="5">
        <f t="shared" si="318"/>
        <v>0.39192924267551132</v>
      </c>
      <c r="H5702" s="2" t="s">
        <v>5</v>
      </c>
      <c r="I5702" s="6" t="s">
        <v>2300</v>
      </c>
      <c r="J5702" s="2" t="s">
        <v>5</v>
      </c>
      <c r="K5702" s="2" t="s">
        <v>5</v>
      </c>
      <c r="L5702" s="2" t="s">
        <v>5</v>
      </c>
      <c r="M5702" s="2" t="s">
        <v>5</v>
      </c>
      <c r="N5702" s="4">
        <v>0</v>
      </c>
    </row>
    <row r="5703" spans="1:14" x14ac:dyDescent="0.25">
      <c r="A5703" s="2" t="s">
        <v>839</v>
      </c>
      <c r="B5703" s="2" t="s">
        <v>840</v>
      </c>
      <c r="C5703" s="3">
        <v>5.74</v>
      </c>
      <c r="D5703" s="4">
        <v>207.67320000000001</v>
      </c>
      <c r="E5703" s="4">
        <v>126.28</v>
      </c>
      <c r="F5703" s="4">
        <f t="shared" si="317"/>
        <v>81.393200000000007</v>
      </c>
      <c r="G5703" s="5">
        <f t="shared" si="318"/>
        <v>0.39192924267551132</v>
      </c>
      <c r="H5703" s="2" t="s">
        <v>5</v>
      </c>
      <c r="I5703" s="6" t="s">
        <v>2300</v>
      </c>
      <c r="J5703" s="2" t="s">
        <v>5</v>
      </c>
      <c r="K5703" s="2" t="s">
        <v>5</v>
      </c>
      <c r="L5703" s="2" t="s">
        <v>5</v>
      </c>
      <c r="M5703" s="2" t="s">
        <v>5</v>
      </c>
      <c r="N5703" s="4">
        <v>0</v>
      </c>
    </row>
    <row r="5704" spans="1:14" x14ac:dyDescent="0.25">
      <c r="A5704" s="2" t="s">
        <v>183</v>
      </c>
      <c r="B5704" s="2" t="s">
        <v>184</v>
      </c>
      <c r="C5704" s="3">
        <v>19.559999999999999</v>
      </c>
      <c r="D5704" s="4">
        <v>621.61680000000001</v>
      </c>
      <c r="E5704" s="4">
        <v>430.32</v>
      </c>
      <c r="F5704" s="4">
        <f t="shared" si="317"/>
        <v>191.29680000000002</v>
      </c>
      <c r="G5704" s="5">
        <f t="shared" si="318"/>
        <v>0.30774071743234743</v>
      </c>
      <c r="H5704" s="2" t="s">
        <v>5</v>
      </c>
      <c r="I5704" s="6" t="s">
        <v>2300</v>
      </c>
      <c r="J5704" s="2" t="s">
        <v>5</v>
      </c>
      <c r="K5704" s="2" t="s">
        <v>5</v>
      </c>
      <c r="L5704" s="2" t="s">
        <v>5</v>
      </c>
      <c r="M5704" s="2" t="s">
        <v>5</v>
      </c>
      <c r="N5704" s="4">
        <v>0</v>
      </c>
    </row>
    <row r="5705" spans="1:14" x14ac:dyDescent="0.25">
      <c r="A5705" s="2" t="s">
        <v>183</v>
      </c>
      <c r="B5705" s="2" t="s">
        <v>184</v>
      </c>
      <c r="C5705" s="3">
        <v>-35.5</v>
      </c>
      <c r="D5705" s="4">
        <v>-1128.19</v>
      </c>
      <c r="E5705" s="4">
        <v>-781</v>
      </c>
      <c r="F5705" s="4">
        <f t="shared" si="317"/>
        <v>-347.19000000000005</v>
      </c>
      <c r="G5705" s="5">
        <f t="shared" si="318"/>
        <v>0.30774071743234743</v>
      </c>
      <c r="H5705" s="2" t="s">
        <v>5</v>
      </c>
      <c r="I5705" s="6" t="s">
        <v>2300</v>
      </c>
      <c r="J5705" s="2" t="s">
        <v>5</v>
      </c>
      <c r="K5705" s="2" t="s">
        <v>5</v>
      </c>
      <c r="L5705" s="2" t="s">
        <v>5</v>
      </c>
      <c r="M5705" s="2" t="s">
        <v>5</v>
      </c>
      <c r="N5705" s="4">
        <v>0</v>
      </c>
    </row>
    <row r="5706" spans="1:14" x14ac:dyDescent="0.25">
      <c r="A5706" s="2" t="s">
        <v>183</v>
      </c>
      <c r="B5706" s="2" t="s">
        <v>184</v>
      </c>
      <c r="C5706" s="3">
        <v>58.65</v>
      </c>
      <c r="D5706" s="4">
        <v>1863.8969999999999</v>
      </c>
      <c r="E5706" s="4">
        <v>1290.3</v>
      </c>
      <c r="F5706" s="4">
        <f t="shared" si="317"/>
        <v>573.59699999999998</v>
      </c>
      <c r="G5706" s="5">
        <f t="shared" si="318"/>
        <v>0.30774071743234738</v>
      </c>
      <c r="H5706" s="2" t="s">
        <v>5</v>
      </c>
      <c r="I5706" s="6" t="s">
        <v>2300</v>
      </c>
      <c r="J5706" s="2" t="s">
        <v>5</v>
      </c>
      <c r="K5706" s="2" t="s">
        <v>5</v>
      </c>
      <c r="L5706" s="2" t="s">
        <v>5</v>
      </c>
      <c r="M5706" s="2" t="s">
        <v>5</v>
      </c>
      <c r="N5706" s="4">
        <v>0</v>
      </c>
    </row>
    <row r="5707" spans="1:14" x14ac:dyDescent="0.25">
      <c r="A5707" s="2" t="s">
        <v>1298</v>
      </c>
      <c r="B5707" s="2" t="s">
        <v>1299</v>
      </c>
      <c r="C5707" s="3">
        <v>26.1</v>
      </c>
      <c r="D5707" s="4">
        <v>1062.5309999999999</v>
      </c>
      <c r="E5707" s="4">
        <v>665.55</v>
      </c>
      <c r="F5707" s="4">
        <f t="shared" si="317"/>
        <v>396.98099999999999</v>
      </c>
      <c r="G5707" s="5">
        <f t="shared" si="318"/>
        <v>0.37361827560795874</v>
      </c>
      <c r="H5707" s="2" t="s">
        <v>5</v>
      </c>
      <c r="I5707" s="6" t="s">
        <v>2300</v>
      </c>
      <c r="J5707" s="2" t="s">
        <v>5</v>
      </c>
      <c r="K5707" s="2" t="s">
        <v>5</v>
      </c>
      <c r="L5707" s="2" t="s">
        <v>5</v>
      </c>
      <c r="M5707" s="2" t="s">
        <v>5</v>
      </c>
      <c r="N5707" s="4">
        <v>0</v>
      </c>
    </row>
    <row r="5708" spans="1:14" x14ac:dyDescent="0.25">
      <c r="A5708" s="2" t="s">
        <v>1298</v>
      </c>
      <c r="B5708" s="2" t="s">
        <v>1299</v>
      </c>
      <c r="C5708" s="3">
        <v>16.100000000000001</v>
      </c>
      <c r="D5708" s="4">
        <v>655.43100000000004</v>
      </c>
      <c r="E5708" s="4">
        <v>410.55</v>
      </c>
      <c r="F5708" s="4">
        <f t="shared" si="317"/>
        <v>244.88100000000003</v>
      </c>
      <c r="G5708" s="5">
        <f t="shared" si="318"/>
        <v>0.37361827560795874</v>
      </c>
      <c r="H5708" s="2" t="s">
        <v>5</v>
      </c>
      <c r="I5708" s="6" t="s">
        <v>2300</v>
      </c>
      <c r="J5708" s="2" t="s">
        <v>5</v>
      </c>
      <c r="K5708" s="2" t="s">
        <v>5</v>
      </c>
      <c r="L5708" s="2" t="s">
        <v>5</v>
      </c>
      <c r="M5708" s="2" t="s">
        <v>5</v>
      </c>
      <c r="N5708" s="4">
        <v>0</v>
      </c>
    </row>
    <row r="5709" spans="1:14" x14ac:dyDescent="0.25">
      <c r="A5709" s="2" t="s">
        <v>1248</v>
      </c>
      <c r="B5709" s="2" t="s">
        <v>1249</v>
      </c>
      <c r="C5709" s="3">
        <v>5.5339999999999998</v>
      </c>
      <c r="D5709" s="4">
        <v>224.18234000000001</v>
      </c>
      <c r="E5709" s="4">
        <v>141.11699999999999</v>
      </c>
      <c r="F5709" s="4">
        <f t="shared" si="317"/>
        <v>83.06534000000002</v>
      </c>
      <c r="G5709" s="5">
        <f t="shared" si="318"/>
        <v>0.37052579609972852</v>
      </c>
      <c r="H5709" s="2" t="s">
        <v>5</v>
      </c>
      <c r="I5709" s="6" t="s">
        <v>2300</v>
      </c>
      <c r="J5709" s="2" t="s">
        <v>5</v>
      </c>
      <c r="K5709" s="2" t="s">
        <v>5</v>
      </c>
      <c r="L5709" s="2" t="s">
        <v>5</v>
      </c>
      <c r="M5709" s="2" t="s">
        <v>5</v>
      </c>
      <c r="N5709" s="4">
        <v>0</v>
      </c>
    </row>
    <row r="5710" spans="1:14" x14ac:dyDescent="0.25">
      <c r="A5710" s="2" t="s">
        <v>2171</v>
      </c>
      <c r="B5710" s="2" t="s">
        <v>2172</v>
      </c>
      <c r="C5710" s="3">
        <v>3.7120000000000002</v>
      </c>
      <c r="D5710" s="4">
        <v>150.37312</v>
      </c>
      <c r="E5710" s="4">
        <v>94.656000000000006</v>
      </c>
      <c r="F5710" s="4">
        <f t="shared" si="317"/>
        <v>55.717119999999994</v>
      </c>
      <c r="G5710" s="5">
        <f t="shared" si="318"/>
        <v>0.37052579609972841</v>
      </c>
      <c r="H5710" s="2" t="s">
        <v>5</v>
      </c>
      <c r="I5710" s="6" t="s">
        <v>2300</v>
      </c>
      <c r="J5710" s="2" t="s">
        <v>5</v>
      </c>
      <c r="K5710" s="2" t="s">
        <v>5</v>
      </c>
      <c r="L5710" s="2" t="s">
        <v>5</v>
      </c>
      <c r="M5710" s="2" t="s">
        <v>5</v>
      </c>
      <c r="N5710" s="4">
        <v>0</v>
      </c>
    </row>
    <row r="5711" spans="1:14" x14ac:dyDescent="0.25">
      <c r="A5711" s="2" t="s">
        <v>672</v>
      </c>
      <c r="B5711" s="2" t="s">
        <v>673</v>
      </c>
      <c r="C5711" s="3">
        <v>5.18</v>
      </c>
      <c r="D5711" s="4">
        <v>141.8802</v>
      </c>
      <c r="E5711" s="4">
        <v>81.584999999999994</v>
      </c>
      <c r="F5711" s="4">
        <f t="shared" si="317"/>
        <v>60.295200000000008</v>
      </c>
      <c r="G5711" s="5">
        <f t="shared" si="318"/>
        <v>0.42497261774370215</v>
      </c>
      <c r="H5711" s="2" t="s">
        <v>5</v>
      </c>
      <c r="I5711" s="6" t="s">
        <v>2300</v>
      </c>
      <c r="J5711" s="2" t="s">
        <v>5</v>
      </c>
      <c r="K5711" s="2" t="s">
        <v>5</v>
      </c>
      <c r="L5711" s="2" t="s">
        <v>5</v>
      </c>
      <c r="M5711" s="2" t="s">
        <v>5</v>
      </c>
      <c r="N5711" s="4">
        <v>0</v>
      </c>
    </row>
    <row r="5712" spans="1:14" x14ac:dyDescent="0.25">
      <c r="A5712" s="2" t="s">
        <v>1008</v>
      </c>
      <c r="B5712" s="2" t="s">
        <v>1009</v>
      </c>
      <c r="C5712" s="3">
        <v>6.08</v>
      </c>
      <c r="D5712" s="4">
        <v>233.28960000000001</v>
      </c>
      <c r="E5712" s="4">
        <v>148.96</v>
      </c>
      <c r="F5712" s="4">
        <f t="shared" si="317"/>
        <v>84.329599999999999</v>
      </c>
      <c r="G5712" s="5">
        <f t="shared" si="318"/>
        <v>0.36148032316914253</v>
      </c>
      <c r="H5712" s="2" t="s">
        <v>5</v>
      </c>
      <c r="I5712" s="6" t="s">
        <v>2300</v>
      </c>
      <c r="J5712" s="2" t="s">
        <v>5</v>
      </c>
      <c r="K5712" s="2" t="s">
        <v>5</v>
      </c>
      <c r="L5712" s="2" t="s">
        <v>5</v>
      </c>
      <c r="M5712" s="2" t="s">
        <v>5</v>
      </c>
      <c r="N5712" s="4">
        <v>0</v>
      </c>
    </row>
    <row r="5713" spans="1:14" x14ac:dyDescent="0.25">
      <c r="A5713" s="2" t="s">
        <v>221</v>
      </c>
      <c r="B5713" s="2" t="s">
        <v>222</v>
      </c>
      <c r="C5713" s="3">
        <v>18.8</v>
      </c>
      <c r="D5713" s="4">
        <v>606.11199999999997</v>
      </c>
      <c r="E5713" s="4">
        <v>460.6</v>
      </c>
      <c r="F5713" s="4">
        <f t="shared" si="317"/>
        <v>145.51199999999994</v>
      </c>
      <c r="G5713" s="5">
        <f t="shared" si="318"/>
        <v>0.24007444168734485</v>
      </c>
      <c r="H5713" s="2" t="s">
        <v>5</v>
      </c>
      <c r="I5713" s="6" t="s">
        <v>2300</v>
      </c>
      <c r="J5713" s="2" t="s">
        <v>5</v>
      </c>
      <c r="K5713" s="2" t="s">
        <v>5</v>
      </c>
      <c r="L5713" s="2" t="s">
        <v>5</v>
      </c>
      <c r="M5713" s="2" t="s">
        <v>5</v>
      </c>
      <c r="N5713" s="4">
        <v>0</v>
      </c>
    </row>
    <row r="5714" spans="1:14" x14ac:dyDescent="0.25">
      <c r="A5714" s="2" t="s">
        <v>743</v>
      </c>
      <c r="B5714" s="2" t="s">
        <v>744</v>
      </c>
      <c r="C5714" s="3">
        <v>10</v>
      </c>
      <c r="D5714" s="4">
        <v>148.19999999999999</v>
      </c>
      <c r="E5714" s="4">
        <v>105</v>
      </c>
      <c r="F5714" s="4">
        <f t="shared" si="317"/>
        <v>43.199999999999989</v>
      </c>
      <c r="G5714" s="5">
        <f t="shared" si="318"/>
        <v>0.29149797570850194</v>
      </c>
      <c r="H5714" s="2" t="s">
        <v>5</v>
      </c>
      <c r="I5714" s="6" t="s">
        <v>2300</v>
      </c>
      <c r="J5714" s="2" t="s">
        <v>5</v>
      </c>
      <c r="K5714" s="2" t="s">
        <v>5</v>
      </c>
      <c r="L5714" s="2" t="s">
        <v>5</v>
      </c>
      <c r="M5714" s="2" t="s">
        <v>5</v>
      </c>
      <c r="N5714" s="4">
        <v>0</v>
      </c>
    </row>
    <row r="5715" spans="1:14" x14ac:dyDescent="0.25">
      <c r="A5715" s="2" t="s">
        <v>743</v>
      </c>
      <c r="B5715" s="2" t="s">
        <v>744</v>
      </c>
      <c r="C5715" s="3">
        <v>10</v>
      </c>
      <c r="D5715" s="4">
        <v>148.19999999999999</v>
      </c>
      <c r="E5715" s="4">
        <v>105</v>
      </c>
      <c r="F5715" s="4">
        <f t="shared" si="317"/>
        <v>43.199999999999989</v>
      </c>
      <c r="G5715" s="5">
        <f t="shared" si="318"/>
        <v>0.29149797570850194</v>
      </c>
      <c r="H5715" s="2" t="s">
        <v>5</v>
      </c>
      <c r="I5715" s="6" t="s">
        <v>2300</v>
      </c>
      <c r="J5715" s="2" t="s">
        <v>5</v>
      </c>
      <c r="K5715" s="2" t="s">
        <v>5</v>
      </c>
      <c r="L5715" s="2" t="s">
        <v>5</v>
      </c>
      <c r="M5715" s="2" t="s">
        <v>5</v>
      </c>
      <c r="N5715" s="4">
        <v>0</v>
      </c>
    </row>
    <row r="5716" spans="1:14" x14ac:dyDescent="0.25">
      <c r="A5716" s="2" t="s">
        <v>743</v>
      </c>
      <c r="B5716" s="2" t="s">
        <v>744</v>
      </c>
      <c r="C5716" s="3">
        <v>10</v>
      </c>
      <c r="D5716" s="4">
        <v>148.19999999999999</v>
      </c>
      <c r="E5716" s="4">
        <v>105</v>
      </c>
      <c r="F5716" s="4">
        <f t="shared" si="317"/>
        <v>43.199999999999989</v>
      </c>
      <c r="G5716" s="5">
        <f t="shared" si="318"/>
        <v>0.29149797570850194</v>
      </c>
      <c r="H5716" s="2" t="s">
        <v>5</v>
      </c>
      <c r="I5716" s="6" t="s">
        <v>2300</v>
      </c>
      <c r="J5716" s="2" t="s">
        <v>5</v>
      </c>
      <c r="K5716" s="2" t="s">
        <v>5</v>
      </c>
      <c r="L5716" s="2" t="s">
        <v>5</v>
      </c>
      <c r="M5716" s="2" t="s">
        <v>5</v>
      </c>
      <c r="N5716" s="4">
        <v>0</v>
      </c>
    </row>
    <row r="5717" spans="1:14" x14ac:dyDescent="0.25">
      <c r="A5717" s="2" t="s">
        <v>972</v>
      </c>
      <c r="B5717" s="2" t="s">
        <v>973</v>
      </c>
      <c r="C5717" s="3">
        <v>3.29</v>
      </c>
      <c r="D5717" s="4">
        <v>106.53019999999999</v>
      </c>
      <c r="E5717" s="4">
        <v>71.557500000000005</v>
      </c>
      <c r="F5717" s="4">
        <f t="shared" si="317"/>
        <v>34.972699999999989</v>
      </c>
      <c r="G5717" s="5">
        <f t="shared" si="318"/>
        <v>0.3282890673255095</v>
      </c>
      <c r="H5717" s="2" t="s">
        <v>5</v>
      </c>
      <c r="I5717" s="6" t="s">
        <v>2300</v>
      </c>
      <c r="J5717" s="2" t="s">
        <v>5</v>
      </c>
      <c r="K5717" s="2" t="s">
        <v>5</v>
      </c>
      <c r="L5717" s="2" t="s">
        <v>5</v>
      </c>
      <c r="M5717" s="2" t="s">
        <v>5</v>
      </c>
      <c r="N5717" s="4">
        <v>0</v>
      </c>
    </row>
    <row r="5718" spans="1:14" x14ac:dyDescent="0.25">
      <c r="A5718" s="2" t="s">
        <v>972</v>
      </c>
      <c r="B5718" s="2" t="s">
        <v>973</v>
      </c>
      <c r="C5718" s="3">
        <v>11.404999999999999</v>
      </c>
      <c r="D5718" s="4">
        <v>369.29390000000001</v>
      </c>
      <c r="E5718" s="4">
        <v>248.05875</v>
      </c>
      <c r="F5718" s="4">
        <f t="shared" si="317"/>
        <v>121.23515</v>
      </c>
      <c r="G5718" s="5">
        <f t="shared" si="318"/>
        <v>0.32828906732550955</v>
      </c>
      <c r="H5718" s="2" t="s">
        <v>5</v>
      </c>
      <c r="I5718" s="6" t="s">
        <v>2300</v>
      </c>
      <c r="J5718" s="2" t="s">
        <v>5</v>
      </c>
      <c r="K5718" s="2" t="s">
        <v>5</v>
      </c>
      <c r="L5718" s="2" t="s">
        <v>5</v>
      </c>
      <c r="M5718" s="2" t="s">
        <v>5</v>
      </c>
      <c r="N5718" s="4">
        <v>0</v>
      </c>
    </row>
    <row r="5719" spans="1:14" x14ac:dyDescent="0.25">
      <c r="A5719" s="2" t="s">
        <v>972</v>
      </c>
      <c r="B5719" s="2" t="s">
        <v>973</v>
      </c>
      <c r="C5719" s="3">
        <v>2.2160000000000002</v>
      </c>
      <c r="D5719" s="4">
        <v>71.754080000000002</v>
      </c>
      <c r="E5719" s="4">
        <v>48.198</v>
      </c>
      <c r="F5719" s="4">
        <f t="shared" si="317"/>
        <v>23.556080000000001</v>
      </c>
      <c r="G5719" s="5">
        <f t="shared" si="318"/>
        <v>0.32828906732550961</v>
      </c>
      <c r="H5719" s="2" t="s">
        <v>5</v>
      </c>
      <c r="I5719" s="6" t="s">
        <v>2300</v>
      </c>
      <c r="J5719" s="2" t="s">
        <v>5</v>
      </c>
      <c r="K5719" s="2" t="s">
        <v>5</v>
      </c>
      <c r="L5719" s="2" t="s">
        <v>5</v>
      </c>
      <c r="M5719" s="2" t="s">
        <v>5</v>
      </c>
      <c r="N5719" s="4">
        <v>0</v>
      </c>
    </row>
    <row r="5720" spans="1:14" x14ac:dyDescent="0.25">
      <c r="A5720" s="2" t="s">
        <v>972</v>
      </c>
      <c r="B5720" s="2" t="s">
        <v>973</v>
      </c>
      <c r="C5720" s="3">
        <v>6.63</v>
      </c>
      <c r="D5720" s="4">
        <v>214.67939999999999</v>
      </c>
      <c r="E5720" s="4">
        <v>144.20249999999999</v>
      </c>
      <c r="F5720" s="4">
        <f t="shared" si="317"/>
        <v>70.476900000000001</v>
      </c>
      <c r="G5720" s="5">
        <f t="shared" si="318"/>
        <v>0.32828906732550961</v>
      </c>
      <c r="H5720" s="2" t="s">
        <v>5</v>
      </c>
      <c r="I5720" s="6" t="s">
        <v>2300</v>
      </c>
      <c r="J5720" s="2" t="s">
        <v>5</v>
      </c>
      <c r="K5720" s="2" t="s">
        <v>5</v>
      </c>
      <c r="L5720" s="2" t="s">
        <v>5</v>
      </c>
      <c r="M5720" s="2" t="s">
        <v>5</v>
      </c>
      <c r="N5720" s="4">
        <v>0</v>
      </c>
    </row>
    <row r="5721" spans="1:14" x14ac:dyDescent="0.25">
      <c r="A5721" s="2" t="s">
        <v>972</v>
      </c>
      <c r="B5721" s="2" t="s">
        <v>973</v>
      </c>
      <c r="C5721" s="3">
        <v>4</v>
      </c>
      <c r="D5721" s="4">
        <v>129.52000000000001</v>
      </c>
      <c r="E5721" s="4">
        <v>87</v>
      </c>
      <c r="F5721" s="4">
        <f t="shared" si="317"/>
        <v>42.52000000000001</v>
      </c>
      <c r="G5721" s="5">
        <f t="shared" si="318"/>
        <v>0.32828906732550961</v>
      </c>
      <c r="H5721" s="2" t="s">
        <v>5</v>
      </c>
      <c r="I5721" s="6" t="s">
        <v>2300</v>
      </c>
      <c r="J5721" s="2" t="s">
        <v>5</v>
      </c>
      <c r="K5721" s="2" t="s">
        <v>5</v>
      </c>
      <c r="L5721" s="2" t="s">
        <v>5</v>
      </c>
      <c r="M5721" s="2" t="s">
        <v>5</v>
      </c>
      <c r="N5721" s="4">
        <v>0</v>
      </c>
    </row>
    <row r="5722" spans="1:14" x14ac:dyDescent="0.25">
      <c r="A5722" s="2" t="s">
        <v>972</v>
      </c>
      <c r="B5722" s="2" t="s">
        <v>973</v>
      </c>
      <c r="C5722" s="3">
        <v>4.29</v>
      </c>
      <c r="D5722" s="4">
        <v>138.9102</v>
      </c>
      <c r="E5722" s="4">
        <v>93.307500000000005</v>
      </c>
      <c r="F5722" s="4">
        <f t="shared" si="317"/>
        <v>45.602699999999999</v>
      </c>
      <c r="G5722" s="5">
        <f t="shared" si="318"/>
        <v>0.32828906732550955</v>
      </c>
      <c r="H5722" s="2" t="s">
        <v>5</v>
      </c>
      <c r="I5722" s="6" t="s">
        <v>2300</v>
      </c>
      <c r="J5722" s="2" t="s">
        <v>5</v>
      </c>
      <c r="K5722" s="2" t="s">
        <v>5</v>
      </c>
      <c r="L5722" s="2" t="s">
        <v>5</v>
      </c>
      <c r="M5722" s="2" t="s">
        <v>5</v>
      </c>
      <c r="N5722" s="4">
        <v>0</v>
      </c>
    </row>
    <row r="5723" spans="1:14" x14ac:dyDescent="0.25">
      <c r="A5723" s="2" t="s">
        <v>124</v>
      </c>
      <c r="B5723" s="2" t="s">
        <v>125</v>
      </c>
      <c r="C5723" s="3">
        <v>14.98</v>
      </c>
      <c r="D5723" s="4">
        <v>464.23020000000002</v>
      </c>
      <c r="E5723" s="4">
        <v>325.815</v>
      </c>
      <c r="F5723" s="4">
        <f t="shared" si="317"/>
        <v>138.41520000000003</v>
      </c>
      <c r="G5723" s="5">
        <f t="shared" si="318"/>
        <v>0.29816069699903197</v>
      </c>
      <c r="H5723" s="2" t="s">
        <v>5</v>
      </c>
      <c r="I5723" s="6" t="s">
        <v>2300</v>
      </c>
      <c r="J5723" s="2" t="s">
        <v>5</v>
      </c>
      <c r="K5723" s="2" t="s">
        <v>5</v>
      </c>
      <c r="L5723" s="2" t="s">
        <v>5</v>
      </c>
      <c r="M5723" s="2" t="s">
        <v>5</v>
      </c>
      <c r="N5723" s="4">
        <v>0</v>
      </c>
    </row>
    <row r="5724" spans="1:14" x14ac:dyDescent="0.25">
      <c r="A5724" s="2" t="s">
        <v>124</v>
      </c>
      <c r="B5724" s="2" t="s">
        <v>125</v>
      </c>
      <c r="C5724" s="3">
        <v>11.698</v>
      </c>
      <c r="D5724" s="4">
        <v>378.78124000000003</v>
      </c>
      <c r="E5724" s="4">
        <v>254.4315</v>
      </c>
      <c r="F5724" s="4">
        <f t="shared" si="317"/>
        <v>124.34974000000003</v>
      </c>
      <c r="G5724" s="5">
        <f t="shared" si="318"/>
        <v>0.32828906732550961</v>
      </c>
      <c r="H5724" s="2" t="s">
        <v>5</v>
      </c>
      <c r="I5724" s="6" t="s">
        <v>2300</v>
      </c>
      <c r="J5724" s="2" t="s">
        <v>5</v>
      </c>
      <c r="K5724" s="2" t="s">
        <v>5</v>
      </c>
      <c r="L5724" s="2" t="s">
        <v>5</v>
      </c>
      <c r="M5724" s="2" t="s">
        <v>5</v>
      </c>
      <c r="N5724" s="4">
        <v>0</v>
      </c>
    </row>
    <row r="5725" spans="1:14" x14ac:dyDescent="0.25">
      <c r="A5725" s="2" t="s">
        <v>124</v>
      </c>
      <c r="B5725" s="2" t="s">
        <v>125</v>
      </c>
      <c r="C5725" s="3">
        <v>4.4400000000000004</v>
      </c>
      <c r="D5725" s="4">
        <v>134.976</v>
      </c>
      <c r="E5725" s="4">
        <v>96.57</v>
      </c>
      <c r="F5725" s="4">
        <f t="shared" si="317"/>
        <v>38.406000000000006</v>
      </c>
      <c r="G5725" s="5">
        <f t="shared" si="318"/>
        <v>0.28453947368421056</v>
      </c>
      <c r="H5725" s="2" t="s">
        <v>5</v>
      </c>
      <c r="I5725" s="6" t="s">
        <v>2300</v>
      </c>
      <c r="J5725" s="2" t="s">
        <v>5</v>
      </c>
      <c r="K5725" s="2" t="s">
        <v>5</v>
      </c>
      <c r="L5725" s="2" t="s">
        <v>5</v>
      </c>
      <c r="M5725" s="2" t="s">
        <v>5</v>
      </c>
      <c r="N5725" s="4">
        <v>0</v>
      </c>
    </row>
    <row r="5726" spans="1:14" x14ac:dyDescent="0.25">
      <c r="A5726" s="2" t="s">
        <v>124</v>
      </c>
      <c r="B5726" s="2" t="s">
        <v>125</v>
      </c>
      <c r="C5726" s="3">
        <v>7.7</v>
      </c>
      <c r="D5726" s="4">
        <v>230.23</v>
      </c>
      <c r="E5726" s="4">
        <v>167.47499999999999</v>
      </c>
      <c r="F5726" s="4">
        <f t="shared" si="317"/>
        <v>62.754999999999995</v>
      </c>
      <c r="G5726" s="5">
        <f t="shared" si="318"/>
        <v>0.27257525083612039</v>
      </c>
      <c r="H5726" s="2" t="s">
        <v>5</v>
      </c>
      <c r="I5726" s="6" t="s">
        <v>2300</v>
      </c>
      <c r="J5726" s="2" t="s">
        <v>5</v>
      </c>
      <c r="K5726" s="2" t="s">
        <v>5</v>
      </c>
      <c r="L5726" s="2" t="s">
        <v>5</v>
      </c>
      <c r="M5726" s="2" t="s">
        <v>5</v>
      </c>
      <c r="N5726" s="4">
        <v>0</v>
      </c>
    </row>
    <row r="5727" spans="1:14" x14ac:dyDescent="0.25">
      <c r="A5727" s="2" t="s">
        <v>124</v>
      </c>
      <c r="B5727" s="2" t="s">
        <v>125</v>
      </c>
      <c r="C5727" s="3">
        <v>14.73</v>
      </c>
      <c r="D5727" s="4">
        <v>456.48270000000002</v>
      </c>
      <c r="E5727" s="4">
        <v>320.3775</v>
      </c>
      <c r="F5727" s="4">
        <f t="shared" si="317"/>
        <v>136.10520000000002</v>
      </c>
      <c r="G5727" s="5">
        <f t="shared" si="318"/>
        <v>0.29816069699903197</v>
      </c>
      <c r="H5727" s="2" t="s">
        <v>5</v>
      </c>
      <c r="I5727" s="6" t="s">
        <v>2300</v>
      </c>
      <c r="J5727" s="2" t="s">
        <v>5</v>
      </c>
      <c r="K5727" s="2" t="s">
        <v>5</v>
      </c>
      <c r="L5727" s="2" t="s">
        <v>5</v>
      </c>
      <c r="M5727" s="2" t="s">
        <v>5</v>
      </c>
      <c r="N5727" s="4">
        <v>0</v>
      </c>
    </row>
    <row r="5728" spans="1:14" x14ac:dyDescent="0.25">
      <c r="A5728" s="2" t="s">
        <v>124</v>
      </c>
      <c r="B5728" s="2" t="s">
        <v>125</v>
      </c>
      <c r="C5728" s="3">
        <v>8.7750000000000004</v>
      </c>
      <c r="D5728" s="4">
        <v>284.1345</v>
      </c>
      <c r="E5728" s="4">
        <v>190.85624999999999</v>
      </c>
      <c r="F5728" s="4">
        <f t="shared" si="317"/>
        <v>93.278250000000014</v>
      </c>
      <c r="G5728" s="5">
        <f t="shared" si="318"/>
        <v>0.32828906732550961</v>
      </c>
      <c r="H5728" s="2" t="s">
        <v>5</v>
      </c>
      <c r="I5728" s="6" t="s">
        <v>2300</v>
      </c>
      <c r="J5728" s="2" t="s">
        <v>5</v>
      </c>
      <c r="K5728" s="2" t="s">
        <v>5</v>
      </c>
      <c r="L5728" s="2" t="s">
        <v>5</v>
      </c>
      <c r="M5728" s="2" t="s">
        <v>5</v>
      </c>
      <c r="N5728" s="4">
        <v>0</v>
      </c>
    </row>
    <row r="5729" spans="1:14" x14ac:dyDescent="0.25">
      <c r="A5729" s="2" t="s">
        <v>124</v>
      </c>
      <c r="B5729" s="2" t="s">
        <v>125</v>
      </c>
      <c r="C5729" s="3">
        <v>4.46</v>
      </c>
      <c r="D5729" s="4">
        <v>144.41480000000001</v>
      </c>
      <c r="E5729" s="4">
        <v>97.004999999999995</v>
      </c>
      <c r="F5729" s="4">
        <f t="shared" ref="F5729:F5792" si="319">D5729-E5729</f>
        <v>47.409800000000018</v>
      </c>
      <c r="G5729" s="5">
        <f t="shared" ref="G5729:G5792" si="320">IF(((D5729)=0),0,(D5729-E5729)/ D5729)</f>
        <v>0.32828906732550966</v>
      </c>
      <c r="H5729" s="2" t="s">
        <v>5</v>
      </c>
      <c r="I5729" s="6" t="s">
        <v>2300</v>
      </c>
      <c r="J5729" s="2" t="s">
        <v>5</v>
      </c>
      <c r="K5729" s="2" t="s">
        <v>5</v>
      </c>
      <c r="L5729" s="2" t="s">
        <v>5</v>
      </c>
      <c r="M5729" s="2" t="s">
        <v>5</v>
      </c>
      <c r="N5729" s="4">
        <v>0</v>
      </c>
    </row>
    <row r="5730" spans="1:14" x14ac:dyDescent="0.25">
      <c r="A5730" s="2" t="s">
        <v>124</v>
      </c>
      <c r="B5730" s="2" t="s">
        <v>125</v>
      </c>
      <c r="C5730" s="3">
        <v>43.185000000000002</v>
      </c>
      <c r="D5730" s="4">
        <v>1183.7008499999999</v>
      </c>
      <c r="E5730" s="4">
        <v>939.27374999999995</v>
      </c>
      <c r="F5730" s="4">
        <f t="shared" si="319"/>
        <v>244.4271</v>
      </c>
      <c r="G5730" s="5">
        <f t="shared" si="320"/>
        <v>0.20649398029916088</v>
      </c>
      <c r="H5730" s="2" t="s">
        <v>5</v>
      </c>
      <c r="I5730" s="6" t="s">
        <v>2300</v>
      </c>
      <c r="J5730" s="2" t="s">
        <v>5</v>
      </c>
      <c r="K5730" s="2" t="s">
        <v>5</v>
      </c>
      <c r="L5730" s="2" t="s">
        <v>5</v>
      </c>
      <c r="M5730" s="2" t="s">
        <v>5</v>
      </c>
      <c r="N5730" s="4">
        <v>0</v>
      </c>
    </row>
    <row r="5731" spans="1:14" x14ac:dyDescent="0.25">
      <c r="A5731" s="2" t="s">
        <v>124</v>
      </c>
      <c r="B5731" s="2" t="s">
        <v>125</v>
      </c>
      <c r="C5731" s="3">
        <v>4.32</v>
      </c>
      <c r="D5731" s="4">
        <v>129.16800000000001</v>
      </c>
      <c r="E5731" s="4">
        <v>93.96</v>
      </c>
      <c r="F5731" s="4">
        <f t="shared" si="319"/>
        <v>35.208000000000013</v>
      </c>
      <c r="G5731" s="5">
        <f t="shared" si="320"/>
        <v>0.2725752508361205</v>
      </c>
      <c r="H5731" s="2" t="s">
        <v>5</v>
      </c>
      <c r="I5731" s="6" t="s">
        <v>2300</v>
      </c>
      <c r="J5731" s="2" t="s">
        <v>5</v>
      </c>
      <c r="K5731" s="2" t="s">
        <v>5</v>
      </c>
      <c r="L5731" s="2" t="s">
        <v>5</v>
      </c>
      <c r="M5731" s="2" t="s">
        <v>5</v>
      </c>
      <c r="N5731" s="4">
        <v>0</v>
      </c>
    </row>
    <row r="5732" spans="1:14" x14ac:dyDescent="0.25">
      <c r="A5732" s="2" t="s">
        <v>124</v>
      </c>
      <c r="B5732" s="2" t="s">
        <v>125</v>
      </c>
      <c r="C5732" s="3">
        <v>22.65</v>
      </c>
      <c r="D5732" s="4">
        <v>733.40700000000004</v>
      </c>
      <c r="E5732" s="4">
        <v>492.63749999999999</v>
      </c>
      <c r="F5732" s="4">
        <f t="shared" si="319"/>
        <v>240.76950000000005</v>
      </c>
      <c r="G5732" s="5">
        <f t="shared" si="320"/>
        <v>0.32828906732550961</v>
      </c>
      <c r="H5732" s="2" t="s">
        <v>5</v>
      </c>
      <c r="I5732" s="6" t="s">
        <v>2300</v>
      </c>
      <c r="J5732" s="2" t="s">
        <v>5</v>
      </c>
      <c r="K5732" s="2" t="s">
        <v>5</v>
      </c>
      <c r="L5732" s="2" t="s">
        <v>5</v>
      </c>
      <c r="M5732" s="2" t="s">
        <v>5</v>
      </c>
      <c r="N5732" s="4">
        <v>0</v>
      </c>
    </row>
    <row r="5733" spans="1:14" x14ac:dyDescent="0.25">
      <c r="A5733" s="2" t="s">
        <v>124</v>
      </c>
      <c r="B5733" s="2" t="s">
        <v>125</v>
      </c>
      <c r="C5733" s="3">
        <v>9.01</v>
      </c>
      <c r="D5733" s="4">
        <v>291.74380000000002</v>
      </c>
      <c r="E5733" s="4">
        <v>195.9675</v>
      </c>
      <c r="F5733" s="4">
        <f t="shared" si="319"/>
        <v>95.77630000000002</v>
      </c>
      <c r="G5733" s="5">
        <f t="shared" si="320"/>
        <v>0.32828906732550961</v>
      </c>
      <c r="H5733" s="2" t="s">
        <v>5</v>
      </c>
      <c r="I5733" s="6" t="s">
        <v>2300</v>
      </c>
      <c r="J5733" s="2" t="s">
        <v>5</v>
      </c>
      <c r="K5733" s="2" t="s">
        <v>5</v>
      </c>
      <c r="L5733" s="2" t="s">
        <v>5</v>
      </c>
      <c r="M5733" s="2" t="s">
        <v>5</v>
      </c>
      <c r="N5733" s="4">
        <v>0</v>
      </c>
    </row>
    <row r="5734" spans="1:14" x14ac:dyDescent="0.25">
      <c r="A5734" s="2" t="s">
        <v>124</v>
      </c>
      <c r="B5734" s="2" t="s">
        <v>125</v>
      </c>
      <c r="C5734" s="3">
        <v>3.07</v>
      </c>
      <c r="D5734" s="4">
        <v>99.406599999999997</v>
      </c>
      <c r="E5734" s="4">
        <v>66.772499999999994</v>
      </c>
      <c r="F5734" s="4">
        <f t="shared" si="319"/>
        <v>32.634100000000004</v>
      </c>
      <c r="G5734" s="5">
        <f t="shared" si="320"/>
        <v>0.32828906732550961</v>
      </c>
      <c r="H5734" s="2" t="s">
        <v>5</v>
      </c>
      <c r="I5734" s="6" t="s">
        <v>2300</v>
      </c>
      <c r="J5734" s="2" t="s">
        <v>5</v>
      </c>
      <c r="K5734" s="2" t="s">
        <v>5</v>
      </c>
      <c r="L5734" s="2" t="s">
        <v>5</v>
      </c>
      <c r="M5734" s="2" t="s">
        <v>5</v>
      </c>
      <c r="N5734" s="4">
        <v>0</v>
      </c>
    </row>
    <row r="5735" spans="1:14" x14ac:dyDescent="0.25">
      <c r="A5735" s="2" t="s">
        <v>124</v>
      </c>
      <c r="B5735" s="2" t="s">
        <v>125</v>
      </c>
      <c r="C5735" s="3">
        <v>7.22</v>
      </c>
      <c r="D5735" s="4">
        <v>233.78360000000001</v>
      </c>
      <c r="E5735" s="4">
        <v>157.035</v>
      </c>
      <c r="F5735" s="4">
        <f t="shared" si="319"/>
        <v>76.74860000000001</v>
      </c>
      <c r="G5735" s="5">
        <f t="shared" si="320"/>
        <v>0.32828906732550961</v>
      </c>
      <c r="H5735" s="2" t="s">
        <v>5</v>
      </c>
      <c r="I5735" s="6" t="s">
        <v>2300</v>
      </c>
      <c r="J5735" s="2" t="s">
        <v>5</v>
      </c>
      <c r="K5735" s="2" t="s">
        <v>5</v>
      </c>
      <c r="L5735" s="2" t="s">
        <v>5</v>
      </c>
      <c r="M5735" s="2" t="s">
        <v>5</v>
      </c>
      <c r="N5735" s="4">
        <v>0</v>
      </c>
    </row>
    <row r="5736" spans="1:14" x14ac:dyDescent="0.25">
      <c r="A5736" s="2" t="s">
        <v>124</v>
      </c>
      <c r="B5736" s="2" t="s">
        <v>125</v>
      </c>
      <c r="C5736" s="3">
        <v>17.331</v>
      </c>
      <c r="D5736" s="4">
        <v>518.19690000000003</v>
      </c>
      <c r="E5736" s="4">
        <v>376.94925000000001</v>
      </c>
      <c r="F5736" s="4">
        <f t="shared" si="319"/>
        <v>141.24765000000002</v>
      </c>
      <c r="G5736" s="5">
        <f t="shared" si="320"/>
        <v>0.27257525083612044</v>
      </c>
      <c r="H5736" s="2" t="s">
        <v>5</v>
      </c>
      <c r="I5736" s="6" t="s">
        <v>2300</v>
      </c>
      <c r="J5736" s="2" t="s">
        <v>5</v>
      </c>
      <c r="K5736" s="2" t="s">
        <v>5</v>
      </c>
      <c r="L5736" s="2" t="s">
        <v>5</v>
      </c>
      <c r="M5736" s="2" t="s">
        <v>5</v>
      </c>
      <c r="N5736" s="4">
        <v>0</v>
      </c>
    </row>
    <row r="5737" spans="1:14" x14ac:dyDescent="0.25">
      <c r="A5737" s="2" t="s">
        <v>124</v>
      </c>
      <c r="B5737" s="2" t="s">
        <v>125</v>
      </c>
      <c r="C5737" s="3">
        <v>6.01</v>
      </c>
      <c r="D5737" s="4">
        <v>194.60380000000001</v>
      </c>
      <c r="E5737" s="4">
        <v>130.7175</v>
      </c>
      <c r="F5737" s="4">
        <f t="shared" si="319"/>
        <v>63.886300000000006</v>
      </c>
      <c r="G5737" s="5">
        <f t="shared" si="320"/>
        <v>0.32828906732550961</v>
      </c>
      <c r="H5737" s="2" t="s">
        <v>5</v>
      </c>
      <c r="I5737" s="6" t="s">
        <v>2300</v>
      </c>
      <c r="J5737" s="2" t="s">
        <v>5</v>
      </c>
      <c r="K5737" s="2" t="s">
        <v>5</v>
      </c>
      <c r="L5737" s="2" t="s">
        <v>5</v>
      </c>
      <c r="M5737" s="2" t="s">
        <v>5</v>
      </c>
      <c r="N5737" s="4">
        <v>0</v>
      </c>
    </row>
    <row r="5738" spans="1:14" x14ac:dyDescent="0.25">
      <c r="A5738" s="2" t="s">
        <v>124</v>
      </c>
      <c r="B5738" s="2" t="s">
        <v>125</v>
      </c>
      <c r="C5738" s="3">
        <v>4.43</v>
      </c>
      <c r="D5738" s="4">
        <v>143.4434</v>
      </c>
      <c r="E5738" s="4">
        <v>96.352500000000006</v>
      </c>
      <c r="F5738" s="4">
        <f t="shared" si="319"/>
        <v>47.090899999999991</v>
      </c>
      <c r="G5738" s="5">
        <f t="shared" si="320"/>
        <v>0.3282890673255095</v>
      </c>
      <c r="H5738" s="2" t="s">
        <v>5</v>
      </c>
      <c r="I5738" s="6" t="s">
        <v>2300</v>
      </c>
      <c r="J5738" s="2" t="s">
        <v>5</v>
      </c>
      <c r="K5738" s="2" t="s">
        <v>5</v>
      </c>
      <c r="L5738" s="2" t="s">
        <v>5</v>
      </c>
      <c r="M5738" s="2" t="s">
        <v>5</v>
      </c>
      <c r="N5738" s="4">
        <v>0</v>
      </c>
    </row>
    <row r="5739" spans="1:14" x14ac:dyDescent="0.25">
      <c r="A5739" s="2" t="s">
        <v>124</v>
      </c>
      <c r="B5739" s="2" t="s">
        <v>125</v>
      </c>
      <c r="C5739" s="3">
        <v>14.824999999999999</v>
      </c>
      <c r="D5739" s="4">
        <v>458.24074999999999</v>
      </c>
      <c r="E5739" s="4">
        <v>322.44375000000002</v>
      </c>
      <c r="F5739" s="4">
        <f t="shared" si="319"/>
        <v>135.79699999999997</v>
      </c>
      <c r="G5739" s="5">
        <f t="shared" si="320"/>
        <v>0.29634422516984787</v>
      </c>
      <c r="H5739" s="2" t="s">
        <v>5</v>
      </c>
      <c r="I5739" s="6" t="s">
        <v>2300</v>
      </c>
      <c r="J5739" s="2" t="s">
        <v>5</v>
      </c>
      <c r="K5739" s="2" t="s">
        <v>5</v>
      </c>
      <c r="L5739" s="2" t="s">
        <v>5</v>
      </c>
      <c r="M5739" s="2" t="s">
        <v>5</v>
      </c>
      <c r="N5739" s="4">
        <v>0</v>
      </c>
    </row>
    <row r="5740" spans="1:14" x14ac:dyDescent="0.25">
      <c r="A5740" s="2" t="s">
        <v>124</v>
      </c>
      <c r="B5740" s="2" t="s">
        <v>125</v>
      </c>
      <c r="C5740" s="3">
        <v>10.105</v>
      </c>
      <c r="D5740" s="4">
        <v>327.19990000000001</v>
      </c>
      <c r="E5740" s="4">
        <v>219.78375</v>
      </c>
      <c r="F5740" s="4">
        <f t="shared" si="319"/>
        <v>107.41615000000002</v>
      </c>
      <c r="G5740" s="5">
        <f t="shared" si="320"/>
        <v>0.32828906732550961</v>
      </c>
      <c r="H5740" s="2" t="s">
        <v>5</v>
      </c>
      <c r="I5740" s="6" t="s">
        <v>2300</v>
      </c>
      <c r="J5740" s="2" t="s">
        <v>5</v>
      </c>
      <c r="K5740" s="2" t="s">
        <v>5</v>
      </c>
      <c r="L5740" s="2" t="s">
        <v>5</v>
      </c>
      <c r="M5740" s="2" t="s">
        <v>5</v>
      </c>
      <c r="N5740" s="4">
        <v>0</v>
      </c>
    </row>
    <row r="5741" spans="1:14" x14ac:dyDescent="0.25">
      <c r="A5741" s="2" t="s">
        <v>124</v>
      </c>
      <c r="B5741" s="2" t="s">
        <v>125</v>
      </c>
      <c r="C5741" s="3">
        <v>14.89</v>
      </c>
      <c r="D5741" s="4">
        <v>454.74059999999997</v>
      </c>
      <c r="E5741" s="4">
        <v>323.85750000000002</v>
      </c>
      <c r="F5741" s="4">
        <f t="shared" si="319"/>
        <v>130.88309999999996</v>
      </c>
      <c r="G5741" s="5">
        <f t="shared" si="320"/>
        <v>0.28781925343811388</v>
      </c>
      <c r="H5741" s="2" t="s">
        <v>5</v>
      </c>
      <c r="I5741" s="6" t="s">
        <v>2300</v>
      </c>
      <c r="J5741" s="2" t="s">
        <v>5</v>
      </c>
      <c r="K5741" s="2" t="s">
        <v>5</v>
      </c>
      <c r="L5741" s="2" t="s">
        <v>5</v>
      </c>
      <c r="M5741" s="2" t="s">
        <v>5</v>
      </c>
      <c r="N5741" s="4">
        <v>0</v>
      </c>
    </row>
    <row r="5742" spans="1:14" x14ac:dyDescent="0.25">
      <c r="A5742" s="2" t="s">
        <v>124</v>
      </c>
      <c r="B5742" s="2" t="s">
        <v>125</v>
      </c>
      <c r="C5742" s="3">
        <v>3.0059999999999998</v>
      </c>
      <c r="D5742" s="4">
        <v>95.921459999999996</v>
      </c>
      <c r="E5742" s="4">
        <v>65.380499999999998</v>
      </c>
      <c r="F5742" s="4">
        <f t="shared" si="319"/>
        <v>30.540959999999998</v>
      </c>
      <c r="G5742" s="5">
        <f t="shared" si="320"/>
        <v>0.31839548730805389</v>
      </c>
      <c r="H5742" s="2" t="s">
        <v>5</v>
      </c>
      <c r="I5742" s="6" t="s">
        <v>2300</v>
      </c>
      <c r="J5742" s="2" t="s">
        <v>5</v>
      </c>
      <c r="K5742" s="2" t="s">
        <v>5</v>
      </c>
      <c r="L5742" s="2" t="s">
        <v>5</v>
      </c>
      <c r="M5742" s="2" t="s">
        <v>5</v>
      </c>
      <c r="N5742" s="4">
        <v>0</v>
      </c>
    </row>
    <row r="5743" spans="1:14" x14ac:dyDescent="0.25">
      <c r="A5743" s="2" t="s">
        <v>57</v>
      </c>
      <c r="B5743" s="2" t="s">
        <v>58</v>
      </c>
      <c r="C5743" s="3">
        <v>8</v>
      </c>
      <c r="D5743" s="4">
        <v>245.28</v>
      </c>
      <c r="E5743" s="4">
        <v>158.08000000000001</v>
      </c>
      <c r="F5743" s="4">
        <f t="shared" si="319"/>
        <v>87.199999999999989</v>
      </c>
      <c r="G5743" s="5">
        <f t="shared" si="320"/>
        <v>0.35551206784083489</v>
      </c>
      <c r="H5743" s="2" t="s">
        <v>5</v>
      </c>
      <c r="I5743" s="6" t="s">
        <v>2300</v>
      </c>
      <c r="J5743" s="2" t="s">
        <v>5</v>
      </c>
      <c r="K5743" s="2" t="s">
        <v>5</v>
      </c>
      <c r="L5743" s="2" t="s">
        <v>5</v>
      </c>
      <c r="M5743" s="2" t="s">
        <v>5</v>
      </c>
      <c r="N5743" s="4">
        <v>0</v>
      </c>
    </row>
    <row r="5744" spans="1:14" x14ac:dyDescent="0.25">
      <c r="A5744" s="2" t="s">
        <v>57</v>
      </c>
      <c r="B5744" s="2" t="s">
        <v>58</v>
      </c>
      <c r="C5744" s="3">
        <v>4</v>
      </c>
      <c r="D5744" s="4">
        <v>122.64</v>
      </c>
      <c r="E5744" s="4">
        <v>79.040000000000006</v>
      </c>
      <c r="F5744" s="4">
        <f t="shared" si="319"/>
        <v>43.599999999999994</v>
      </c>
      <c r="G5744" s="5">
        <f t="shared" si="320"/>
        <v>0.35551206784083489</v>
      </c>
      <c r="H5744" s="2" t="s">
        <v>5</v>
      </c>
      <c r="I5744" s="6" t="s">
        <v>2300</v>
      </c>
      <c r="J5744" s="2" t="s">
        <v>5</v>
      </c>
      <c r="K5744" s="2" t="s">
        <v>5</v>
      </c>
      <c r="L5744" s="2" t="s">
        <v>5</v>
      </c>
      <c r="M5744" s="2" t="s">
        <v>5</v>
      </c>
      <c r="N5744" s="4">
        <v>0</v>
      </c>
    </row>
    <row r="5745" spans="1:14" x14ac:dyDescent="0.25">
      <c r="A5745" s="2" t="s">
        <v>57</v>
      </c>
      <c r="B5745" s="2" t="s">
        <v>58</v>
      </c>
      <c r="C5745" s="3">
        <v>5</v>
      </c>
      <c r="D5745" s="4">
        <v>135.1</v>
      </c>
      <c r="E5745" s="4">
        <v>98.8</v>
      </c>
      <c r="F5745" s="4">
        <f t="shared" si="319"/>
        <v>36.299999999999997</v>
      </c>
      <c r="G5745" s="5">
        <f t="shared" si="320"/>
        <v>0.26868985936343448</v>
      </c>
      <c r="H5745" s="2" t="s">
        <v>5</v>
      </c>
      <c r="I5745" s="6" t="s">
        <v>2300</v>
      </c>
      <c r="J5745" s="2" t="s">
        <v>5</v>
      </c>
      <c r="K5745" s="2" t="s">
        <v>5</v>
      </c>
      <c r="L5745" s="2" t="s">
        <v>5</v>
      </c>
      <c r="M5745" s="2" t="s">
        <v>5</v>
      </c>
      <c r="N5745" s="4">
        <v>0</v>
      </c>
    </row>
    <row r="5746" spans="1:14" x14ac:dyDescent="0.25">
      <c r="A5746" s="2" t="s">
        <v>57</v>
      </c>
      <c r="B5746" s="2" t="s">
        <v>58</v>
      </c>
      <c r="C5746" s="3">
        <v>4</v>
      </c>
      <c r="D5746" s="4">
        <v>122.64</v>
      </c>
      <c r="E5746" s="4">
        <v>79.040000000000006</v>
      </c>
      <c r="F5746" s="4">
        <f t="shared" si="319"/>
        <v>43.599999999999994</v>
      </c>
      <c r="G5746" s="5">
        <f t="shared" si="320"/>
        <v>0.35551206784083489</v>
      </c>
      <c r="H5746" s="2" t="s">
        <v>5</v>
      </c>
      <c r="I5746" s="6" t="s">
        <v>2300</v>
      </c>
      <c r="J5746" s="2" t="s">
        <v>5</v>
      </c>
      <c r="K5746" s="2" t="s">
        <v>5</v>
      </c>
      <c r="L5746" s="2" t="s">
        <v>5</v>
      </c>
      <c r="M5746" s="2" t="s">
        <v>5</v>
      </c>
      <c r="N5746" s="4">
        <v>0</v>
      </c>
    </row>
    <row r="5747" spans="1:14" x14ac:dyDescent="0.25">
      <c r="A5747" s="2" t="s">
        <v>250</v>
      </c>
      <c r="B5747" s="2" t="s">
        <v>251</v>
      </c>
      <c r="C5747" s="3">
        <v>10.199999999999999</v>
      </c>
      <c r="D5747" s="4">
        <v>144.22800000000001</v>
      </c>
      <c r="E5747" s="4">
        <v>86.7</v>
      </c>
      <c r="F5747" s="4">
        <f t="shared" si="319"/>
        <v>57.528000000000006</v>
      </c>
      <c r="G5747" s="5">
        <f t="shared" si="320"/>
        <v>0.39886845827439887</v>
      </c>
      <c r="H5747" s="2" t="s">
        <v>5</v>
      </c>
      <c r="I5747" s="6" t="s">
        <v>2300</v>
      </c>
      <c r="J5747" s="2" t="s">
        <v>5</v>
      </c>
      <c r="K5747" s="2" t="s">
        <v>5</v>
      </c>
      <c r="L5747" s="2" t="s">
        <v>5</v>
      </c>
      <c r="M5747" s="2" t="s">
        <v>5</v>
      </c>
      <c r="N5747" s="4">
        <v>0</v>
      </c>
    </row>
    <row r="5748" spans="1:14" x14ac:dyDescent="0.25">
      <c r="A5748" s="2" t="s">
        <v>250</v>
      </c>
      <c r="B5748" s="2" t="s">
        <v>251</v>
      </c>
      <c r="C5748" s="3">
        <v>21</v>
      </c>
      <c r="D5748" s="4">
        <v>264.39</v>
      </c>
      <c r="E5748" s="4">
        <v>178.5</v>
      </c>
      <c r="F5748" s="4">
        <f t="shared" si="319"/>
        <v>85.889999999999986</v>
      </c>
      <c r="G5748" s="5">
        <f t="shared" si="320"/>
        <v>0.32486100079428115</v>
      </c>
      <c r="H5748" s="2" t="s">
        <v>5</v>
      </c>
      <c r="I5748" s="6" t="s">
        <v>2300</v>
      </c>
      <c r="J5748" s="2" t="s">
        <v>5</v>
      </c>
      <c r="K5748" s="2" t="s">
        <v>5</v>
      </c>
      <c r="L5748" s="2" t="s">
        <v>5</v>
      </c>
      <c r="M5748" s="2" t="s">
        <v>5</v>
      </c>
      <c r="N5748" s="4">
        <v>0</v>
      </c>
    </row>
    <row r="5749" spans="1:14" x14ac:dyDescent="0.25">
      <c r="A5749" s="2" t="s">
        <v>250</v>
      </c>
      <c r="B5749" s="2" t="s">
        <v>251</v>
      </c>
      <c r="C5749" s="3">
        <v>69.900000000000006</v>
      </c>
      <c r="D5749" s="4">
        <v>880.04100000000005</v>
      </c>
      <c r="E5749" s="4">
        <v>594.15</v>
      </c>
      <c r="F5749" s="4">
        <f t="shared" si="319"/>
        <v>285.89100000000008</v>
      </c>
      <c r="G5749" s="5">
        <f t="shared" si="320"/>
        <v>0.32486100079428126</v>
      </c>
      <c r="H5749" s="2" t="s">
        <v>5</v>
      </c>
      <c r="I5749" s="6" t="s">
        <v>2300</v>
      </c>
      <c r="J5749" s="2" t="s">
        <v>5</v>
      </c>
      <c r="K5749" s="2" t="s">
        <v>5</v>
      </c>
      <c r="L5749" s="2" t="s">
        <v>5</v>
      </c>
      <c r="M5749" s="2" t="s">
        <v>5</v>
      </c>
      <c r="N5749" s="4">
        <v>0</v>
      </c>
    </row>
    <row r="5750" spans="1:14" x14ac:dyDescent="0.25">
      <c r="A5750" s="2" t="s">
        <v>250</v>
      </c>
      <c r="B5750" s="2" t="s">
        <v>251</v>
      </c>
      <c r="C5750" s="3">
        <v>23.3</v>
      </c>
      <c r="D5750" s="4">
        <v>330.86</v>
      </c>
      <c r="E5750" s="4">
        <v>198.05</v>
      </c>
      <c r="F5750" s="4">
        <f t="shared" si="319"/>
        <v>132.81</v>
      </c>
      <c r="G5750" s="5">
        <f t="shared" si="320"/>
        <v>0.40140845070422532</v>
      </c>
      <c r="H5750" s="2" t="s">
        <v>5</v>
      </c>
      <c r="I5750" s="6" t="s">
        <v>2300</v>
      </c>
      <c r="J5750" s="2" t="s">
        <v>5</v>
      </c>
      <c r="K5750" s="2" t="s">
        <v>5</v>
      </c>
      <c r="L5750" s="2" t="s">
        <v>5</v>
      </c>
      <c r="M5750" s="2" t="s">
        <v>5</v>
      </c>
      <c r="N5750" s="4">
        <v>0</v>
      </c>
    </row>
    <row r="5751" spans="1:14" x14ac:dyDescent="0.25">
      <c r="A5751" s="2" t="s">
        <v>250</v>
      </c>
      <c r="B5751" s="2" t="s">
        <v>251</v>
      </c>
      <c r="C5751" s="3">
        <v>23.1</v>
      </c>
      <c r="D5751" s="4">
        <v>284.82299999999998</v>
      </c>
      <c r="E5751" s="4">
        <v>196.35</v>
      </c>
      <c r="F5751" s="4">
        <f t="shared" si="319"/>
        <v>88.472999999999985</v>
      </c>
      <c r="G5751" s="5">
        <f t="shared" si="320"/>
        <v>0.3106244931062449</v>
      </c>
      <c r="H5751" s="2" t="s">
        <v>5</v>
      </c>
      <c r="I5751" s="6" t="s">
        <v>2300</v>
      </c>
      <c r="J5751" s="2" t="s">
        <v>5</v>
      </c>
      <c r="K5751" s="2" t="s">
        <v>5</v>
      </c>
      <c r="L5751" s="2" t="s">
        <v>5</v>
      </c>
      <c r="M5751" s="2" t="s">
        <v>5</v>
      </c>
      <c r="N5751" s="4">
        <v>0</v>
      </c>
    </row>
    <row r="5752" spans="1:14" x14ac:dyDescent="0.25">
      <c r="A5752" s="2" t="s">
        <v>250</v>
      </c>
      <c r="B5752" s="2" t="s">
        <v>251</v>
      </c>
      <c r="C5752" s="3">
        <v>8.1999999999999993</v>
      </c>
      <c r="D5752" s="4">
        <v>121.524</v>
      </c>
      <c r="E5752" s="4">
        <v>69.7</v>
      </c>
      <c r="F5752" s="4">
        <f t="shared" si="319"/>
        <v>51.823999999999998</v>
      </c>
      <c r="G5752" s="5">
        <f t="shared" si="320"/>
        <v>0.4264507422402159</v>
      </c>
      <c r="H5752" s="2" t="s">
        <v>5</v>
      </c>
      <c r="I5752" s="6" t="s">
        <v>2300</v>
      </c>
      <c r="J5752" s="2" t="s">
        <v>5</v>
      </c>
      <c r="K5752" s="2" t="s">
        <v>5</v>
      </c>
      <c r="L5752" s="2" t="s">
        <v>5</v>
      </c>
      <c r="M5752" s="2" t="s">
        <v>5</v>
      </c>
      <c r="N5752" s="4">
        <v>0</v>
      </c>
    </row>
    <row r="5753" spans="1:14" x14ac:dyDescent="0.25">
      <c r="A5753" s="2" t="s">
        <v>250</v>
      </c>
      <c r="B5753" s="2" t="s">
        <v>251</v>
      </c>
      <c r="C5753" s="3">
        <v>22.7</v>
      </c>
      <c r="D5753" s="4">
        <v>325.06400000000002</v>
      </c>
      <c r="E5753" s="4">
        <v>192.95</v>
      </c>
      <c r="F5753" s="4">
        <f t="shared" si="319"/>
        <v>132.11400000000003</v>
      </c>
      <c r="G5753" s="5">
        <f t="shared" si="320"/>
        <v>0.40642458100558665</v>
      </c>
      <c r="H5753" s="2" t="s">
        <v>5</v>
      </c>
      <c r="I5753" s="6" t="s">
        <v>2300</v>
      </c>
      <c r="J5753" s="2" t="s">
        <v>5</v>
      </c>
      <c r="K5753" s="2" t="s">
        <v>5</v>
      </c>
      <c r="L5753" s="2" t="s">
        <v>5</v>
      </c>
      <c r="M5753" s="2" t="s">
        <v>5</v>
      </c>
      <c r="N5753" s="4">
        <v>0</v>
      </c>
    </row>
    <row r="5754" spans="1:14" x14ac:dyDescent="0.25">
      <c r="A5754" s="2" t="s">
        <v>250</v>
      </c>
      <c r="B5754" s="2" t="s">
        <v>251</v>
      </c>
      <c r="C5754" s="3">
        <v>52.6</v>
      </c>
      <c r="D5754" s="4">
        <v>779.53200000000004</v>
      </c>
      <c r="E5754" s="4">
        <v>447.1</v>
      </c>
      <c r="F5754" s="4">
        <f t="shared" si="319"/>
        <v>332.43200000000002</v>
      </c>
      <c r="G5754" s="5">
        <f t="shared" si="320"/>
        <v>0.4264507422402159</v>
      </c>
      <c r="H5754" s="2" t="s">
        <v>5</v>
      </c>
      <c r="I5754" s="6" t="s">
        <v>2300</v>
      </c>
      <c r="J5754" s="2" t="s">
        <v>5</v>
      </c>
      <c r="K5754" s="2" t="s">
        <v>5</v>
      </c>
      <c r="L5754" s="2" t="s">
        <v>5</v>
      </c>
      <c r="M5754" s="2" t="s">
        <v>5</v>
      </c>
      <c r="N5754" s="4">
        <v>0</v>
      </c>
    </row>
    <row r="5755" spans="1:14" x14ac:dyDescent="0.25">
      <c r="A5755" s="2" t="s">
        <v>250</v>
      </c>
      <c r="B5755" s="2" t="s">
        <v>251</v>
      </c>
      <c r="C5755" s="3">
        <v>22.4</v>
      </c>
      <c r="D5755" s="4">
        <v>277.98399999999998</v>
      </c>
      <c r="E5755" s="4">
        <v>190.4</v>
      </c>
      <c r="F5755" s="4">
        <f t="shared" si="319"/>
        <v>87.583999999999975</v>
      </c>
      <c r="G5755" s="5">
        <f t="shared" si="320"/>
        <v>0.31506849315068486</v>
      </c>
      <c r="H5755" s="2" t="s">
        <v>5</v>
      </c>
      <c r="I5755" s="6" t="s">
        <v>2300</v>
      </c>
      <c r="J5755" s="2" t="s">
        <v>5</v>
      </c>
      <c r="K5755" s="2" t="s">
        <v>5</v>
      </c>
      <c r="L5755" s="2" t="s">
        <v>5</v>
      </c>
      <c r="M5755" s="2" t="s">
        <v>5</v>
      </c>
      <c r="N5755" s="4">
        <v>0</v>
      </c>
    </row>
    <row r="5756" spans="1:14" x14ac:dyDescent="0.25">
      <c r="A5756" s="2" t="s">
        <v>250</v>
      </c>
      <c r="B5756" s="2" t="s">
        <v>251</v>
      </c>
      <c r="C5756" s="3">
        <v>7.6539999999999999</v>
      </c>
      <c r="D5756" s="4">
        <v>113.43228000000001</v>
      </c>
      <c r="E5756" s="4">
        <v>65.058999999999997</v>
      </c>
      <c r="F5756" s="4">
        <f t="shared" si="319"/>
        <v>48.373280000000008</v>
      </c>
      <c r="G5756" s="5">
        <f t="shared" si="320"/>
        <v>0.42645074224021595</v>
      </c>
      <c r="H5756" s="2" t="s">
        <v>5</v>
      </c>
      <c r="I5756" s="6" t="s">
        <v>2300</v>
      </c>
      <c r="J5756" s="2" t="s">
        <v>5</v>
      </c>
      <c r="K5756" s="2" t="s">
        <v>5</v>
      </c>
      <c r="L5756" s="2" t="s">
        <v>5</v>
      </c>
      <c r="M5756" s="2" t="s">
        <v>5</v>
      </c>
      <c r="N5756" s="4">
        <v>0</v>
      </c>
    </row>
    <row r="5757" spans="1:14" x14ac:dyDescent="0.25">
      <c r="A5757" s="2" t="s">
        <v>250</v>
      </c>
      <c r="B5757" s="2" t="s">
        <v>251</v>
      </c>
      <c r="C5757" s="3">
        <v>4.16</v>
      </c>
      <c r="D5757" s="4">
        <v>61.651200000000003</v>
      </c>
      <c r="E5757" s="4">
        <v>35.36</v>
      </c>
      <c r="F5757" s="4">
        <f t="shared" si="319"/>
        <v>26.291200000000003</v>
      </c>
      <c r="G5757" s="5">
        <f t="shared" si="320"/>
        <v>0.42645074224021595</v>
      </c>
      <c r="H5757" s="2" t="s">
        <v>5</v>
      </c>
      <c r="I5757" s="6" t="s">
        <v>2300</v>
      </c>
      <c r="J5757" s="2" t="s">
        <v>5</v>
      </c>
      <c r="K5757" s="2" t="s">
        <v>5</v>
      </c>
      <c r="L5757" s="2" t="s">
        <v>5</v>
      </c>
      <c r="M5757" s="2" t="s">
        <v>5</v>
      </c>
      <c r="N5757" s="4">
        <v>0</v>
      </c>
    </row>
    <row r="5758" spans="1:14" x14ac:dyDescent="0.25">
      <c r="A5758" s="2" t="s">
        <v>250</v>
      </c>
      <c r="B5758" s="2" t="s">
        <v>251</v>
      </c>
      <c r="C5758" s="3">
        <v>22.3</v>
      </c>
      <c r="D5758" s="4">
        <v>330.48599999999999</v>
      </c>
      <c r="E5758" s="4">
        <v>189.55</v>
      </c>
      <c r="F5758" s="4">
        <f t="shared" si="319"/>
        <v>140.93599999999998</v>
      </c>
      <c r="G5758" s="5">
        <f t="shared" si="320"/>
        <v>0.4264507422402159</v>
      </c>
      <c r="H5758" s="2" t="s">
        <v>5</v>
      </c>
      <c r="I5758" s="6" t="s">
        <v>2300</v>
      </c>
      <c r="J5758" s="2" t="s">
        <v>5</v>
      </c>
      <c r="K5758" s="2" t="s">
        <v>5</v>
      </c>
      <c r="L5758" s="2" t="s">
        <v>5</v>
      </c>
      <c r="M5758" s="2" t="s">
        <v>5</v>
      </c>
      <c r="N5758" s="4">
        <v>0</v>
      </c>
    </row>
    <row r="5759" spans="1:14" x14ac:dyDescent="0.25">
      <c r="A5759" s="2" t="s">
        <v>250</v>
      </c>
      <c r="B5759" s="2" t="s">
        <v>251</v>
      </c>
      <c r="C5759" s="3">
        <v>45</v>
      </c>
      <c r="D5759" s="4">
        <v>566.54999999999995</v>
      </c>
      <c r="E5759" s="4">
        <v>382.5</v>
      </c>
      <c r="F5759" s="4">
        <f t="shared" si="319"/>
        <v>184.04999999999995</v>
      </c>
      <c r="G5759" s="5">
        <f t="shared" si="320"/>
        <v>0.3248610007942811</v>
      </c>
      <c r="H5759" s="2" t="s">
        <v>5</v>
      </c>
      <c r="I5759" s="6" t="s">
        <v>2300</v>
      </c>
      <c r="J5759" s="2" t="s">
        <v>5</v>
      </c>
      <c r="K5759" s="2" t="s">
        <v>5</v>
      </c>
      <c r="L5759" s="2" t="s">
        <v>5</v>
      </c>
      <c r="M5759" s="2" t="s">
        <v>5</v>
      </c>
      <c r="N5759" s="4">
        <v>0</v>
      </c>
    </row>
    <row r="5760" spans="1:14" x14ac:dyDescent="0.25">
      <c r="A5760" s="2" t="s">
        <v>250</v>
      </c>
      <c r="B5760" s="2" t="s">
        <v>251</v>
      </c>
      <c r="C5760" s="3">
        <v>24.6</v>
      </c>
      <c r="D5760" s="4">
        <v>314.63400000000001</v>
      </c>
      <c r="E5760" s="4">
        <v>209.1</v>
      </c>
      <c r="F5760" s="4">
        <f t="shared" si="319"/>
        <v>105.53400000000002</v>
      </c>
      <c r="G5760" s="5">
        <f t="shared" si="320"/>
        <v>0.33541829554339331</v>
      </c>
      <c r="H5760" s="2" t="s">
        <v>5</v>
      </c>
      <c r="I5760" s="6" t="s">
        <v>2300</v>
      </c>
      <c r="J5760" s="2" t="s">
        <v>5</v>
      </c>
      <c r="K5760" s="2" t="s">
        <v>5</v>
      </c>
      <c r="L5760" s="2" t="s">
        <v>5</v>
      </c>
      <c r="M5760" s="2" t="s">
        <v>5</v>
      </c>
      <c r="N5760" s="4">
        <v>0</v>
      </c>
    </row>
    <row r="5761" spans="1:14" x14ac:dyDescent="0.25">
      <c r="A5761" s="2" t="s">
        <v>250</v>
      </c>
      <c r="B5761" s="2" t="s">
        <v>251</v>
      </c>
      <c r="C5761" s="3">
        <v>20</v>
      </c>
      <c r="D5761" s="4">
        <v>255.8</v>
      </c>
      <c r="E5761" s="4">
        <v>170</v>
      </c>
      <c r="F5761" s="4">
        <f t="shared" si="319"/>
        <v>85.800000000000011</v>
      </c>
      <c r="G5761" s="5">
        <f t="shared" si="320"/>
        <v>0.33541829554339331</v>
      </c>
      <c r="H5761" s="2" t="s">
        <v>5</v>
      </c>
      <c r="I5761" s="6" t="s">
        <v>2300</v>
      </c>
      <c r="J5761" s="2" t="s">
        <v>5</v>
      </c>
      <c r="K5761" s="2" t="s">
        <v>5</v>
      </c>
      <c r="L5761" s="2" t="s">
        <v>5</v>
      </c>
      <c r="M5761" s="2" t="s">
        <v>5</v>
      </c>
      <c r="N5761" s="4">
        <v>0</v>
      </c>
    </row>
    <row r="5762" spans="1:14" x14ac:dyDescent="0.25">
      <c r="A5762" s="2" t="s">
        <v>250</v>
      </c>
      <c r="B5762" s="2" t="s">
        <v>251</v>
      </c>
      <c r="C5762" s="3">
        <v>68.7</v>
      </c>
      <c r="D5762" s="4">
        <v>848.44500000000005</v>
      </c>
      <c r="E5762" s="4">
        <v>583.95000000000005</v>
      </c>
      <c r="F5762" s="4">
        <f t="shared" si="319"/>
        <v>264.495</v>
      </c>
      <c r="G5762" s="5">
        <f t="shared" si="320"/>
        <v>0.31174089068825911</v>
      </c>
      <c r="H5762" s="2" t="s">
        <v>5</v>
      </c>
      <c r="I5762" s="6" t="s">
        <v>2300</v>
      </c>
      <c r="J5762" s="2" t="s">
        <v>5</v>
      </c>
      <c r="K5762" s="2" t="s">
        <v>5</v>
      </c>
      <c r="L5762" s="2" t="s">
        <v>5</v>
      </c>
      <c r="M5762" s="2" t="s">
        <v>5</v>
      </c>
      <c r="N5762" s="4">
        <v>0</v>
      </c>
    </row>
    <row r="5763" spans="1:14" x14ac:dyDescent="0.25">
      <c r="A5763" s="2" t="s">
        <v>250</v>
      </c>
      <c r="B5763" s="2" t="s">
        <v>251</v>
      </c>
      <c r="C5763" s="3">
        <v>23.8</v>
      </c>
      <c r="D5763" s="4">
        <v>344.14800000000002</v>
      </c>
      <c r="E5763" s="4">
        <v>202.3</v>
      </c>
      <c r="F5763" s="4">
        <f t="shared" si="319"/>
        <v>141.84800000000001</v>
      </c>
      <c r="G5763" s="5">
        <f t="shared" si="320"/>
        <v>0.41217150760719229</v>
      </c>
      <c r="H5763" s="2" t="s">
        <v>5</v>
      </c>
      <c r="I5763" s="6" t="s">
        <v>2300</v>
      </c>
      <c r="J5763" s="2" t="s">
        <v>5</v>
      </c>
      <c r="K5763" s="2" t="s">
        <v>5</v>
      </c>
      <c r="L5763" s="2" t="s">
        <v>5</v>
      </c>
      <c r="M5763" s="2" t="s">
        <v>5</v>
      </c>
      <c r="N5763" s="4">
        <v>0</v>
      </c>
    </row>
    <row r="5764" spans="1:14" x14ac:dyDescent="0.25">
      <c r="A5764" s="2" t="s">
        <v>250</v>
      </c>
      <c r="B5764" s="2" t="s">
        <v>251</v>
      </c>
      <c r="C5764" s="3">
        <v>21.7</v>
      </c>
      <c r="D5764" s="4">
        <v>273.20299999999997</v>
      </c>
      <c r="E5764" s="4">
        <v>184.45</v>
      </c>
      <c r="F5764" s="4">
        <f t="shared" si="319"/>
        <v>88.752999999999986</v>
      </c>
      <c r="G5764" s="5">
        <f t="shared" si="320"/>
        <v>0.32486100079428115</v>
      </c>
      <c r="H5764" s="2" t="s">
        <v>5</v>
      </c>
      <c r="I5764" s="6" t="s">
        <v>2300</v>
      </c>
      <c r="J5764" s="2" t="s">
        <v>5</v>
      </c>
      <c r="K5764" s="2" t="s">
        <v>5</v>
      </c>
      <c r="L5764" s="2" t="s">
        <v>5</v>
      </c>
      <c r="M5764" s="2" t="s">
        <v>5</v>
      </c>
      <c r="N5764" s="4">
        <v>0</v>
      </c>
    </row>
    <row r="5765" spans="1:14" x14ac:dyDescent="0.25">
      <c r="A5765" s="2" t="s">
        <v>250</v>
      </c>
      <c r="B5765" s="2" t="s">
        <v>251</v>
      </c>
      <c r="C5765" s="3">
        <v>41.4</v>
      </c>
      <c r="D5765" s="4">
        <v>510.46199999999999</v>
      </c>
      <c r="E5765" s="4">
        <v>351.9</v>
      </c>
      <c r="F5765" s="4">
        <f t="shared" si="319"/>
        <v>158.56200000000001</v>
      </c>
      <c r="G5765" s="5">
        <f t="shared" si="320"/>
        <v>0.31062449310624496</v>
      </c>
      <c r="H5765" s="2" t="s">
        <v>5</v>
      </c>
      <c r="I5765" s="6" t="s">
        <v>2300</v>
      </c>
      <c r="J5765" s="2" t="s">
        <v>5</v>
      </c>
      <c r="K5765" s="2" t="s">
        <v>5</v>
      </c>
      <c r="L5765" s="2" t="s">
        <v>5</v>
      </c>
      <c r="M5765" s="2" t="s">
        <v>5</v>
      </c>
      <c r="N5765" s="4">
        <v>0</v>
      </c>
    </row>
    <row r="5766" spans="1:14" x14ac:dyDescent="0.25">
      <c r="A5766" s="2" t="s">
        <v>250</v>
      </c>
      <c r="B5766" s="2" t="s">
        <v>251</v>
      </c>
      <c r="C5766" s="3">
        <v>103.9</v>
      </c>
      <c r="D5766" s="4">
        <v>1308.1010000000001</v>
      </c>
      <c r="E5766" s="4">
        <v>883.15</v>
      </c>
      <c r="F5766" s="4">
        <f t="shared" si="319"/>
        <v>424.95100000000014</v>
      </c>
      <c r="G5766" s="5">
        <f t="shared" si="320"/>
        <v>0.32486100079428126</v>
      </c>
      <c r="H5766" s="2" t="s">
        <v>5</v>
      </c>
      <c r="I5766" s="6" t="s">
        <v>2300</v>
      </c>
      <c r="J5766" s="2" t="s">
        <v>5</v>
      </c>
      <c r="K5766" s="2" t="s">
        <v>5</v>
      </c>
      <c r="L5766" s="2" t="s">
        <v>5</v>
      </c>
      <c r="M5766" s="2" t="s">
        <v>5</v>
      </c>
      <c r="N5766" s="4">
        <v>0</v>
      </c>
    </row>
    <row r="5767" spans="1:14" x14ac:dyDescent="0.25">
      <c r="A5767" s="2" t="s">
        <v>250</v>
      </c>
      <c r="B5767" s="2" t="s">
        <v>251</v>
      </c>
      <c r="C5767" s="3">
        <v>10.445</v>
      </c>
      <c r="D5767" s="4">
        <v>154.79490000000001</v>
      </c>
      <c r="E5767" s="4">
        <v>88.782499999999999</v>
      </c>
      <c r="F5767" s="4">
        <f t="shared" si="319"/>
        <v>66.012400000000014</v>
      </c>
      <c r="G5767" s="5">
        <f t="shared" si="320"/>
        <v>0.42645074224021595</v>
      </c>
      <c r="H5767" s="2" t="s">
        <v>5</v>
      </c>
      <c r="I5767" s="6" t="s">
        <v>2300</v>
      </c>
      <c r="J5767" s="2" t="s">
        <v>5</v>
      </c>
      <c r="K5767" s="2" t="s">
        <v>5</v>
      </c>
      <c r="L5767" s="2" t="s">
        <v>5</v>
      </c>
      <c r="M5767" s="2" t="s">
        <v>5</v>
      </c>
      <c r="N5767" s="4">
        <v>0</v>
      </c>
    </row>
    <row r="5768" spans="1:14" x14ac:dyDescent="0.25">
      <c r="A5768" s="2" t="s">
        <v>250</v>
      </c>
      <c r="B5768" s="2" t="s">
        <v>251</v>
      </c>
      <c r="C5768" s="3">
        <v>3.79</v>
      </c>
      <c r="D5768" s="4">
        <v>56.1678</v>
      </c>
      <c r="E5768" s="4">
        <v>32.215000000000003</v>
      </c>
      <c r="F5768" s="4">
        <f t="shared" si="319"/>
        <v>23.952799999999996</v>
      </c>
      <c r="G5768" s="5">
        <f t="shared" si="320"/>
        <v>0.42645074224021584</v>
      </c>
      <c r="H5768" s="2" t="s">
        <v>5</v>
      </c>
      <c r="I5768" s="6" t="s">
        <v>2300</v>
      </c>
      <c r="J5768" s="2" t="s">
        <v>5</v>
      </c>
      <c r="K5768" s="2" t="s">
        <v>5</v>
      </c>
      <c r="L5768" s="2" t="s">
        <v>5</v>
      </c>
      <c r="M5768" s="2" t="s">
        <v>5</v>
      </c>
      <c r="N5768" s="4">
        <v>0</v>
      </c>
    </row>
    <row r="5769" spans="1:14" x14ac:dyDescent="0.25">
      <c r="A5769" s="2" t="s">
        <v>250</v>
      </c>
      <c r="B5769" s="2" t="s">
        <v>251</v>
      </c>
      <c r="C5769" s="3">
        <v>110.1</v>
      </c>
      <c r="D5769" s="4">
        <v>1284.867</v>
      </c>
      <c r="E5769" s="4">
        <v>935.85</v>
      </c>
      <c r="F5769" s="4">
        <f t="shared" si="319"/>
        <v>349.01699999999994</v>
      </c>
      <c r="G5769" s="5">
        <f t="shared" si="320"/>
        <v>0.27163667523564694</v>
      </c>
      <c r="H5769" s="2" t="s">
        <v>5</v>
      </c>
      <c r="I5769" s="6" t="s">
        <v>2300</v>
      </c>
      <c r="J5769" s="2" t="s">
        <v>5</v>
      </c>
      <c r="K5769" s="2" t="s">
        <v>5</v>
      </c>
      <c r="L5769" s="2" t="s">
        <v>5</v>
      </c>
      <c r="M5769" s="2" t="s">
        <v>5</v>
      </c>
      <c r="N5769" s="4">
        <v>0</v>
      </c>
    </row>
    <row r="5770" spans="1:14" x14ac:dyDescent="0.25">
      <c r="A5770" s="2" t="s">
        <v>250</v>
      </c>
      <c r="B5770" s="2" t="s">
        <v>251</v>
      </c>
      <c r="C5770" s="3">
        <v>22.4</v>
      </c>
      <c r="D5770" s="4">
        <v>276.19200000000001</v>
      </c>
      <c r="E5770" s="4">
        <v>190.4</v>
      </c>
      <c r="F5770" s="4">
        <f t="shared" si="319"/>
        <v>85.792000000000002</v>
      </c>
      <c r="G5770" s="5">
        <f t="shared" si="320"/>
        <v>0.3106244931062449</v>
      </c>
      <c r="H5770" s="2" t="s">
        <v>5</v>
      </c>
      <c r="I5770" s="6" t="s">
        <v>2300</v>
      </c>
      <c r="J5770" s="2" t="s">
        <v>5</v>
      </c>
      <c r="K5770" s="2" t="s">
        <v>5</v>
      </c>
      <c r="L5770" s="2" t="s">
        <v>5</v>
      </c>
      <c r="M5770" s="2" t="s">
        <v>5</v>
      </c>
      <c r="N5770" s="4">
        <v>0</v>
      </c>
    </row>
    <row r="5771" spans="1:14" x14ac:dyDescent="0.25">
      <c r="A5771" s="2" t="s">
        <v>250</v>
      </c>
      <c r="B5771" s="2" t="s">
        <v>251</v>
      </c>
      <c r="C5771" s="3">
        <v>7.21</v>
      </c>
      <c r="D5771" s="4">
        <v>101.9494</v>
      </c>
      <c r="E5771" s="4">
        <v>61.284999999999997</v>
      </c>
      <c r="F5771" s="4">
        <f t="shared" si="319"/>
        <v>40.664400000000001</v>
      </c>
      <c r="G5771" s="5">
        <f t="shared" si="320"/>
        <v>0.39886845827439887</v>
      </c>
      <c r="H5771" s="2" t="s">
        <v>5</v>
      </c>
      <c r="I5771" s="6" t="s">
        <v>2300</v>
      </c>
      <c r="J5771" s="2" t="s">
        <v>5</v>
      </c>
      <c r="K5771" s="2" t="s">
        <v>5</v>
      </c>
      <c r="L5771" s="2" t="s">
        <v>5</v>
      </c>
      <c r="M5771" s="2" t="s">
        <v>5</v>
      </c>
      <c r="N5771" s="4">
        <v>0</v>
      </c>
    </row>
    <row r="5772" spans="1:14" x14ac:dyDescent="0.25">
      <c r="A5772" s="2" t="s">
        <v>250</v>
      </c>
      <c r="B5772" s="2" t="s">
        <v>251</v>
      </c>
      <c r="C5772" s="3">
        <v>23.5</v>
      </c>
      <c r="D5772" s="4">
        <v>346.625</v>
      </c>
      <c r="E5772" s="4">
        <v>199.75</v>
      </c>
      <c r="F5772" s="4">
        <f t="shared" si="319"/>
        <v>146.875</v>
      </c>
      <c r="G5772" s="5">
        <f t="shared" si="320"/>
        <v>0.42372881355932202</v>
      </c>
      <c r="H5772" s="2" t="s">
        <v>5</v>
      </c>
      <c r="I5772" s="6" t="s">
        <v>2300</v>
      </c>
      <c r="J5772" s="2" t="s">
        <v>5</v>
      </c>
      <c r="K5772" s="2" t="s">
        <v>5</v>
      </c>
      <c r="L5772" s="2" t="s">
        <v>5</v>
      </c>
      <c r="M5772" s="2" t="s">
        <v>5</v>
      </c>
      <c r="N5772" s="4">
        <v>0</v>
      </c>
    </row>
    <row r="5773" spans="1:14" x14ac:dyDescent="0.25">
      <c r="A5773" s="2" t="s">
        <v>591</v>
      </c>
      <c r="B5773" s="2" t="s">
        <v>592</v>
      </c>
      <c r="C5773" s="3">
        <v>14.265000000000001</v>
      </c>
      <c r="D5773" s="4">
        <v>147.64275000000001</v>
      </c>
      <c r="E5773" s="4">
        <v>82.736999999999995</v>
      </c>
      <c r="F5773" s="4">
        <f t="shared" si="319"/>
        <v>64.905750000000012</v>
      </c>
      <c r="G5773" s="5">
        <f t="shared" si="320"/>
        <v>0.43961352657004837</v>
      </c>
      <c r="H5773" s="2" t="s">
        <v>5</v>
      </c>
      <c r="I5773" s="6" t="s">
        <v>2300</v>
      </c>
      <c r="J5773" s="2" t="s">
        <v>5</v>
      </c>
      <c r="K5773" s="2" t="s">
        <v>5</v>
      </c>
      <c r="L5773" s="2" t="s">
        <v>5</v>
      </c>
      <c r="M5773" s="2" t="s">
        <v>5</v>
      </c>
      <c r="N5773" s="4">
        <v>0</v>
      </c>
    </row>
    <row r="5774" spans="1:14" x14ac:dyDescent="0.25">
      <c r="A5774" s="2" t="s">
        <v>591</v>
      </c>
      <c r="B5774" s="2" t="s">
        <v>592</v>
      </c>
      <c r="C5774" s="3">
        <v>44.875</v>
      </c>
      <c r="D5774" s="4">
        <v>417.33749999999998</v>
      </c>
      <c r="E5774" s="4">
        <v>260.27499999999998</v>
      </c>
      <c r="F5774" s="4">
        <f t="shared" si="319"/>
        <v>157.0625</v>
      </c>
      <c r="G5774" s="5">
        <f t="shared" si="320"/>
        <v>0.37634408602150538</v>
      </c>
      <c r="H5774" s="2" t="s">
        <v>5</v>
      </c>
      <c r="I5774" s="6" t="s">
        <v>2300</v>
      </c>
      <c r="J5774" s="2" t="s">
        <v>5</v>
      </c>
      <c r="K5774" s="2" t="s">
        <v>5</v>
      </c>
      <c r="L5774" s="2" t="s">
        <v>5</v>
      </c>
      <c r="M5774" s="2" t="s">
        <v>5</v>
      </c>
      <c r="N5774" s="4">
        <v>0</v>
      </c>
    </row>
    <row r="5775" spans="1:14" x14ac:dyDescent="0.25">
      <c r="A5775" s="2" t="s">
        <v>591</v>
      </c>
      <c r="B5775" s="2" t="s">
        <v>592</v>
      </c>
      <c r="C5775" s="3">
        <v>88.655000000000001</v>
      </c>
      <c r="D5775" s="4">
        <v>824.49149999999997</v>
      </c>
      <c r="E5775" s="4">
        <v>514.19899999999996</v>
      </c>
      <c r="F5775" s="4">
        <f t="shared" si="319"/>
        <v>310.29250000000002</v>
      </c>
      <c r="G5775" s="5">
        <f t="shared" si="320"/>
        <v>0.37634408602150543</v>
      </c>
      <c r="H5775" s="2" t="s">
        <v>5</v>
      </c>
      <c r="I5775" s="6" t="s">
        <v>2300</v>
      </c>
      <c r="J5775" s="2" t="s">
        <v>5</v>
      </c>
      <c r="K5775" s="2" t="s">
        <v>5</v>
      </c>
      <c r="L5775" s="2" t="s">
        <v>5</v>
      </c>
      <c r="M5775" s="2" t="s">
        <v>5</v>
      </c>
      <c r="N5775" s="4">
        <v>0</v>
      </c>
    </row>
    <row r="5776" spans="1:14" x14ac:dyDescent="0.25">
      <c r="A5776" s="2" t="s">
        <v>591</v>
      </c>
      <c r="B5776" s="2" t="s">
        <v>592</v>
      </c>
      <c r="C5776" s="3">
        <v>6.21</v>
      </c>
      <c r="D5776" s="4">
        <v>64.770300000000006</v>
      </c>
      <c r="E5776" s="4">
        <v>36.018000000000001</v>
      </c>
      <c r="F5776" s="4">
        <f t="shared" si="319"/>
        <v>28.752300000000005</v>
      </c>
      <c r="G5776" s="5">
        <f t="shared" si="320"/>
        <v>0.44391179290508154</v>
      </c>
      <c r="H5776" s="2" t="s">
        <v>5</v>
      </c>
      <c r="I5776" s="6" t="s">
        <v>2300</v>
      </c>
      <c r="J5776" s="2" t="s">
        <v>5</v>
      </c>
      <c r="K5776" s="2" t="s">
        <v>5</v>
      </c>
      <c r="L5776" s="2" t="s">
        <v>5</v>
      </c>
      <c r="M5776" s="2" t="s">
        <v>5</v>
      </c>
      <c r="N5776" s="4">
        <v>0</v>
      </c>
    </row>
    <row r="5777" spans="1:14" x14ac:dyDescent="0.25">
      <c r="A5777" s="2" t="s">
        <v>591</v>
      </c>
      <c r="B5777" s="2" t="s">
        <v>592</v>
      </c>
      <c r="C5777" s="3">
        <v>14.17</v>
      </c>
      <c r="D5777" s="4">
        <v>141.41659999999999</v>
      </c>
      <c r="E5777" s="4">
        <v>82.186000000000007</v>
      </c>
      <c r="F5777" s="4">
        <f t="shared" si="319"/>
        <v>59.230599999999981</v>
      </c>
      <c r="G5777" s="5">
        <f t="shared" si="320"/>
        <v>0.41883767535070132</v>
      </c>
      <c r="H5777" s="2" t="s">
        <v>5</v>
      </c>
      <c r="I5777" s="6" t="s">
        <v>2300</v>
      </c>
      <c r="J5777" s="2" t="s">
        <v>5</v>
      </c>
      <c r="K5777" s="2" t="s">
        <v>5</v>
      </c>
      <c r="L5777" s="2" t="s">
        <v>5</v>
      </c>
      <c r="M5777" s="2" t="s">
        <v>5</v>
      </c>
      <c r="N5777" s="4">
        <v>0</v>
      </c>
    </row>
    <row r="5778" spans="1:14" x14ac:dyDescent="0.25">
      <c r="A5778" s="2" t="s">
        <v>591</v>
      </c>
      <c r="B5778" s="2" t="s">
        <v>592</v>
      </c>
      <c r="C5778" s="3">
        <v>28.22</v>
      </c>
      <c r="D5778" s="4">
        <v>272.04079999999999</v>
      </c>
      <c r="E5778" s="4">
        <v>163.67599999999999</v>
      </c>
      <c r="F5778" s="4">
        <f t="shared" si="319"/>
        <v>108.3648</v>
      </c>
      <c r="G5778" s="5">
        <f t="shared" si="320"/>
        <v>0.39834024896265563</v>
      </c>
      <c r="H5778" s="2" t="s">
        <v>5</v>
      </c>
      <c r="I5778" s="6" t="s">
        <v>2300</v>
      </c>
      <c r="J5778" s="2" t="s">
        <v>5</v>
      </c>
      <c r="K5778" s="2" t="s">
        <v>5</v>
      </c>
      <c r="L5778" s="2" t="s">
        <v>5</v>
      </c>
      <c r="M5778" s="2" t="s">
        <v>5</v>
      </c>
      <c r="N5778" s="4">
        <v>0</v>
      </c>
    </row>
    <row r="5779" spans="1:14" x14ac:dyDescent="0.25">
      <c r="A5779" s="2" t="s">
        <v>591</v>
      </c>
      <c r="B5779" s="2" t="s">
        <v>592</v>
      </c>
      <c r="C5779" s="3">
        <v>13.52</v>
      </c>
      <c r="D5779" s="4">
        <v>129.38640000000001</v>
      </c>
      <c r="E5779" s="4">
        <v>78.415999999999997</v>
      </c>
      <c r="F5779" s="4">
        <f t="shared" si="319"/>
        <v>50.970400000000012</v>
      </c>
      <c r="G5779" s="5">
        <f t="shared" si="320"/>
        <v>0.39393939393939403</v>
      </c>
      <c r="H5779" s="2" t="s">
        <v>5</v>
      </c>
      <c r="I5779" s="6" t="s">
        <v>2300</v>
      </c>
      <c r="J5779" s="2" t="s">
        <v>5</v>
      </c>
      <c r="K5779" s="2" t="s">
        <v>5</v>
      </c>
      <c r="L5779" s="2" t="s">
        <v>5</v>
      </c>
      <c r="M5779" s="2" t="s">
        <v>5</v>
      </c>
      <c r="N5779" s="4">
        <v>0</v>
      </c>
    </row>
    <row r="5780" spans="1:14" x14ac:dyDescent="0.25">
      <c r="A5780" s="2" t="s">
        <v>591</v>
      </c>
      <c r="B5780" s="2" t="s">
        <v>592</v>
      </c>
      <c r="C5780" s="3">
        <v>11.32</v>
      </c>
      <c r="D5780" s="4">
        <v>110.14360000000001</v>
      </c>
      <c r="E5780" s="4">
        <v>65.656000000000006</v>
      </c>
      <c r="F5780" s="4">
        <f t="shared" si="319"/>
        <v>44.4876</v>
      </c>
      <c r="G5780" s="5">
        <f t="shared" si="320"/>
        <v>0.40390544707091469</v>
      </c>
      <c r="H5780" s="2" t="s">
        <v>5</v>
      </c>
      <c r="I5780" s="6" t="s">
        <v>2300</v>
      </c>
      <c r="J5780" s="2" t="s">
        <v>5</v>
      </c>
      <c r="K5780" s="2" t="s">
        <v>5</v>
      </c>
      <c r="L5780" s="2" t="s">
        <v>5</v>
      </c>
      <c r="M5780" s="2" t="s">
        <v>5</v>
      </c>
      <c r="N5780" s="4">
        <v>0</v>
      </c>
    </row>
    <row r="5781" spans="1:14" x14ac:dyDescent="0.25">
      <c r="A5781" s="2" t="s">
        <v>591</v>
      </c>
      <c r="B5781" s="2" t="s">
        <v>592</v>
      </c>
      <c r="C5781" s="3">
        <v>28.2256</v>
      </c>
      <c r="D5781" s="4">
        <v>262.49808000000002</v>
      </c>
      <c r="E5781" s="4">
        <v>163.70848000000001</v>
      </c>
      <c r="F5781" s="4">
        <f t="shared" si="319"/>
        <v>98.789600000000007</v>
      </c>
      <c r="G5781" s="5">
        <f t="shared" si="320"/>
        <v>0.37634408602150538</v>
      </c>
      <c r="H5781" s="2" t="s">
        <v>5</v>
      </c>
      <c r="I5781" s="6" t="s">
        <v>2300</v>
      </c>
      <c r="J5781" s="2" t="s">
        <v>5</v>
      </c>
      <c r="K5781" s="2" t="s">
        <v>5</v>
      </c>
      <c r="L5781" s="2" t="s">
        <v>5</v>
      </c>
      <c r="M5781" s="2" t="s">
        <v>5</v>
      </c>
      <c r="N5781" s="4">
        <v>0</v>
      </c>
    </row>
    <row r="5782" spans="1:14" x14ac:dyDescent="0.25">
      <c r="A5782" s="2" t="s">
        <v>593</v>
      </c>
      <c r="B5782" s="2" t="s">
        <v>594</v>
      </c>
      <c r="C5782" s="3">
        <v>28.35</v>
      </c>
      <c r="D5782" s="4">
        <v>258.83550000000002</v>
      </c>
      <c r="E5782" s="4">
        <v>164.43</v>
      </c>
      <c r="F5782" s="4">
        <f t="shared" si="319"/>
        <v>94.405500000000018</v>
      </c>
      <c r="G5782" s="5">
        <f t="shared" si="320"/>
        <v>0.36473165388828044</v>
      </c>
      <c r="H5782" s="2" t="s">
        <v>5</v>
      </c>
      <c r="I5782" s="6" t="s">
        <v>2300</v>
      </c>
      <c r="J5782" s="2" t="s">
        <v>5</v>
      </c>
      <c r="K5782" s="2" t="s">
        <v>5</v>
      </c>
      <c r="L5782" s="2" t="s">
        <v>5</v>
      </c>
      <c r="M5782" s="2" t="s">
        <v>5</v>
      </c>
      <c r="N5782" s="4">
        <v>0</v>
      </c>
    </row>
    <row r="5783" spans="1:14" x14ac:dyDescent="0.25">
      <c r="A5783" s="2" t="s">
        <v>593</v>
      </c>
      <c r="B5783" s="2" t="s">
        <v>594</v>
      </c>
      <c r="C5783" s="3">
        <v>14.195</v>
      </c>
      <c r="D5783" s="4">
        <v>141.6661</v>
      </c>
      <c r="E5783" s="4">
        <v>82.331000000000003</v>
      </c>
      <c r="F5783" s="4">
        <f t="shared" si="319"/>
        <v>59.335099999999997</v>
      </c>
      <c r="G5783" s="5">
        <f t="shared" si="320"/>
        <v>0.41883767535070138</v>
      </c>
      <c r="H5783" s="2" t="s">
        <v>5</v>
      </c>
      <c r="I5783" s="6" t="s">
        <v>2300</v>
      </c>
      <c r="J5783" s="2" t="s">
        <v>5</v>
      </c>
      <c r="K5783" s="2" t="s">
        <v>5</v>
      </c>
      <c r="L5783" s="2" t="s">
        <v>5</v>
      </c>
      <c r="M5783" s="2" t="s">
        <v>5</v>
      </c>
      <c r="N5783" s="4">
        <v>0</v>
      </c>
    </row>
    <row r="5784" spans="1:14" x14ac:dyDescent="0.25">
      <c r="A5784" s="2" t="s">
        <v>593</v>
      </c>
      <c r="B5784" s="2" t="s">
        <v>594</v>
      </c>
      <c r="C5784" s="3">
        <v>13.875</v>
      </c>
      <c r="D5784" s="4">
        <v>132.78375</v>
      </c>
      <c r="E5784" s="4">
        <v>80.474999999999994</v>
      </c>
      <c r="F5784" s="4">
        <f t="shared" si="319"/>
        <v>52.308750000000003</v>
      </c>
      <c r="G5784" s="5">
        <f t="shared" si="320"/>
        <v>0.39393939393939398</v>
      </c>
      <c r="H5784" s="2" t="s">
        <v>5</v>
      </c>
      <c r="I5784" s="6" t="s">
        <v>2300</v>
      </c>
      <c r="J5784" s="2" t="s">
        <v>5</v>
      </c>
      <c r="K5784" s="2" t="s">
        <v>5</v>
      </c>
      <c r="L5784" s="2" t="s">
        <v>5</v>
      </c>
      <c r="M5784" s="2" t="s">
        <v>5</v>
      </c>
      <c r="N5784" s="4">
        <v>0</v>
      </c>
    </row>
    <row r="5785" spans="1:14" x14ac:dyDescent="0.25">
      <c r="A5785" s="2" t="s">
        <v>593</v>
      </c>
      <c r="B5785" s="2" t="s">
        <v>594</v>
      </c>
      <c r="C5785" s="3">
        <v>16.045000000000002</v>
      </c>
      <c r="D5785" s="4">
        <v>156.11785</v>
      </c>
      <c r="E5785" s="4">
        <v>93.061000000000007</v>
      </c>
      <c r="F5785" s="4">
        <f t="shared" si="319"/>
        <v>63.056849999999997</v>
      </c>
      <c r="G5785" s="5">
        <f t="shared" si="320"/>
        <v>0.40390544707091469</v>
      </c>
      <c r="H5785" s="2" t="s">
        <v>5</v>
      </c>
      <c r="I5785" s="6" t="s">
        <v>2300</v>
      </c>
      <c r="J5785" s="2" t="s">
        <v>5</v>
      </c>
      <c r="K5785" s="2" t="s">
        <v>5</v>
      </c>
      <c r="L5785" s="2" t="s">
        <v>5</v>
      </c>
      <c r="M5785" s="2" t="s">
        <v>5</v>
      </c>
      <c r="N5785" s="4">
        <v>0</v>
      </c>
    </row>
    <row r="5786" spans="1:14" x14ac:dyDescent="0.25">
      <c r="A5786" s="2" t="s">
        <v>593</v>
      </c>
      <c r="B5786" s="2" t="s">
        <v>594</v>
      </c>
      <c r="C5786" s="3">
        <v>14.385</v>
      </c>
      <c r="D5786" s="4">
        <v>138.95910000000001</v>
      </c>
      <c r="E5786" s="4">
        <v>83.433000000000007</v>
      </c>
      <c r="F5786" s="4">
        <f t="shared" si="319"/>
        <v>55.5261</v>
      </c>
      <c r="G5786" s="5">
        <f t="shared" si="320"/>
        <v>0.39958592132505172</v>
      </c>
      <c r="H5786" s="2" t="s">
        <v>5</v>
      </c>
      <c r="I5786" s="6" t="s">
        <v>2300</v>
      </c>
      <c r="J5786" s="2" t="s">
        <v>5</v>
      </c>
      <c r="K5786" s="2" t="s">
        <v>5</v>
      </c>
      <c r="L5786" s="2" t="s">
        <v>5</v>
      </c>
      <c r="M5786" s="2" t="s">
        <v>5</v>
      </c>
      <c r="N5786" s="4">
        <v>0</v>
      </c>
    </row>
    <row r="5787" spans="1:14" x14ac:dyDescent="0.25">
      <c r="A5787" s="2" t="s">
        <v>593</v>
      </c>
      <c r="B5787" s="2" t="s">
        <v>594</v>
      </c>
      <c r="C5787" s="3">
        <v>42.454999999999998</v>
      </c>
      <c r="D5787" s="4">
        <v>406.29435000000001</v>
      </c>
      <c r="E5787" s="4">
        <v>246.239</v>
      </c>
      <c r="F5787" s="4">
        <f t="shared" si="319"/>
        <v>160.05535</v>
      </c>
      <c r="G5787" s="5">
        <f t="shared" si="320"/>
        <v>0.39393939393939392</v>
      </c>
      <c r="H5787" s="2" t="s">
        <v>5</v>
      </c>
      <c r="I5787" s="6" t="s">
        <v>2300</v>
      </c>
      <c r="J5787" s="2" t="s">
        <v>5</v>
      </c>
      <c r="K5787" s="2" t="s">
        <v>5</v>
      </c>
      <c r="L5787" s="2" t="s">
        <v>5</v>
      </c>
      <c r="M5787" s="2" t="s">
        <v>5</v>
      </c>
      <c r="N5787" s="4">
        <v>0</v>
      </c>
    </row>
    <row r="5788" spans="1:14" x14ac:dyDescent="0.25">
      <c r="A5788" s="2" t="s">
        <v>593</v>
      </c>
      <c r="B5788" s="2" t="s">
        <v>594</v>
      </c>
      <c r="C5788" s="3">
        <v>1.86</v>
      </c>
      <c r="D5788" s="4">
        <v>19.399799999999999</v>
      </c>
      <c r="E5788" s="4">
        <v>10.788</v>
      </c>
      <c r="F5788" s="4">
        <f t="shared" si="319"/>
        <v>8.6117999999999988</v>
      </c>
      <c r="G5788" s="5">
        <f t="shared" si="320"/>
        <v>0.44391179290508148</v>
      </c>
      <c r="H5788" s="2" t="s">
        <v>5</v>
      </c>
      <c r="I5788" s="6" t="s">
        <v>2300</v>
      </c>
      <c r="J5788" s="2" t="s">
        <v>5</v>
      </c>
      <c r="K5788" s="2" t="s">
        <v>5</v>
      </c>
      <c r="L5788" s="2" t="s">
        <v>5</v>
      </c>
      <c r="M5788" s="2" t="s">
        <v>5</v>
      </c>
      <c r="N5788" s="4">
        <v>0</v>
      </c>
    </row>
    <row r="5789" spans="1:14" x14ac:dyDescent="0.25">
      <c r="A5789" s="2" t="s">
        <v>593</v>
      </c>
      <c r="B5789" s="2" t="s">
        <v>594</v>
      </c>
      <c r="C5789" s="3">
        <v>28.565000000000001</v>
      </c>
      <c r="D5789" s="4">
        <v>275.36660000000001</v>
      </c>
      <c r="E5789" s="4">
        <v>165.67699999999999</v>
      </c>
      <c r="F5789" s="4">
        <f t="shared" si="319"/>
        <v>109.68960000000001</v>
      </c>
      <c r="G5789" s="5">
        <f t="shared" si="320"/>
        <v>0.39834024896265563</v>
      </c>
      <c r="H5789" s="2" t="s">
        <v>5</v>
      </c>
      <c r="I5789" s="6" t="s">
        <v>2300</v>
      </c>
      <c r="J5789" s="2" t="s">
        <v>5</v>
      </c>
      <c r="K5789" s="2" t="s">
        <v>5</v>
      </c>
      <c r="L5789" s="2" t="s">
        <v>5</v>
      </c>
      <c r="M5789" s="2" t="s">
        <v>5</v>
      </c>
      <c r="N5789" s="4">
        <v>0</v>
      </c>
    </row>
    <row r="5790" spans="1:14" x14ac:dyDescent="0.25">
      <c r="A5790" s="2" t="s">
        <v>593</v>
      </c>
      <c r="B5790" s="2" t="s">
        <v>594</v>
      </c>
      <c r="C5790" s="3">
        <v>14.105</v>
      </c>
      <c r="D5790" s="4">
        <v>137.24164999999999</v>
      </c>
      <c r="E5790" s="4">
        <v>81.808999999999997</v>
      </c>
      <c r="F5790" s="4">
        <f t="shared" si="319"/>
        <v>55.432649999999995</v>
      </c>
      <c r="G5790" s="5">
        <f t="shared" si="320"/>
        <v>0.40390544707091469</v>
      </c>
      <c r="H5790" s="2" t="s">
        <v>5</v>
      </c>
      <c r="I5790" s="6" t="s">
        <v>2300</v>
      </c>
      <c r="J5790" s="2" t="s">
        <v>5</v>
      </c>
      <c r="K5790" s="2" t="s">
        <v>5</v>
      </c>
      <c r="L5790" s="2" t="s">
        <v>5</v>
      </c>
      <c r="M5790" s="2" t="s">
        <v>5</v>
      </c>
      <c r="N5790" s="4">
        <v>0</v>
      </c>
    </row>
    <row r="5791" spans="1:14" x14ac:dyDescent="0.25">
      <c r="A5791" s="2" t="s">
        <v>593</v>
      </c>
      <c r="B5791" s="2" t="s">
        <v>594</v>
      </c>
      <c r="C5791" s="3">
        <v>1.788</v>
      </c>
      <c r="D5791" s="4">
        <v>18.64884</v>
      </c>
      <c r="E5791" s="4">
        <v>10.3704</v>
      </c>
      <c r="F5791" s="4">
        <f t="shared" si="319"/>
        <v>8.2784399999999998</v>
      </c>
      <c r="G5791" s="5">
        <f t="shared" si="320"/>
        <v>0.44391179290508148</v>
      </c>
      <c r="H5791" s="2" t="s">
        <v>5</v>
      </c>
      <c r="I5791" s="6" t="s">
        <v>2300</v>
      </c>
      <c r="J5791" s="2" t="s">
        <v>5</v>
      </c>
      <c r="K5791" s="2" t="s">
        <v>5</v>
      </c>
      <c r="L5791" s="2" t="s">
        <v>5</v>
      </c>
      <c r="M5791" s="2" t="s">
        <v>5</v>
      </c>
      <c r="N5791" s="4">
        <v>0</v>
      </c>
    </row>
    <row r="5792" spans="1:14" x14ac:dyDescent="0.25">
      <c r="A5792" s="2" t="s">
        <v>593</v>
      </c>
      <c r="B5792" s="2" t="s">
        <v>594</v>
      </c>
      <c r="C5792" s="3">
        <v>3.44</v>
      </c>
      <c r="D5792" s="4">
        <v>35.535200000000003</v>
      </c>
      <c r="E5792" s="4">
        <v>19.952000000000002</v>
      </c>
      <c r="F5792" s="4">
        <f t="shared" si="319"/>
        <v>15.583200000000001</v>
      </c>
      <c r="G5792" s="5">
        <f t="shared" si="320"/>
        <v>0.43852855759922554</v>
      </c>
      <c r="H5792" s="2" t="s">
        <v>5</v>
      </c>
      <c r="I5792" s="6" t="s">
        <v>2300</v>
      </c>
      <c r="J5792" s="2" t="s">
        <v>5</v>
      </c>
      <c r="K5792" s="2" t="s">
        <v>5</v>
      </c>
      <c r="L5792" s="2" t="s">
        <v>5</v>
      </c>
      <c r="M5792" s="2" t="s">
        <v>5</v>
      </c>
      <c r="N5792" s="4">
        <v>0</v>
      </c>
    </row>
    <row r="5793" spans="1:14" x14ac:dyDescent="0.25">
      <c r="A5793" s="2" t="s">
        <v>593</v>
      </c>
      <c r="B5793" s="2" t="s">
        <v>594</v>
      </c>
      <c r="C5793" s="3">
        <v>8.7050000000000001</v>
      </c>
      <c r="D5793" s="4">
        <v>84.699650000000005</v>
      </c>
      <c r="E5793" s="4">
        <v>50.488999999999997</v>
      </c>
      <c r="F5793" s="4">
        <f t="shared" ref="F5793:F5856" si="321">D5793-E5793</f>
        <v>34.210650000000008</v>
      </c>
      <c r="G5793" s="5">
        <f t="shared" ref="G5793:G5856" si="322">IF(((D5793)=0),0,(D5793-E5793)/ D5793)</f>
        <v>0.40390544707091475</v>
      </c>
      <c r="H5793" s="2" t="s">
        <v>5</v>
      </c>
      <c r="I5793" s="6" t="s">
        <v>2300</v>
      </c>
      <c r="J5793" s="2" t="s">
        <v>5</v>
      </c>
      <c r="K5793" s="2" t="s">
        <v>5</v>
      </c>
      <c r="L5793" s="2" t="s">
        <v>5</v>
      </c>
      <c r="M5793" s="2" t="s">
        <v>5</v>
      </c>
      <c r="N5793" s="4">
        <v>0</v>
      </c>
    </row>
    <row r="5794" spans="1:14" x14ac:dyDescent="0.25">
      <c r="A5794" s="2" t="s">
        <v>593</v>
      </c>
      <c r="B5794" s="2" t="s">
        <v>594</v>
      </c>
      <c r="C5794" s="3">
        <v>28.82</v>
      </c>
      <c r="D5794" s="4">
        <v>268.02600000000001</v>
      </c>
      <c r="E5794" s="4">
        <v>167.15600000000001</v>
      </c>
      <c r="F5794" s="4">
        <f t="shared" si="321"/>
        <v>100.87</v>
      </c>
      <c r="G5794" s="5">
        <f t="shared" si="322"/>
        <v>0.37634408602150538</v>
      </c>
      <c r="H5794" s="2" t="s">
        <v>5</v>
      </c>
      <c r="I5794" s="6" t="s">
        <v>2300</v>
      </c>
      <c r="J5794" s="2" t="s">
        <v>5</v>
      </c>
      <c r="K5794" s="2" t="s">
        <v>5</v>
      </c>
      <c r="L5794" s="2" t="s">
        <v>5</v>
      </c>
      <c r="M5794" s="2" t="s">
        <v>5</v>
      </c>
      <c r="N5794" s="4">
        <v>0</v>
      </c>
    </row>
    <row r="5795" spans="1:14" x14ac:dyDescent="0.25">
      <c r="A5795" s="2" t="s">
        <v>593</v>
      </c>
      <c r="B5795" s="2" t="s">
        <v>594</v>
      </c>
      <c r="C5795" s="3">
        <v>13.01</v>
      </c>
      <c r="D5795" s="4">
        <v>124.5057</v>
      </c>
      <c r="E5795" s="4">
        <v>75.457999999999998</v>
      </c>
      <c r="F5795" s="4">
        <f t="shared" si="321"/>
        <v>49.047700000000006</v>
      </c>
      <c r="G5795" s="5">
        <f t="shared" si="322"/>
        <v>0.39393939393939398</v>
      </c>
      <c r="H5795" s="2" t="s">
        <v>5</v>
      </c>
      <c r="I5795" s="6" t="s">
        <v>2300</v>
      </c>
      <c r="J5795" s="2" t="s">
        <v>5</v>
      </c>
      <c r="K5795" s="2" t="s">
        <v>5</v>
      </c>
      <c r="L5795" s="2" t="s">
        <v>5</v>
      </c>
      <c r="M5795" s="2" t="s">
        <v>5</v>
      </c>
      <c r="N5795" s="4">
        <v>0</v>
      </c>
    </row>
    <row r="5796" spans="1:14" x14ac:dyDescent="0.25">
      <c r="A5796" s="2" t="s">
        <v>593</v>
      </c>
      <c r="B5796" s="2" t="s">
        <v>594</v>
      </c>
      <c r="C5796" s="3">
        <v>28.29</v>
      </c>
      <c r="D5796" s="4">
        <v>263.09699999999998</v>
      </c>
      <c r="E5796" s="4">
        <v>164.08199999999999</v>
      </c>
      <c r="F5796" s="4">
        <f t="shared" si="321"/>
        <v>99.014999999999986</v>
      </c>
      <c r="G5796" s="5">
        <f t="shared" si="322"/>
        <v>0.37634408602150538</v>
      </c>
      <c r="H5796" s="2" t="s">
        <v>5</v>
      </c>
      <c r="I5796" s="6" t="s">
        <v>2300</v>
      </c>
      <c r="J5796" s="2" t="s">
        <v>5</v>
      </c>
      <c r="K5796" s="2" t="s">
        <v>5</v>
      </c>
      <c r="L5796" s="2" t="s">
        <v>5</v>
      </c>
      <c r="M5796" s="2" t="s">
        <v>5</v>
      </c>
      <c r="N5796" s="4">
        <v>0</v>
      </c>
    </row>
    <row r="5797" spans="1:14" x14ac:dyDescent="0.25">
      <c r="A5797" s="2" t="s">
        <v>593</v>
      </c>
      <c r="B5797" s="2" t="s">
        <v>594</v>
      </c>
      <c r="C5797" s="3">
        <v>88.59</v>
      </c>
      <c r="D5797" s="4">
        <v>823.88699999999994</v>
      </c>
      <c r="E5797" s="4">
        <v>513.822</v>
      </c>
      <c r="F5797" s="4">
        <f t="shared" si="321"/>
        <v>310.06499999999994</v>
      </c>
      <c r="G5797" s="5">
        <f t="shared" si="322"/>
        <v>0.37634408602150532</v>
      </c>
      <c r="H5797" s="2" t="s">
        <v>5</v>
      </c>
      <c r="I5797" s="6" t="s">
        <v>2300</v>
      </c>
      <c r="J5797" s="2" t="s">
        <v>5</v>
      </c>
      <c r="K5797" s="2" t="s">
        <v>5</v>
      </c>
      <c r="L5797" s="2" t="s">
        <v>5</v>
      </c>
      <c r="M5797" s="2" t="s">
        <v>5</v>
      </c>
      <c r="N5797" s="4">
        <v>0</v>
      </c>
    </row>
    <row r="5798" spans="1:14" x14ac:dyDescent="0.25">
      <c r="A5798" s="2" t="s">
        <v>593</v>
      </c>
      <c r="B5798" s="2" t="s">
        <v>594</v>
      </c>
      <c r="C5798" s="3">
        <v>20.87</v>
      </c>
      <c r="D5798" s="4">
        <v>217.67410000000001</v>
      </c>
      <c r="E5798" s="4">
        <v>121.04600000000001</v>
      </c>
      <c r="F5798" s="4">
        <f t="shared" si="321"/>
        <v>96.628100000000003</v>
      </c>
      <c r="G5798" s="5">
        <f t="shared" si="322"/>
        <v>0.44391179290508148</v>
      </c>
      <c r="H5798" s="2" t="s">
        <v>5</v>
      </c>
      <c r="I5798" s="6" t="s">
        <v>2300</v>
      </c>
      <c r="J5798" s="2" t="s">
        <v>5</v>
      </c>
      <c r="K5798" s="2" t="s">
        <v>5</v>
      </c>
      <c r="L5798" s="2" t="s">
        <v>5</v>
      </c>
      <c r="M5798" s="2" t="s">
        <v>5</v>
      </c>
      <c r="N5798" s="4">
        <v>0</v>
      </c>
    </row>
    <row r="5799" spans="1:14" x14ac:dyDescent="0.25">
      <c r="A5799" s="2" t="s">
        <v>593</v>
      </c>
      <c r="B5799" s="2" t="s">
        <v>594</v>
      </c>
      <c r="C5799" s="3">
        <v>5.3</v>
      </c>
      <c r="D5799" s="4">
        <v>55.279000000000003</v>
      </c>
      <c r="E5799" s="4">
        <v>30.74</v>
      </c>
      <c r="F5799" s="4">
        <f t="shared" si="321"/>
        <v>24.539000000000005</v>
      </c>
      <c r="G5799" s="5">
        <f t="shared" si="322"/>
        <v>0.44391179290508154</v>
      </c>
      <c r="H5799" s="2" t="s">
        <v>5</v>
      </c>
      <c r="I5799" s="6" t="s">
        <v>2300</v>
      </c>
      <c r="J5799" s="2" t="s">
        <v>5</v>
      </c>
      <c r="K5799" s="2" t="s">
        <v>5</v>
      </c>
      <c r="L5799" s="2" t="s">
        <v>5</v>
      </c>
      <c r="M5799" s="2" t="s">
        <v>5</v>
      </c>
      <c r="N5799" s="4">
        <v>0</v>
      </c>
    </row>
    <row r="5800" spans="1:14" x14ac:dyDescent="0.25">
      <c r="A5800" s="2" t="s">
        <v>1236</v>
      </c>
      <c r="B5800" s="2" t="s">
        <v>1237</v>
      </c>
      <c r="C5800" s="3">
        <v>8</v>
      </c>
      <c r="D5800" s="4">
        <v>99.68</v>
      </c>
      <c r="E5800" s="4">
        <v>76.72</v>
      </c>
      <c r="F5800" s="4">
        <f t="shared" si="321"/>
        <v>22.960000000000008</v>
      </c>
      <c r="G5800" s="5">
        <f t="shared" si="322"/>
        <v>0.23033707865168546</v>
      </c>
      <c r="H5800" s="2" t="s">
        <v>5</v>
      </c>
      <c r="I5800" s="6" t="s">
        <v>2300</v>
      </c>
      <c r="J5800" s="2" t="s">
        <v>5</v>
      </c>
      <c r="K5800" s="2" t="s">
        <v>5</v>
      </c>
      <c r="L5800" s="2" t="s">
        <v>5</v>
      </c>
      <c r="M5800" s="2" t="s">
        <v>5</v>
      </c>
      <c r="N5800" s="4">
        <v>0</v>
      </c>
    </row>
    <row r="5801" spans="1:14" x14ac:dyDescent="0.25">
      <c r="A5801" s="2" t="s">
        <v>187</v>
      </c>
      <c r="B5801" s="2" t="s">
        <v>188</v>
      </c>
      <c r="C5801" s="3">
        <v>52.53</v>
      </c>
      <c r="D5801" s="4">
        <v>1459.8087</v>
      </c>
      <c r="E5801" s="4">
        <v>1155.6600000000001</v>
      </c>
      <c r="F5801" s="4">
        <f t="shared" si="321"/>
        <v>304.14869999999996</v>
      </c>
      <c r="G5801" s="5">
        <f t="shared" si="322"/>
        <v>0.20834832673623602</v>
      </c>
      <c r="H5801" s="2" t="s">
        <v>5</v>
      </c>
      <c r="I5801" s="6" t="s">
        <v>2300</v>
      </c>
      <c r="J5801" s="2" t="s">
        <v>5</v>
      </c>
      <c r="K5801" s="2" t="s">
        <v>5</v>
      </c>
      <c r="L5801" s="2" t="s">
        <v>5</v>
      </c>
      <c r="M5801" s="2" t="s">
        <v>5</v>
      </c>
      <c r="N5801" s="4">
        <v>0</v>
      </c>
    </row>
    <row r="5802" spans="1:14" x14ac:dyDescent="0.25">
      <c r="A5802" s="2" t="s">
        <v>187</v>
      </c>
      <c r="B5802" s="2" t="s">
        <v>188</v>
      </c>
      <c r="C5802" s="3">
        <v>111.82</v>
      </c>
      <c r="D5802" s="4">
        <v>3635.2682</v>
      </c>
      <c r="E5802" s="4">
        <v>2460.04</v>
      </c>
      <c r="F5802" s="4">
        <f t="shared" si="321"/>
        <v>1175.2282</v>
      </c>
      <c r="G5802" s="5">
        <f t="shared" si="322"/>
        <v>0.32328514303291295</v>
      </c>
      <c r="H5802" s="2" t="s">
        <v>5</v>
      </c>
      <c r="I5802" s="6" t="s">
        <v>2300</v>
      </c>
      <c r="J5802" s="2" t="s">
        <v>5</v>
      </c>
      <c r="K5802" s="2" t="s">
        <v>5</v>
      </c>
      <c r="L5802" s="2" t="s">
        <v>5</v>
      </c>
      <c r="M5802" s="2" t="s">
        <v>5</v>
      </c>
      <c r="N5802" s="4">
        <v>0</v>
      </c>
    </row>
    <row r="5803" spans="1:14" x14ac:dyDescent="0.25">
      <c r="A5803" s="2" t="s">
        <v>187</v>
      </c>
      <c r="B5803" s="2" t="s">
        <v>188</v>
      </c>
      <c r="C5803" s="3">
        <v>31.8</v>
      </c>
      <c r="D5803" s="4">
        <v>1033.818</v>
      </c>
      <c r="E5803" s="4">
        <v>699.6</v>
      </c>
      <c r="F5803" s="4">
        <f t="shared" si="321"/>
        <v>334.21799999999996</v>
      </c>
      <c r="G5803" s="5">
        <f t="shared" si="322"/>
        <v>0.32328514303291289</v>
      </c>
      <c r="H5803" s="2" t="s">
        <v>5</v>
      </c>
      <c r="I5803" s="6" t="s">
        <v>2300</v>
      </c>
      <c r="J5803" s="2" t="s">
        <v>5</v>
      </c>
      <c r="K5803" s="2" t="s">
        <v>5</v>
      </c>
      <c r="L5803" s="2" t="s">
        <v>5</v>
      </c>
      <c r="M5803" s="2" t="s">
        <v>5</v>
      </c>
      <c r="N5803" s="4">
        <v>0</v>
      </c>
    </row>
    <row r="5804" spans="1:14" x14ac:dyDescent="0.25">
      <c r="A5804" s="2" t="s">
        <v>187</v>
      </c>
      <c r="B5804" s="2" t="s">
        <v>188</v>
      </c>
      <c r="C5804" s="3">
        <v>25</v>
      </c>
      <c r="D5804" s="4">
        <v>801</v>
      </c>
      <c r="E5804" s="4">
        <v>550</v>
      </c>
      <c r="F5804" s="4">
        <f t="shared" si="321"/>
        <v>251</v>
      </c>
      <c r="G5804" s="5">
        <f t="shared" si="322"/>
        <v>0.31335830212234705</v>
      </c>
      <c r="H5804" s="2" t="s">
        <v>5</v>
      </c>
      <c r="I5804" s="6" t="s">
        <v>2300</v>
      </c>
      <c r="J5804" s="2" t="s">
        <v>5</v>
      </c>
      <c r="K5804" s="2" t="s">
        <v>5</v>
      </c>
      <c r="L5804" s="2" t="s">
        <v>5</v>
      </c>
      <c r="M5804" s="2" t="s">
        <v>5</v>
      </c>
      <c r="N5804" s="4">
        <v>0</v>
      </c>
    </row>
    <row r="5805" spans="1:14" x14ac:dyDescent="0.25">
      <c r="A5805" s="2" t="s">
        <v>187</v>
      </c>
      <c r="B5805" s="2" t="s">
        <v>188</v>
      </c>
      <c r="C5805" s="3">
        <v>25.465</v>
      </c>
      <c r="D5805" s="4">
        <v>827.86715000000004</v>
      </c>
      <c r="E5805" s="4">
        <v>560.23</v>
      </c>
      <c r="F5805" s="4">
        <f t="shared" si="321"/>
        <v>267.63715000000002</v>
      </c>
      <c r="G5805" s="5">
        <f t="shared" si="322"/>
        <v>0.32328514303291295</v>
      </c>
      <c r="H5805" s="2" t="s">
        <v>5</v>
      </c>
      <c r="I5805" s="6" t="s">
        <v>2300</v>
      </c>
      <c r="J5805" s="2" t="s">
        <v>5</v>
      </c>
      <c r="K5805" s="2" t="s">
        <v>5</v>
      </c>
      <c r="L5805" s="2" t="s">
        <v>5</v>
      </c>
      <c r="M5805" s="2" t="s">
        <v>5</v>
      </c>
      <c r="N5805" s="4">
        <v>0</v>
      </c>
    </row>
    <row r="5806" spans="1:14" x14ac:dyDescent="0.25">
      <c r="A5806" s="2" t="s">
        <v>187</v>
      </c>
      <c r="B5806" s="2" t="s">
        <v>188</v>
      </c>
      <c r="C5806" s="3">
        <v>46.49</v>
      </c>
      <c r="D5806" s="4">
        <v>1489.5396000000001</v>
      </c>
      <c r="E5806" s="4">
        <v>1022.78</v>
      </c>
      <c r="F5806" s="4">
        <f t="shared" si="321"/>
        <v>466.75960000000009</v>
      </c>
      <c r="G5806" s="5">
        <f t="shared" si="322"/>
        <v>0.31335830212234711</v>
      </c>
      <c r="H5806" s="2" t="s">
        <v>5</v>
      </c>
      <c r="I5806" s="6" t="s">
        <v>2300</v>
      </c>
      <c r="J5806" s="2" t="s">
        <v>5</v>
      </c>
      <c r="K5806" s="2" t="s">
        <v>5</v>
      </c>
      <c r="L5806" s="2" t="s">
        <v>5</v>
      </c>
      <c r="M5806" s="2" t="s">
        <v>5</v>
      </c>
      <c r="N5806" s="4">
        <v>0</v>
      </c>
    </row>
    <row r="5807" spans="1:14" x14ac:dyDescent="0.25">
      <c r="A5807" s="2" t="s">
        <v>1687</v>
      </c>
      <c r="B5807" s="2" t="s">
        <v>1688</v>
      </c>
      <c r="C5807" s="3">
        <v>41.994999999999997</v>
      </c>
      <c r="D5807" s="4">
        <v>1406.41255</v>
      </c>
      <c r="E5807" s="4">
        <v>923.89</v>
      </c>
      <c r="F5807" s="4">
        <f t="shared" si="321"/>
        <v>482.52255000000002</v>
      </c>
      <c r="G5807" s="5">
        <f t="shared" si="322"/>
        <v>0.34308748880262768</v>
      </c>
      <c r="H5807" s="2" t="s">
        <v>5</v>
      </c>
      <c r="I5807" s="6" t="s">
        <v>2300</v>
      </c>
      <c r="J5807" s="2" t="s">
        <v>5</v>
      </c>
      <c r="K5807" s="2" t="s">
        <v>5</v>
      </c>
      <c r="L5807" s="2" t="s">
        <v>5</v>
      </c>
      <c r="M5807" s="2" t="s">
        <v>5</v>
      </c>
      <c r="N5807" s="4">
        <v>0</v>
      </c>
    </row>
    <row r="5808" spans="1:14" x14ac:dyDescent="0.25">
      <c r="A5808" s="2" t="s">
        <v>1288</v>
      </c>
      <c r="B5808" s="2" t="s">
        <v>1289</v>
      </c>
      <c r="C5808" s="3">
        <v>10.23</v>
      </c>
      <c r="D5808" s="4">
        <v>339.22680000000003</v>
      </c>
      <c r="E5808" s="4">
        <v>225.06</v>
      </c>
      <c r="F5808" s="4">
        <f t="shared" si="321"/>
        <v>114.16680000000002</v>
      </c>
      <c r="G5808" s="5">
        <f t="shared" si="322"/>
        <v>0.33655006031363094</v>
      </c>
      <c r="H5808" s="2" t="s">
        <v>5</v>
      </c>
      <c r="I5808" s="6" t="s">
        <v>2300</v>
      </c>
      <c r="J5808" s="2" t="s">
        <v>5</v>
      </c>
      <c r="K5808" s="2" t="s">
        <v>5</v>
      </c>
      <c r="L5808" s="2" t="s">
        <v>5</v>
      </c>
      <c r="M5808" s="2" t="s">
        <v>5</v>
      </c>
      <c r="N5808" s="4">
        <v>0</v>
      </c>
    </row>
    <row r="5809" spans="1:14" x14ac:dyDescent="0.25">
      <c r="A5809" s="2" t="s">
        <v>1288</v>
      </c>
      <c r="B5809" s="2" t="s">
        <v>1289</v>
      </c>
      <c r="C5809" s="3">
        <v>10.96</v>
      </c>
      <c r="D5809" s="4">
        <v>351.15839999999997</v>
      </c>
      <c r="E5809" s="4">
        <v>241.12</v>
      </c>
      <c r="F5809" s="4">
        <f t="shared" si="321"/>
        <v>110.03839999999997</v>
      </c>
      <c r="G5809" s="5">
        <f t="shared" si="322"/>
        <v>0.313358302122347</v>
      </c>
      <c r="H5809" s="2" t="s">
        <v>5</v>
      </c>
      <c r="I5809" s="6" t="s">
        <v>2300</v>
      </c>
      <c r="J5809" s="2" t="s">
        <v>5</v>
      </c>
      <c r="K5809" s="2" t="s">
        <v>5</v>
      </c>
      <c r="L5809" s="2" t="s">
        <v>5</v>
      </c>
      <c r="M5809" s="2" t="s">
        <v>5</v>
      </c>
      <c r="N5809" s="4">
        <v>0</v>
      </c>
    </row>
    <row r="5810" spans="1:14" x14ac:dyDescent="0.25">
      <c r="A5810" s="2" t="s">
        <v>1288</v>
      </c>
      <c r="B5810" s="2" t="s">
        <v>1289</v>
      </c>
      <c r="C5810" s="3">
        <v>10.285</v>
      </c>
      <c r="D5810" s="4">
        <v>341.05059999999997</v>
      </c>
      <c r="E5810" s="4">
        <v>226.27</v>
      </c>
      <c r="F5810" s="4">
        <f t="shared" si="321"/>
        <v>114.78059999999996</v>
      </c>
      <c r="G5810" s="5">
        <f t="shared" si="322"/>
        <v>0.33655006031363083</v>
      </c>
      <c r="H5810" s="2" t="s">
        <v>5</v>
      </c>
      <c r="I5810" s="6" t="s">
        <v>2300</v>
      </c>
      <c r="J5810" s="2" t="s">
        <v>5</v>
      </c>
      <c r="K5810" s="2" t="s">
        <v>5</v>
      </c>
      <c r="L5810" s="2" t="s">
        <v>5</v>
      </c>
      <c r="M5810" s="2" t="s">
        <v>5</v>
      </c>
      <c r="N5810" s="4">
        <v>0</v>
      </c>
    </row>
    <row r="5811" spans="1:14" x14ac:dyDescent="0.25">
      <c r="A5811" s="2" t="s">
        <v>562</v>
      </c>
      <c r="B5811" s="2" t="s">
        <v>563</v>
      </c>
      <c r="C5811" s="3">
        <v>8.2799999999999994</v>
      </c>
      <c r="D5811" s="4">
        <v>281.3544</v>
      </c>
      <c r="E5811" s="4">
        <v>182.16</v>
      </c>
      <c r="F5811" s="4">
        <f t="shared" si="321"/>
        <v>99.194400000000002</v>
      </c>
      <c r="G5811" s="5">
        <f t="shared" si="322"/>
        <v>0.35256032960565037</v>
      </c>
      <c r="H5811" s="2" t="s">
        <v>5</v>
      </c>
      <c r="I5811" s="6" t="s">
        <v>2300</v>
      </c>
      <c r="J5811" s="2" t="s">
        <v>5</v>
      </c>
      <c r="K5811" s="2" t="s">
        <v>5</v>
      </c>
      <c r="L5811" s="2" t="s">
        <v>5</v>
      </c>
      <c r="M5811" s="2" t="s">
        <v>5</v>
      </c>
      <c r="N5811" s="4">
        <v>0</v>
      </c>
    </row>
    <row r="5812" spans="1:14" x14ac:dyDescent="0.25">
      <c r="A5812" s="2" t="s">
        <v>562</v>
      </c>
      <c r="B5812" s="2" t="s">
        <v>563</v>
      </c>
      <c r="C5812" s="3">
        <v>6.5949999999999998</v>
      </c>
      <c r="D5812" s="4">
        <v>224.09809999999999</v>
      </c>
      <c r="E5812" s="4">
        <v>145.09</v>
      </c>
      <c r="F5812" s="4">
        <f t="shared" si="321"/>
        <v>79.008099999999985</v>
      </c>
      <c r="G5812" s="5">
        <f t="shared" si="322"/>
        <v>0.35256032960565031</v>
      </c>
      <c r="H5812" s="2" t="s">
        <v>5</v>
      </c>
      <c r="I5812" s="6" t="s">
        <v>2300</v>
      </c>
      <c r="J5812" s="2" t="s">
        <v>5</v>
      </c>
      <c r="K5812" s="2" t="s">
        <v>5</v>
      </c>
      <c r="L5812" s="2" t="s">
        <v>5</v>
      </c>
      <c r="M5812" s="2" t="s">
        <v>5</v>
      </c>
      <c r="N5812" s="4">
        <v>0</v>
      </c>
    </row>
    <row r="5813" spans="1:14" x14ac:dyDescent="0.25">
      <c r="A5813" s="2" t="s">
        <v>562</v>
      </c>
      <c r="B5813" s="2" t="s">
        <v>563</v>
      </c>
      <c r="C5813" s="3">
        <v>12.425000000000001</v>
      </c>
      <c r="D5813" s="4">
        <v>419.96499999999997</v>
      </c>
      <c r="E5813" s="4">
        <v>273.35000000000002</v>
      </c>
      <c r="F5813" s="4">
        <f t="shared" si="321"/>
        <v>146.61499999999995</v>
      </c>
      <c r="G5813" s="5">
        <f t="shared" si="322"/>
        <v>0.34911242603550285</v>
      </c>
      <c r="H5813" s="2" t="s">
        <v>5</v>
      </c>
      <c r="I5813" s="6" t="s">
        <v>2300</v>
      </c>
      <c r="J5813" s="2" t="s">
        <v>5</v>
      </c>
      <c r="K5813" s="2" t="s">
        <v>5</v>
      </c>
      <c r="L5813" s="2" t="s">
        <v>5</v>
      </c>
      <c r="M5813" s="2" t="s">
        <v>5</v>
      </c>
      <c r="N5813" s="4">
        <v>0</v>
      </c>
    </row>
    <row r="5814" spans="1:14" x14ac:dyDescent="0.25">
      <c r="A5814" s="2" t="s">
        <v>562</v>
      </c>
      <c r="B5814" s="2" t="s">
        <v>563</v>
      </c>
      <c r="C5814" s="3">
        <v>8.34</v>
      </c>
      <c r="D5814" s="4">
        <v>283.39319999999998</v>
      </c>
      <c r="E5814" s="4">
        <v>183.48</v>
      </c>
      <c r="F5814" s="4">
        <f t="shared" si="321"/>
        <v>99.913199999999989</v>
      </c>
      <c r="G5814" s="5">
        <f t="shared" si="322"/>
        <v>0.35256032960565037</v>
      </c>
      <c r="H5814" s="2" t="s">
        <v>5</v>
      </c>
      <c r="I5814" s="6" t="s">
        <v>2300</v>
      </c>
      <c r="J5814" s="2" t="s">
        <v>5</v>
      </c>
      <c r="K5814" s="2" t="s">
        <v>5</v>
      </c>
      <c r="L5814" s="2" t="s">
        <v>5</v>
      </c>
      <c r="M5814" s="2" t="s">
        <v>5</v>
      </c>
      <c r="N5814" s="4">
        <v>0</v>
      </c>
    </row>
    <row r="5815" spans="1:14" x14ac:dyDescent="0.25">
      <c r="A5815" s="2" t="s">
        <v>562</v>
      </c>
      <c r="B5815" s="2" t="s">
        <v>563</v>
      </c>
      <c r="C5815" s="3">
        <v>8.31</v>
      </c>
      <c r="D5815" s="4">
        <v>282.37380000000002</v>
      </c>
      <c r="E5815" s="4">
        <v>182.82</v>
      </c>
      <c r="F5815" s="4">
        <f t="shared" si="321"/>
        <v>99.553800000000024</v>
      </c>
      <c r="G5815" s="5">
        <f t="shared" si="322"/>
        <v>0.35256032960565042</v>
      </c>
      <c r="H5815" s="2" t="s">
        <v>5</v>
      </c>
      <c r="I5815" s="6" t="s">
        <v>2300</v>
      </c>
      <c r="J5815" s="2" t="s">
        <v>5</v>
      </c>
      <c r="K5815" s="2" t="s">
        <v>5</v>
      </c>
      <c r="L5815" s="2" t="s">
        <v>5</v>
      </c>
      <c r="M5815" s="2" t="s">
        <v>5</v>
      </c>
      <c r="N5815" s="4">
        <v>0</v>
      </c>
    </row>
    <row r="5816" spans="1:14" x14ac:dyDescent="0.25">
      <c r="A5816" s="2" t="s">
        <v>562</v>
      </c>
      <c r="B5816" s="2" t="s">
        <v>563</v>
      </c>
      <c r="C5816" s="3">
        <v>3.35</v>
      </c>
      <c r="D5816" s="4">
        <v>113.833</v>
      </c>
      <c r="E5816" s="4">
        <v>73.7</v>
      </c>
      <c r="F5816" s="4">
        <f t="shared" si="321"/>
        <v>40.132999999999996</v>
      </c>
      <c r="G5816" s="5">
        <f t="shared" si="322"/>
        <v>0.35256032960565037</v>
      </c>
      <c r="H5816" s="2" t="s">
        <v>5</v>
      </c>
      <c r="I5816" s="6" t="s">
        <v>2300</v>
      </c>
      <c r="J5816" s="2" t="s">
        <v>5</v>
      </c>
      <c r="K5816" s="2" t="s">
        <v>5</v>
      </c>
      <c r="L5816" s="2" t="s">
        <v>5</v>
      </c>
      <c r="M5816" s="2" t="s">
        <v>5</v>
      </c>
      <c r="N5816" s="4">
        <v>0</v>
      </c>
    </row>
    <row r="5817" spans="1:14" x14ac:dyDescent="0.25">
      <c r="A5817" s="2" t="s">
        <v>562</v>
      </c>
      <c r="B5817" s="2" t="s">
        <v>563</v>
      </c>
      <c r="C5817" s="3">
        <v>3.21</v>
      </c>
      <c r="D5817" s="4">
        <v>109.0758</v>
      </c>
      <c r="E5817" s="4">
        <v>70.62</v>
      </c>
      <c r="F5817" s="4">
        <f t="shared" si="321"/>
        <v>38.455799999999996</v>
      </c>
      <c r="G5817" s="5">
        <f t="shared" si="322"/>
        <v>0.35256032960565037</v>
      </c>
      <c r="H5817" s="2" t="s">
        <v>5</v>
      </c>
      <c r="I5817" s="6" t="s">
        <v>2300</v>
      </c>
      <c r="J5817" s="2" t="s">
        <v>5</v>
      </c>
      <c r="K5817" s="2" t="s">
        <v>5</v>
      </c>
      <c r="L5817" s="2" t="s">
        <v>5</v>
      </c>
      <c r="M5817" s="2" t="s">
        <v>5</v>
      </c>
      <c r="N5817" s="4">
        <v>0</v>
      </c>
    </row>
    <row r="5818" spans="1:14" x14ac:dyDescent="0.25">
      <c r="A5818" s="2" t="s">
        <v>562</v>
      </c>
      <c r="B5818" s="2" t="s">
        <v>563</v>
      </c>
      <c r="C5818" s="3">
        <v>16.8</v>
      </c>
      <c r="D5818" s="4">
        <v>570.86400000000003</v>
      </c>
      <c r="E5818" s="4">
        <v>369.6</v>
      </c>
      <c r="F5818" s="4">
        <f t="shared" si="321"/>
        <v>201.26400000000001</v>
      </c>
      <c r="G5818" s="5">
        <f t="shared" si="322"/>
        <v>0.35256032960565037</v>
      </c>
      <c r="H5818" s="2" t="s">
        <v>5</v>
      </c>
      <c r="I5818" s="6" t="s">
        <v>2300</v>
      </c>
      <c r="J5818" s="2" t="s">
        <v>5</v>
      </c>
      <c r="K5818" s="2" t="s">
        <v>5</v>
      </c>
      <c r="L5818" s="2" t="s">
        <v>5</v>
      </c>
      <c r="M5818" s="2" t="s">
        <v>5</v>
      </c>
      <c r="N5818" s="4">
        <v>0</v>
      </c>
    </row>
    <row r="5819" spans="1:14" x14ac:dyDescent="0.25">
      <c r="A5819" s="2" t="s">
        <v>841</v>
      </c>
      <c r="B5819" s="2" t="s">
        <v>842</v>
      </c>
      <c r="C5819" s="3">
        <v>7.46</v>
      </c>
      <c r="D5819" s="4">
        <v>253.49080000000001</v>
      </c>
      <c r="E5819" s="4">
        <v>164.12</v>
      </c>
      <c r="F5819" s="4">
        <f t="shared" si="321"/>
        <v>89.370800000000003</v>
      </c>
      <c r="G5819" s="5">
        <f t="shared" si="322"/>
        <v>0.35256032960565037</v>
      </c>
      <c r="H5819" s="2" t="s">
        <v>5</v>
      </c>
      <c r="I5819" s="6" t="s">
        <v>2300</v>
      </c>
      <c r="J5819" s="2" t="s">
        <v>5</v>
      </c>
      <c r="K5819" s="2" t="s">
        <v>5</v>
      </c>
      <c r="L5819" s="2" t="s">
        <v>5</v>
      </c>
      <c r="M5819" s="2" t="s">
        <v>5</v>
      </c>
      <c r="N5819" s="4">
        <v>0</v>
      </c>
    </row>
    <row r="5820" spans="1:14" x14ac:dyDescent="0.25">
      <c r="A5820" s="2" t="s">
        <v>904</v>
      </c>
      <c r="B5820" s="2" t="s">
        <v>905</v>
      </c>
      <c r="C5820" s="3">
        <v>10.1</v>
      </c>
      <c r="D5820" s="4">
        <v>146.34899999999999</v>
      </c>
      <c r="E5820" s="4">
        <v>123.22</v>
      </c>
      <c r="F5820" s="4">
        <f t="shared" si="321"/>
        <v>23.128999999999991</v>
      </c>
      <c r="G5820" s="5">
        <f t="shared" si="322"/>
        <v>0.15804002760524494</v>
      </c>
      <c r="H5820" s="2" t="s">
        <v>5</v>
      </c>
      <c r="I5820" s="6" t="s">
        <v>2300</v>
      </c>
      <c r="J5820" s="2" t="s">
        <v>5</v>
      </c>
      <c r="K5820" s="2" t="s">
        <v>5</v>
      </c>
      <c r="L5820" s="2" t="s">
        <v>5</v>
      </c>
      <c r="M5820" s="2" t="s">
        <v>5</v>
      </c>
      <c r="N5820" s="4">
        <v>0</v>
      </c>
    </row>
    <row r="5821" spans="1:14" x14ac:dyDescent="0.25">
      <c r="A5821" s="2" t="s">
        <v>908</v>
      </c>
      <c r="B5821" s="2" t="s">
        <v>909</v>
      </c>
      <c r="C5821" s="3">
        <v>3.3860000000000001</v>
      </c>
      <c r="D5821" s="4">
        <v>200.34961999999999</v>
      </c>
      <c r="E5821" s="4">
        <v>125.282</v>
      </c>
      <c r="F5821" s="4">
        <f t="shared" si="321"/>
        <v>75.067619999999991</v>
      </c>
      <c r="G5821" s="5">
        <f t="shared" si="322"/>
        <v>0.37468311644414398</v>
      </c>
      <c r="H5821" s="2" t="s">
        <v>5</v>
      </c>
      <c r="I5821" s="6" t="s">
        <v>2300</v>
      </c>
      <c r="J5821" s="2" t="s">
        <v>5</v>
      </c>
      <c r="K5821" s="2" t="s">
        <v>5</v>
      </c>
      <c r="L5821" s="2" t="s">
        <v>5</v>
      </c>
      <c r="M5821" s="2" t="s">
        <v>5</v>
      </c>
      <c r="N5821" s="4">
        <v>0</v>
      </c>
    </row>
    <row r="5822" spans="1:14" x14ac:dyDescent="0.25">
      <c r="A5822" s="2" t="s">
        <v>908</v>
      </c>
      <c r="B5822" s="2" t="s">
        <v>909</v>
      </c>
      <c r="C5822" s="3">
        <v>4.18</v>
      </c>
      <c r="D5822" s="4">
        <v>247.3306</v>
      </c>
      <c r="E5822" s="4">
        <v>154.66</v>
      </c>
      <c r="F5822" s="4">
        <f t="shared" si="321"/>
        <v>92.670600000000007</v>
      </c>
      <c r="G5822" s="5">
        <f t="shared" si="322"/>
        <v>0.37468311644414404</v>
      </c>
      <c r="H5822" s="2" t="s">
        <v>5</v>
      </c>
      <c r="I5822" s="6" t="s">
        <v>2300</v>
      </c>
      <c r="J5822" s="2" t="s">
        <v>5</v>
      </c>
      <c r="K5822" s="2" t="s">
        <v>5</v>
      </c>
      <c r="L5822" s="2" t="s">
        <v>5</v>
      </c>
      <c r="M5822" s="2" t="s">
        <v>5</v>
      </c>
      <c r="N5822" s="4">
        <v>0</v>
      </c>
    </row>
    <row r="5823" spans="1:14" x14ac:dyDescent="0.25">
      <c r="A5823" s="2" t="s">
        <v>908</v>
      </c>
      <c r="B5823" s="2" t="s">
        <v>909</v>
      </c>
      <c r="C5823" s="3">
        <v>13.385</v>
      </c>
      <c r="D5823" s="4">
        <v>791.99045000000001</v>
      </c>
      <c r="E5823" s="4">
        <v>495.245</v>
      </c>
      <c r="F5823" s="4">
        <f t="shared" si="321"/>
        <v>296.74545000000001</v>
      </c>
      <c r="G5823" s="5">
        <f t="shared" si="322"/>
        <v>0.37468311644414398</v>
      </c>
      <c r="H5823" s="2" t="s">
        <v>5</v>
      </c>
      <c r="I5823" s="6" t="s">
        <v>2300</v>
      </c>
      <c r="J5823" s="2" t="s">
        <v>5</v>
      </c>
      <c r="K5823" s="2" t="s">
        <v>5</v>
      </c>
      <c r="L5823" s="2" t="s">
        <v>5</v>
      </c>
      <c r="M5823" s="2" t="s">
        <v>5</v>
      </c>
      <c r="N5823" s="4">
        <v>0</v>
      </c>
    </row>
    <row r="5824" spans="1:14" x14ac:dyDescent="0.25">
      <c r="A5824" s="2" t="s">
        <v>908</v>
      </c>
      <c r="B5824" s="2" t="s">
        <v>909</v>
      </c>
      <c r="C5824" s="3">
        <v>4.1159999999999997</v>
      </c>
      <c r="D5824" s="4">
        <v>243.54372000000001</v>
      </c>
      <c r="E5824" s="4">
        <v>152.292</v>
      </c>
      <c r="F5824" s="4">
        <f t="shared" si="321"/>
        <v>91.251720000000006</v>
      </c>
      <c r="G5824" s="5">
        <f t="shared" si="322"/>
        <v>0.37468311644414398</v>
      </c>
      <c r="H5824" s="2" t="s">
        <v>5</v>
      </c>
      <c r="I5824" s="6" t="s">
        <v>2300</v>
      </c>
      <c r="J5824" s="2" t="s">
        <v>5</v>
      </c>
      <c r="K5824" s="2" t="s">
        <v>5</v>
      </c>
      <c r="L5824" s="2" t="s">
        <v>5</v>
      </c>
      <c r="M5824" s="2" t="s">
        <v>5</v>
      </c>
      <c r="N5824" s="4">
        <v>0</v>
      </c>
    </row>
    <row r="5825" spans="1:14" x14ac:dyDescent="0.25">
      <c r="A5825" s="2" t="s">
        <v>914</v>
      </c>
      <c r="B5825" s="2" t="s">
        <v>915</v>
      </c>
      <c r="C5825" s="3">
        <v>0.82199999999999995</v>
      </c>
      <c r="D5825" s="4">
        <v>45.177120000000002</v>
      </c>
      <c r="E5825" s="4">
        <v>40.195799999999998</v>
      </c>
      <c r="F5825" s="4">
        <f t="shared" si="321"/>
        <v>4.9813200000000037</v>
      </c>
      <c r="G5825" s="5">
        <f t="shared" si="322"/>
        <v>0.11026200873362453</v>
      </c>
      <c r="H5825" s="2" t="s">
        <v>5</v>
      </c>
      <c r="I5825" s="6" t="s">
        <v>2300</v>
      </c>
      <c r="J5825" s="2" t="s">
        <v>5</v>
      </c>
      <c r="K5825" s="2" t="s">
        <v>5</v>
      </c>
      <c r="L5825" s="2" t="s">
        <v>5</v>
      </c>
      <c r="M5825" s="2" t="s">
        <v>5</v>
      </c>
      <c r="N5825" s="4">
        <v>0</v>
      </c>
    </row>
    <row r="5826" spans="1:14" x14ac:dyDescent="0.25">
      <c r="A5826" s="2" t="s">
        <v>914</v>
      </c>
      <c r="B5826" s="2" t="s">
        <v>915</v>
      </c>
      <c r="C5826" s="3">
        <v>4.28</v>
      </c>
      <c r="D5826" s="4">
        <v>235.22880000000001</v>
      </c>
      <c r="E5826" s="4">
        <v>209.292</v>
      </c>
      <c r="F5826" s="4">
        <f t="shared" si="321"/>
        <v>25.936800000000005</v>
      </c>
      <c r="G5826" s="5">
        <f t="shared" si="322"/>
        <v>0.11026200873362448</v>
      </c>
      <c r="H5826" s="2" t="s">
        <v>5</v>
      </c>
      <c r="I5826" s="6" t="s">
        <v>2300</v>
      </c>
      <c r="J5826" s="2" t="s">
        <v>5</v>
      </c>
      <c r="K5826" s="2" t="s">
        <v>5</v>
      </c>
      <c r="L5826" s="2" t="s">
        <v>5</v>
      </c>
      <c r="M5826" s="2" t="s">
        <v>5</v>
      </c>
      <c r="N5826" s="4">
        <v>0</v>
      </c>
    </row>
    <row r="5827" spans="1:14" x14ac:dyDescent="0.25">
      <c r="A5827" s="2" t="s">
        <v>916</v>
      </c>
      <c r="B5827" s="2" t="s">
        <v>917</v>
      </c>
      <c r="C5827" s="3">
        <v>8.43</v>
      </c>
      <c r="D5827" s="4">
        <v>189.92789999999999</v>
      </c>
      <c r="E5827" s="4">
        <v>127.29300000000001</v>
      </c>
      <c r="F5827" s="4">
        <f t="shared" si="321"/>
        <v>62.634899999999988</v>
      </c>
      <c r="G5827" s="5">
        <f t="shared" si="322"/>
        <v>0.32978251220594756</v>
      </c>
      <c r="H5827" s="2" t="s">
        <v>5</v>
      </c>
      <c r="I5827" s="6" t="s">
        <v>2300</v>
      </c>
      <c r="J5827" s="2" t="s">
        <v>5</v>
      </c>
      <c r="K5827" s="2" t="s">
        <v>5</v>
      </c>
      <c r="L5827" s="2" t="s">
        <v>5</v>
      </c>
      <c r="M5827" s="2" t="s">
        <v>5</v>
      </c>
      <c r="N5827" s="4">
        <v>0</v>
      </c>
    </row>
    <row r="5828" spans="1:14" x14ac:dyDescent="0.25">
      <c r="A5828" s="2" t="s">
        <v>918</v>
      </c>
      <c r="B5828" s="2" t="s">
        <v>919</v>
      </c>
      <c r="C5828" s="3">
        <v>16.989999999999998</v>
      </c>
      <c r="D5828" s="4">
        <v>301.06279999999998</v>
      </c>
      <c r="E5828" s="4">
        <v>219.17099999999999</v>
      </c>
      <c r="F5828" s="4">
        <f t="shared" si="321"/>
        <v>81.891799999999989</v>
      </c>
      <c r="G5828" s="5">
        <f t="shared" si="322"/>
        <v>0.27200902934537247</v>
      </c>
      <c r="H5828" s="2" t="s">
        <v>5</v>
      </c>
      <c r="I5828" s="6" t="s">
        <v>2300</v>
      </c>
      <c r="J5828" s="2" t="s">
        <v>5</v>
      </c>
      <c r="K5828" s="2" t="s">
        <v>5</v>
      </c>
      <c r="L5828" s="2" t="s">
        <v>5</v>
      </c>
      <c r="M5828" s="2" t="s">
        <v>5</v>
      </c>
      <c r="N5828" s="4">
        <v>0</v>
      </c>
    </row>
    <row r="5829" spans="1:14" x14ac:dyDescent="0.25">
      <c r="A5829" s="2" t="s">
        <v>920</v>
      </c>
      <c r="B5829" s="2" t="s">
        <v>921</v>
      </c>
      <c r="C5829" s="3">
        <v>5.7519999999999998</v>
      </c>
      <c r="D5829" s="4">
        <v>282.76832000000002</v>
      </c>
      <c r="E5829" s="4">
        <v>172.56</v>
      </c>
      <c r="F5829" s="4">
        <f t="shared" si="321"/>
        <v>110.20832000000001</v>
      </c>
      <c r="G5829" s="5">
        <f t="shared" si="322"/>
        <v>0.38974776240846221</v>
      </c>
      <c r="H5829" s="2" t="s">
        <v>5</v>
      </c>
      <c r="I5829" s="6" t="s">
        <v>2300</v>
      </c>
      <c r="J5829" s="2" t="s">
        <v>5</v>
      </c>
      <c r="K5829" s="2" t="s">
        <v>5</v>
      </c>
      <c r="L5829" s="2" t="s">
        <v>5</v>
      </c>
      <c r="M5829" s="2" t="s">
        <v>5</v>
      </c>
      <c r="N5829" s="4">
        <v>0</v>
      </c>
    </row>
    <row r="5830" spans="1:14" x14ac:dyDescent="0.25">
      <c r="A5830" s="2" t="s">
        <v>920</v>
      </c>
      <c r="B5830" s="2" t="s">
        <v>921</v>
      </c>
      <c r="C5830" s="3">
        <v>1.7</v>
      </c>
      <c r="D5830" s="4">
        <v>83.572000000000003</v>
      </c>
      <c r="E5830" s="4">
        <v>51</v>
      </c>
      <c r="F5830" s="4">
        <f t="shared" si="321"/>
        <v>32.572000000000003</v>
      </c>
      <c r="G5830" s="5">
        <f t="shared" si="322"/>
        <v>0.38974776240846221</v>
      </c>
      <c r="H5830" s="2" t="s">
        <v>5</v>
      </c>
      <c r="I5830" s="6" t="s">
        <v>2300</v>
      </c>
      <c r="J5830" s="2" t="s">
        <v>5</v>
      </c>
      <c r="K5830" s="2" t="s">
        <v>5</v>
      </c>
      <c r="L5830" s="2" t="s">
        <v>5</v>
      </c>
      <c r="M5830" s="2" t="s">
        <v>5</v>
      </c>
      <c r="N5830" s="4">
        <v>0</v>
      </c>
    </row>
    <row r="5831" spans="1:14" x14ac:dyDescent="0.25">
      <c r="A5831" s="2" t="s">
        <v>920</v>
      </c>
      <c r="B5831" s="2" t="s">
        <v>921</v>
      </c>
      <c r="C5831" s="3">
        <v>2.4900000000000002</v>
      </c>
      <c r="D5831" s="4">
        <v>122.4084</v>
      </c>
      <c r="E5831" s="4">
        <v>74.7</v>
      </c>
      <c r="F5831" s="4">
        <f t="shared" si="321"/>
        <v>47.708399999999997</v>
      </c>
      <c r="G5831" s="5">
        <f t="shared" si="322"/>
        <v>0.38974776240846215</v>
      </c>
      <c r="H5831" s="2" t="s">
        <v>5</v>
      </c>
      <c r="I5831" s="6" t="s">
        <v>2300</v>
      </c>
      <c r="J5831" s="2" t="s">
        <v>5</v>
      </c>
      <c r="K5831" s="2" t="s">
        <v>5</v>
      </c>
      <c r="L5831" s="2" t="s">
        <v>5</v>
      </c>
      <c r="M5831" s="2" t="s">
        <v>5</v>
      </c>
      <c r="N5831" s="4">
        <v>0</v>
      </c>
    </row>
    <row r="5832" spans="1:14" x14ac:dyDescent="0.25">
      <c r="A5832" s="2" t="s">
        <v>922</v>
      </c>
      <c r="B5832" s="2" t="s">
        <v>923</v>
      </c>
      <c r="C5832" s="3">
        <v>2.56</v>
      </c>
      <c r="D5832" s="4">
        <v>243.2</v>
      </c>
      <c r="E5832" s="4">
        <v>204.8</v>
      </c>
      <c r="F5832" s="4">
        <f t="shared" si="321"/>
        <v>38.399999999999977</v>
      </c>
      <c r="G5832" s="5">
        <f t="shared" si="322"/>
        <v>0.15789473684210517</v>
      </c>
      <c r="H5832" s="2" t="s">
        <v>5</v>
      </c>
      <c r="I5832" s="6" t="s">
        <v>2300</v>
      </c>
      <c r="J5832" s="2" t="s">
        <v>5</v>
      </c>
      <c r="K5832" s="2" t="s">
        <v>5</v>
      </c>
      <c r="L5832" s="2" t="s">
        <v>5</v>
      </c>
      <c r="M5832" s="2" t="s">
        <v>5</v>
      </c>
      <c r="N5832" s="4">
        <v>0</v>
      </c>
    </row>
    <row r="5833" spans="1:14" x14ac:dyDescent="0.25">
      <c r="A5833" s="2" t="s">
        <v>922</v>
      </c>
      <c r="B5833" s="2" t="s">
        <v>923</v>
      </c>
      <c r="C5833" s="3">
        <v>1.08</v>
      </c>
      <c r="D5833" s="4">
        <v>102.6</v>
      </c>
      <c r="E5833" s="4">
        <v>86.4</v>
      </c>
      <c r="F5833" s="4">
        <f t="shared" si="321"/>
        <v>16.199999999999989</v>
      </c>
      <c r="G5833" s="5">
        <f t="shared" si="322"/>
        <v>0.15789473684210517</v>
      </c>
      <c r="H5833" s="2" t="s">
        <v>5</v>
      </c>
      <c r="I5833" s="6" t="s">
        <v>2300</v>
      </c>
      <c r="J5833" s="2" t="s">
        <v>5</v>
      </c>
      <c r="K5833" s="2" t="s">
        <v>5</v>
      </c>
      <c r="L5833" s="2" t="s">
        <v>5</v>
      </c>
      <c r="M5833" s="2" t="s">
        <v>5</v>
      </c>
      <c r="N5833" s="4">
        <v>0</v>
      </c>
    </row>
    <row r="5834" spans="1:14" x14ac:dyDescent="0.25">
      <c r="A5834" s="2" t="s">
        <v>922</v>
      </c>
      <c r="B5834" s="2" t="s">
        <v>923</v>
      </c>
      <c r="C5834" s="3">
        <v>2.71</v>
      </c>
      <c r="D5834" s="4">
        <v>257.45</v>
      </c>
      <c r="E5834" s="4">
        <v>216.8</v>
      </c>
      <c r="F5834" s="4">
        <f t="shared" si="321"/>
        <v>40.649999999999977</v>
      </c>
      <c r="G5834" s="5">
        <f t="shared" si="322"/>
        <v>0.15789473684210517</v>
      </c>
      <c r="H5834" s="2" t="s">
        <v>5</v>
      </c>
      <c r="I5834" s="6" t="s">
        <v>2300</v>
      </c>
      <c r="J5834" s="2" t="s">
        <v>5</v>
      </c>
      <c r="K5834" s="2" t="s">
        <v>5</v>
      </c>
      <c r="L5834" s="2" t="s">
        <v>5</v>
      </c>
      <c r="M5834" s="2" t="s">
        <v>5</v>
      </c>
      <c r="N5834" s="4">
        <v>0</v>
      </c>
    </row>
    <row r="5835" spans="1:14" x14ac:dyDescent="0.25">
      <c r="A5835" s="2" t="s">
        <v>924</v>
      </c>
      <c r="B5835" s="2" t="s">
        <v>925</v>
      </c>
      <c r="C5835" s="3">
        <v>13.14</v>
      </c>
      <c r="D5835" s="4">
        <v>664.09559999999999</v>
      </c>
      <c r="E5835" s="4">
        <v>459.9</v>
      </c>
      <c r="F5835" s="4">
        <f t="shared" si="321"/>
        <v>204.19560000000001</v>
      </c>
      <c r="G5835" s="5">
        <f t="shared" si="322"/>
        <v>0.30747922437673131</v>
      </c>
      <c r="H5835" s="2" t="s">
        <v>5</v>
      </c>
      <c r="I5835" s="6" t="s">
        <v>2300</v>
      </c>
      <c r="J5835" s="2" t="s">
        <v>5</v>
      </c>
      <c r="K5835" s="2" t="s">
        <v>5</v>
      </c>
      <c r="L5835" s="2" t="s">
        <v>5</v>
      </c>
      <c r="M5835" s="2" t="s">
        <v>5</v>
      </c>
      <c r="N5835" s="4">
        <v>0</v>
      </c>
    </row>
    <row r="5836" spans="1:14" x14ac:dyDescent="0.25">
      <c r="A5836" s="2" t="s">
        <v>924</v>
      </c>
      <c r="B5836" s="2" t="s">
        <v>925</v>
      </c>
      <c r="C5836" s="3">
        <v>5.16</v>
      </c>
      <c r="D5836" s="4">
        <v>260.78640000000001</v>
      </c>
      <c r="E5836" s="4">
        <v>180.6</v>
      </c>
      <c r="F5836" s="4">
        <f t="shared" si="321"/>
        <v>80.18640000000002</v>
      </c>
      <c r="G5836" s="5">
        <f t="shared" si="322"/>
        <v>0.30747922437673136</v>
      </c>
      <c r="H5836" s="2" t="s">
        <v>5</v>
      </c>
      <c r="I5836" s="6" t="s">
        <v>2300</v>
      </c>
      <c r="J5836" s="2" t="s">
        <v>5</v>
      </c>
      <c r="K5836" s="2" t="s">
        <v>5</v>
      </c>
      <c r="L5836" s="2" t="s">
        <v>5</v>
      </c>
      <c r="M5836" s="2" t="s">
        <v>5</v>
      </c>
      <c r="N5836" s="4">
        <v>0</v>
      </c>
    </row>
    <row r="5837" spans="1:14" x14ac:dyDescent="0.25">
      <c r="A5837" s="2" t="s">
        <v>926</v>
      </c>
      <c r="B5837" s="2" t="s">
        <v>927</v>
      </c>
      <c r="C5837" s="3">
        <v>6.65</v>
      </c>
      <c r="D5837" s="4">
        <v>336.09100000000001</v>
      </c>
      <c r="E5837" s="4">
        <v>226.1</v>
      </c>
      <c r="F5837" s="4">
        <f t="shared" si="321"/>
        <v>109.99100000000001</v>
      </c>
      <c r="G5837" s="5">
        <f t="shared" si="322"/>
        <v>0.32726553225168187</v>
      </c>
      <c r="H5837" s="2" t="s">
        <v>5</v>
      </c>
      <c r="I5837" s="6" t="s">
        <v>2300</v>
      </c>
      <c r="J5837" s="2" t="s">
        <v>5</v>
      </c>
      <c r="K5837" s="2" t="s">
        <v>5</v>
      </c>
      <c r="L5837" s="2" t="s">
        <v>5</v>
      </c>
      <c r="M5837" s="2" t="s">
        <v>5</v>
      </c>
      <c r="N5837" s="4">
        <v>0</v>
      </c>
    </row>
    <row r="5838" spans="1:14" x14ac:dyDescent="0.25">
      <c r="A5838" s="2" t="s">
        <v>926</v>
      </c>
      <c r="B5838" s="2" t="s">
        <v>927</v>
      </c>
      <c r="C5838" s="3">
        <v>16.28</v>
      </c>
      <c r="D5838" s="4">
        <v>822.7912</v>
      </c>
      <c r="E5838" s="4">
        <v>553.52</v>
      </c>
      <c r="F5838" s="4">
        <f t="shared" si="321"/>
        <v>269.27120000000002</v>
      </c>
      <c r="G5838" s="5">
        <f t="shared" si="322"/>
        <v>0.32726553225168187</v>
      </c>
      <c r="H5838" s="2" t="s">
        <v>5</v>
      </c>
      <c r="I5838" s="6" t="s">
        <v>2300</v>
      </c>
      <c r="J5838" s="2" t="s">
        <v>5</v>
      </c>
      <c r="K5838" s="2" t="s">
        <v>5</v>
      </c>
      <c r="L5838" s="2" t="s">
        <v>5</v>
      </c>
      <c r="M5838" s="2" t="s">
        <v>5</v>
      </c>
      <c r="N5838" s="4">
        <v>0</v>
      </c>
    </row>
    <row r="5839" spans="1:14" x14ac:dyDescent="0.25">
      <c r="A5839" s="2" t="s">
        <v>928</v>
      </c>
      <c r="B5839" s="2" t="s">
        <v>929</v>
      </c>
      <c r="C5839" s="3">
        <v>8.48</v>
      </c>
      <c r="D5839" s="4">
        <v>256.77440000000001</v>
      </c>
      <c r="E5839" s="4">
        <v>125.08</v>
      </c>
      <c r="F5839" s="4">
        <f t="shared" si="321"/>
        <v>131.69440000000003</v>
      </c>
      <c r="G5839" s="5">
        <f t="shared" si="322"/>
        <v>0.51287978863936601</v>
      </c>
      <c r="H5839" s="2" t="s">
        <v>5</v>
      </c>
      <c r="I5839" s="6" t="s">
        <v>2300</v>
      </c>
      <c r="J5839" s="2" t="s">
        <v>5</v>
      </c>
      <c r="K5839" s="2" t="s">
        <v>5</v>
      </c>
      <c r="L5839" s="2" t="s">
        <v>5</v>
      </c>
      <c r="M5839" s="2" t="s">
        <v>5</v>
      </c>
      <c r="N5839" s="4">
        <v>0</v>
      </c>
    </row>
    <row r="5840" spans="1:14" x14ac:dyDescent="0.25">
      <c r="A5840" s="2" t="s">
        <v>928</v>
      </c>
      <c r="B5840" s="2" t="s">
        <v>929</v>
      </c>
      <c r="C5840" s="3">
        <v>16.28</v>
      </c>
      <c r="D5840" s="4">
        <v>492.95839999999998</v>
      </c>
      <c r="E5840" s="4">
        <v>240.13</v>
      </c>
      <c r="F5840" s="4">
        <f t="shared" si="321"/>
        <v>252.82839999999999</v>
      </c>
      <c r="G5840" s="5">
        <f t="shared" si="322"/>
        <v>0.5128797886393659</v>
      </c>
      <c r="H5840" s="2" t="s">
        <v>5</v>
      </c>
      <c r="I5840" s="6" t="s">
        <v>2300</v>
      </c>
      <c r="J5840" s="2" t="s">
        <v>5</v>
      </c>
      <c r="K5840" s="2" t="s">
        <v>5</v>
      </c>
      <c r="L5840" s="2" t="s">
        <v>5</v>
      </c>
      <c r="M5840" s="2" t="s">
        <v>5</v>
      </c>
      <c r="N5840" s="4">
        <v>0</v>
      </c>
    </row>
    <row r="5841" spans="1:14" x14ac:dyDescent="0.25">
      <c r="A5841" s="2" t="s">
        <v>928</v>
      </c>
      <c r="B5841" s="2" t="s">
        <v>929</v>
      </c>
      <c r="C5841" s="3">
        <v>6.43</v>
      </c>
      <c r="D5841" s="4">
        <v>194.7004</v>
      </c>
      <c r="E5841" s="4">
        <v>94.842500000000001</v>
      </c>
      <c r="F5841" s="4">
        <f t="shared" si="321"/>
        <v>99.857900000000001</v>
      </c>
      <c r="G5841" s="5">
        <f t="shared" si="322"/>
        <v>0.5128797886393659</v>
      </c>
      <c r="H5841" s="2" t="s">
        <v>5</v>
      </c>
      <c r="I5841" s="6" t="s">
        <v>2300</v>
      </c>
      <c r="J5841" s="2" t="s">
        <v>5</v>
      </c>
      <c r="K5841" s="2" t="s">
        <v>5</v>
      </c>
      <c r="L5841" s="2" t="s">
        <v>5</v>
      </c>
      <c r="M5841" s="2" t="s">
        <v>5</v>
      </c>
      <c r="N5841" s="4">
        <v>0</v>
      </c>
    </row>
    <row r="5842" spans="1:14" x14ac:dyDescent="0.25">
      <c r="A5842" s="2" t="s">
        <v>928</v>
      </c>
      <c r="B5842" s="2" t="s">
        <v>929</v>
      </c>
      <c r="C5842" s="3">
        <v>10.5</v>
      </c>
      <c r="D5842" s="4">
        <v>317.94</v>
      </c>
      <c r="E5842" s="4">
        <v>154.875</v>
      </c>
      <c r="F5842" s="4">
        <f t="shared" si="321"/>
        <v>163.065</v>
      </c>
      <c r="G5842" s="5">
        <f t="shared" si="322"/>
        <v>0.5128797886393659</v>
      </c>
      <c r="H5842" s="2" t="s">
        <v>5</v>
      </c>
      <c r="I5842" s="6" t="s">
        <v>2300</v>
      </c>
      <c r="J5842" s="2" t="s">
        <v>5</v>
      </c>
      <c r="K5842" s="2" t="s">
        <v>5</v>
      </c>
      <c r="L5842" s="2" t="s">
        <v>5</v>
      </c>
      <c r="M5842" s="2" t="s">
        <v>5</v>
      </c>
      <c r="N5842" s="4">
        <v>0</v>
      </c>
    </row>
    <row r="5843" spans="1:14" x14ac:dyDescent="0.25">
      <c r="A5843" s="2" t="s">
        <v>930</v>
      </c>
      <c r="B5843" s="2" t="s">
        <v>931</v>
      </c>
      <c r="C5843" s="3">
        <v>10.11</v>
      </c>
      <c r="D5843" s="4">
        <v>306.13080000000002</v>
      </c>
      <c r="E5843" s="4">
        <v>149.1225</v>
      </c>
      <c r="F5843" s="4">
        <f t="shared" si="321"/>
        <v>157.00830000000002</v>
      </c>
      <c r="G5843" s="5">
        <f t="shared" si="322"/>
        <v>0.5128797886393659</v>
      </c>
      <c r="H5843" s="2" t="s">
        <v>5</v>
      </c>
      <c r="I5843" s="6" t="s">
        <v>2300</v>
      </c>
      <c r="J5843" s="2" t="s">
        <v>5</v>
      </c>
      <c r="K5843" s="2" t="s">
        <v>5</v>
      </c>
      <c r="L5843" s="2" t="s">
        <v>5</v>
      </c>
      <c r="M5843" s="2" t="s">
        <v>5</v>
      </c>
      <c r="N5843" s="4">
        <v>0</v>
      </c>
    </row>
    <row r="5844" spans="1:14" x14ac:dyDescent="0.25">
      <c r="A5844" s="2" t="s">
        <v>930</v>
      </c>
      <c r="B5844" s="2" t="s">
        <v>931</v>
      </c>
      <c r="C5844" s="3">
        <v>6.085</v>
      </c>
      <c r="D5844" s="4">
        <v>184.25380000000001</v>
      </c>
      <c r="E5844" s="4">
        <v>89.753749999999997</v>
      </c>
      <c r="F5844" s="4">
        <f t="shared" si="321"/>
        <v>94.500050000000016</v>
      </c>
      <c r="G5844" s="5">
        <f t="shared" si="322"/>
        <v>0.51287978863936601</v>
      </c>
      <c r="H5844" s="2" t="s">
        <v>5</v>
      </c>
      <c r="I5844" s="6" t="s">
        <v>2300</v>
      </c>
      <c r="J5844" s="2" t="s">
        <v>5</v>
      </c>
      <c r="K5844" s="2" t="s">
        <v>5</v>
      </c>
      <c r="L5844" s="2" t="s">
        <v>5</v>
      </c>
      <c r="M5844" s="2" t="s">
        <v>5</v>
      </c>
      <c r="N5844" s="4">
        <v>0</v>
      </c>
    </row>
    <row r="5845" spans="1:14" x14ac:dyDescent="0.25">
      <c r="A5845" s="2" t="s">
        <v>930</v>
      </c>
      <c r="B5845" s="2" t="s">
        <v>931</v>
      </c>
      <c r="C5845" s="3">
        <v>12.65</v>
      </c>
      <c r="D5845" s="4">
        <v>383.04199999999997</v>
      </c>
      <c r="E5845" s="4">
        <v>186.58750000000001</v>
      </c>
      <c r="F5845" s="4">
        <f t="shared" si="321"/>
        <v>196.45449999999997</v>
      </c>
      <c r="G5845" s="5">
        <f t="shared" si="322"/>
        <v>0.5128797886393659</v>
      </c>
      <c r="H5845" s="2" t="s">
        <v>5</v>
      </c>
      <c r="I5845" s="6" t="s">
        <v>2300</v>
      </c>
      <c r="J5845" s="2" t="s">
        <v>5</v>
      </c>
      <c r="K5845" s="2" t="s">
        <v>5</v>
      </c>
      <c r="L5845" s="2" t="s">
        <v>5</v>
      </c>
      <c r="M5845" s="2" t="s">
        <v>5</v>
      </c>
      <c r="N5845" s="4">
        <v>0</v>
      </c>
    </row>
    <row r="5846" spans="1:14" x14ac:dyDescent="0.25">
      <c r="A5846" s="2" t="s">
        <v>932</v>
      </c>
      <c r="B5846" s="2" t="s">
        <v>933</v>
      </c>
      <c r="C5846" s="3">
        <v>4.13</v>
      </c>
      <c r="D5846" s="4">
        <v>105.81059999999999</v>
      </c>
      <c r="E5846" s="4">
        <v>59.884999999999998</v>
      </c>
      <c r="F5846" s="4">
        <f t="shared" si="321"/>
        <v>45.925599999999996</v>
      </c>
      <c r="G5846" s="5">
        <f t="shared" si="322"/>
        <v>0.43403590944574549</v>
      </c>
      <c r="H5846" s="2" t="s">
        <v>5</v>
      </c>
      <c r="I5846" s="6" t="s">
        <v>2300</v>
      </c>
      <c r="J5846" s="2" t="s">
        <v>5</v>
      </c>
      <c r="K5846" s="2" t="s">
        <v>5</v>
      </c>
      <c r="L5846" s="2" t="s">
        <v>5</v>
      </c>
      <c r="M5846" s="2" t="s">
        <v>5</v>
      </c>
      <c r="N5846" s="4">
        <v>0</v>
      </c>
    </row>
    <row r="5847" spans="1:14" x14ac:dyDescent="0.25">
      <c r="A5847" s="2" t="s">
        <v>934</v>
      </c>
      <c r="B5847" s="2" t="s">
        <v>935</v>
      </c>
      <c r="C5847" s="3">
        <v>5.67</v>
      </c>
      <c r="D5847" s="4">
        <v>145.2654</v>
      </c>
      <c r="E5847" s="4">
        <v>82.215000000000003</v>
      </c>
      <c r="F5847" s="4">
        <f t="shared" si="321"/>
        <v>63.050399999999996</v>
      </c>
      <c r="G5847" s="5">
        <f t="shared" si="322"/>
        <v>0.43403590944574549</v>
      </c>
      <c r="H5847" s="2" t="s">
        <v>5</v>
      </c>
      <c r="I5847" s="6" t="s">
        <v>2300</v>
      </c>
      <c r="J5847" s="2" t="s">
        <v>5</v>
      </c>
      <c r="K5847" s="2" t="s">
        <v>5</v>
      </c>
      <c r="L5847" s="2" t="s">
        <v>5</v>
      </c>
      <c r="M5847" s="2" t="s">
        <v>5</v>
      </c>
      <c r="N5847" s="4">
        <v>0</v>
      </c>
    </row>
    <row r="5848" spans="1:14" x14ac:dyDescent="0.25">
      <c r="A5848" s="2" t="s">
        <v>2177</v>
      </c>
      <c r="B5848" s="2" t="s">
        <v>2178</v>
      </c>
      <c r="C5848" s="3">
        <v>10</v>
      </c>
      <c r="D5848" s="4">
        <v>162.6</v>
      </c>
      <c r="E5848" s="4">
        <v>125</v>
      </c>
      <c r="F5848" s="4">
        <f t="shared" si="321"/>
        <v>37.599999999999994</v>
      </c>
      <c r="G5848" s="5">
        <f t="shared" si="322"/>
        <v>0.23124231242312421</v>
      </c>
      <c r="H5848" s="2" t="s">
        <v>5</v>
      </c>
      <c r="I5848" s="6" t="s">
        <v>2300</v>
      </c>
      <c r="J5848" s="2" t="s">
        <v>5</v>
      </c>
      <c r="K5848" s="2" t="s">
        <v>5</v>
      </c>
      <c r="L5848" s="2" t="s">
        <v>5</v>
      </c>
      <c r="M5848" s="2" t="s">
        <v>5</v>
      </c>
      <c r="N5848" s="4">
        <v>0</v>
      </c>
    </row>
    <row r="5849" spans="1:14" x14ac:dyDescent="0.25">
      <c r="A5849" s="2" t="s">
        <v>936</v>
      </c>
      <c r="B5849" s="2" t="s">
        <v>937</v>
      </c>
      <c r="C5849" s="3">
        <v>10.56</v>
      </c>
      <c r="D5849" s="4">
        <v>348.5856</v>
      </c>
      <c r="E5849" s="4">
        <v>248.16</v>
      </c>
      <c r="F5849" s="4">
        <f t="shared" si="321"/>
        <v>100.4256</v>
      </c>
      <c r="G5849" s="5">
        <f t="shared" si="322"/>
        <v>0.28809451681308695</v>
      </c>
      <c r="H5849" s="2" t="s">
        <v>5</v>
      </c>
      <c r="I5849" s="6" t="s">
        <v>2300</v>
      </c>
      <c r="J5849" s="2" t="s">
        <v>5</v>
      </c>
      <c r="K5849" s="2" t="s">
        <v>5</v>
      </c>
      <c r="L5849" s="2" t="s">
        <v>5</v>
      </c>
      <c r="M5849" s="2" t="s">
        <v>5</v>
      </c>
      <c r="N5849" s="4">
        <v>0</v>
      </c>
    </row>
    <row r="5850" spans="1:14" x14ac:dyDescent="0.25">
      <c r="A5850" s="2" t="s">
        <v>936</v>
      </c>
      <c r="B5850" s="2" t="s">
        <v>937</v>
      </c>
      <c r="C5850" s="3">
        <v>2.226</v>
      </c>
      <c r="D5850" s="4">
        <v>73.480260000000001</v>
      </c>
      <c r="E5850" s="4">
        <v>52.311</v>
      </c>
      <c r="F5850" s="4">
        <f t="shared" si="321"/>
        <v>21.169260000000001</v>
      </c>
      <c r="G5850" s="5">
        <f t="shared" si="322"/>
        <v>0.28809451681308695</v>
      </c>
      <c r="H5850" s="2" t="s">
        <v>5</v>
      </c>
      <c r="I5850" s="6" t="s">
        <v>2300</v>
      </c>
      <c r="J5850" s="2" t="s">
        <v>5</v>
      </c>
      <c r="K5850" s="2" t="s">
        <v>5</v>
      </c>
      <c r="L5850" s="2" t="s">
        <v>5</v>
      </c>
      <c r="M5850" s="2" t="s">
        <v>5</v>
      </c>
      <c r="N5850" s="4">
        <v>0</v>
      </c>
    </row>
    <row r="5851" spans="1:14" x14ac:dyDescent="0.25">
      <c r="A5851" s="2" t="s">
        <v>233</v>
      </c>
      <c r="B5851" s="2" t="s">
        <v>234</v>
      </c>
      <c r="C5851" s="3">
        <v>5.78</v>
      </c>
      <c r="D5851" s="4">
        <v>88.549599999999998</v>
      </c>
      <c r="E5851" s="4">
        <v>63.58</v>
      </c>
      <c r="F5851" s="4">
        <f t="shared" si="321"/>
        <v>24.9696</v>
      </c>
      <c r="G5851" s="5">
        <f t="shared" si="322"/>
        <v>0.28198433420365537</v>
      </c>
      <c r="H5851" s="2" t="s">
        <v>5</v>
      </c>
      <c r="I5851" s="6" t="s">
        <v>2300</v>
      </c>
      <c r="J5851" s="2" t="s">
        <v>5</v>
      </c>
      <c r="K5851" s="2" t="s">
        <v>5</v>
      </c>
      <c r="L5851" s="2" t="s">
        <v>5</v>
      </c>
      <c r="M5851" s="2" t="s">
        <v>5</v>
      </c>
      <c r="N5851" s="4">
        <v>0</v>
      </c>
    </row>
    <row r="5852" spans="1:14" x14ac:dyDescent="0.25">
      <c r="A5852" s="2" t="s">
        <v>233</v>
      </c>
      <c r="B5852" s="2" t="s">
        <v>234</v>
      </c>
      <c r="C5852" s="3">
        <v>12.435</v>
      </c>
      <c r="D5852" s="4">
        <v>190.5042</v>
      </c>
      <c r="E5852" s="4">
        <v>136.785</v>
      </c>
      <c r="F5852" s="4">
        <f t="shared" si="321"/>
        <v>53.719200000000001</v>
      </c>
      <c r="G5852" s="5">
        <f t="shared" si="322"/>
        <v>0.28198433420365537</v>
      </c>
      <c r="H5852" s="2" t="s">
        <v>5</v>
      </c>
      <c r="I5852" s="6" t="s">
        <v>2300</v>
      </c>
      <c r="J5852" s="2" t="s">
        <v>5</v>
      </c>
      <c r="K5852" s="2" t="s">
        <v>5</v>
      </c>
      <c r="L5852" s="2" t="s">
        <v>5</v>
      </c>
      <c r="M5852" s="2" t="s">
        <v>5</v>
      </c>
      <c r="N5852" s="4">
        <v>0</v>
      </c>
    </row>
    <row r="5853" spans="1:14" x14ac:dyDescent="0.25">
      <c r="A5853" s="2" t="s">
        <v>233</v>
      </c>
      <c r="B5853" s="2" t="s">
        <v>234</v>
      </c>
      <c r="C5853" s="3">
        <v>6.5650000000000004</v>
      </c>
      <c r="D5853" s="4">
        <v>100.5758</v>
      </c>
      <c r="E5853" s="4">
        <v>72.215000000000003</v>
      </c>
      <c r="F5853" s="4">
        <f t="shared" si="321"/>
        <v>28.360799999999998</v>
      </c>
      <c r="G5853" s="5">
        <f t="shared" si="322"/>
        <v>0.28198433420365532</v>
      </c>
      <c r="H5853" s="2" t="s">
        <v>5</v>
      </c>
      <c r="I5853" s="6" t="s">
        <v>2300</v>
      </c>
      <c r="J5853" s="2" t="s">
        <v>5</v>
      </c>
      <c r="K5853" s="2" t="s">
        <v>5</v>
      </c>
      <c r="L5853" s="2" t="s">
        <v>5</v>
      </c>
      <c r="M5853" s="2" t="s">
        <v>5</v>
      </c>
      <c r="N5853" s="4">
        <v>0</v>
      </c>
    </row>
    <row r="5854" spans="1:14" x14ac:dyDescent="0.25">
      <c r="A5854" s="2" t="s">
        <v>233</v>
      </c>
      <c r="B5854" s="2" t="s">
        <v>234</v>
      </c>
      <c r="C5854" s="3">
        <v>6.7</v>
      </c>
      <c r="D5854" s="4">
        <v>102.64400000000001</v>
      </c>
      <c r="E5854" s="4">
        <v>73.7</v>
      </c>
      <c r="F5854" s="4">
        <f t="shared" si="321"/>
        <v>28.944000000000003</v>
      </c>
      <c r="G5854" s="5">
        <f t="shared" si="322"/>
        <v>0.28198433420365537</v>
      </c>
      <c r="H5854" s="2" t="s">
        <v>5</v>
      </c>
      <c r="I5854" s="6" t="s">
        <v>2300</v>
      </c>
      <c r="J5854" s="2" t="s">
        <v>5</v>
      </c>
      <c r="K5854" s="2" t="s">
        <v>5</v>
      </c>
      <c r="L5854" s="2" t="s">
        <v>5</v>
      </c>
      <c r="M5854" s="2" t="s">
        <v>5</v>
      </c>
      <c r="N5854" s="4">
        <v>0</v>
      </c>
    </row>
    <row r="5855" spans="1:14" x14ac:dyDescent="0.25">
      <c r="A5855" s="2" t="s">
        <v>595</v>
      </c>
      <c r="B5855" s="2" t="s">
        <v>596</v>
      </c>
      <c r="C5855" s="3">
        <v>29.72</v>
      </c>
      <c r="D5855" s="4">
        <v>572.70439999999996</v>
      </c>
      <c r="E5855" s="4">
        <v>444.31400000000002</v>
      </c>
      <c r="F5855" s="4">
        <f t="shared" si="321"/>
        <v>128.39039999999994</v>
      </c>
      <c r="G5855" s="5">
        <f t="shared" si="322"/>
        <v>0.22418266735858838</v>
      </c>
      <c r="H5855" s="2" t="s">
        <v>5</v>
      </c>
      <c r="I5855" s="6" t="s">
        <v>2300</v>
      </c>
      <c r="J5855" s="2" t="s">
        <v>5</v>
      </c>
      <c r="K5855" s="2" t="s">
        <v>5</v>
      </c>
      <c r="L5855" s="2" t="s">
        <v>5</v>
      </c>
      <c r="M5855" s="2" t="s">
        <v>5</v>
      </c>
      <c r="N5855" s="4">
        <v>0</v>
      </c>
    </row>
    <row r="5856" spans="1:14" x14ac:dyDescent="0.25">
      <c r="A5856" s="2" t="s">
        <v>595</v>
      </c>
      <c r="B5856" s="2" t="s">
        <v>596</v>
      </c>
      <c r="C5856" s="3">
        <v>14.11</v>
      </c>
      <c r="D5856" s="4">
        <v>334.54809999999998</v>
      </c>
      <c r="E5856" s="4">
        <v>210.94450000000001</v>
      </c>
      <c r="F5856" s="4">
        <f t="shared" si="321"/>
        <v>123.60359999999997</v>
      </c>
      <c r="G5856" s="5">
        <f t="shared" si="322"/>
        <v>0.36946436102910157</v>
      </c>
      <c r="H5856" s="2" t="s">
        <v>5</v>
      </c>
      <c r="I5856" s="6" t="s">
        <v>2300</v>
      </c>
      <c r="J5856" s="2" t="s">
        <v>5</v>
      </c>
      <c r="K5856" s="2" t="s">
        <v>5</v>
      </c>
      <c r="L5856" s="2" t="s">
        <v>5</v>
      </c>
      <c r="M5856" s="2" t="s">
        <v>5</v>
      </c>
      <c r="N5856" s="4">
        <v>0</v>
      </c>
    </row>
    <row r="5857" spans="1:14" x14ac:dyDescent="0.25">
      <c r="A5857" s="2" t="s">
        <v>595</v>
      </c>
      <c r="B5857" s="2" t="s">
        <v>596</v>
      </c>
      <c r="C5857" s="3">
        <v>27.88</v>
      </c>
      <c r="D5857" s="4">
        <v>537.24760000000003</v>
      </c>
      <c r="E5857" s="4">
        <v>416.80599999999998</v>
      </c>
      <c r="F5857" s="4">
        <f t="shared" ref="F5857:F5920" si="323">D5857-E5857</f>
        <v>120.44160000000005</v>
      </c>
      <c r="G5857" s="5">
        <f t="shared" ref="G5857:G5920" si="324">IF(((D5857)=0),0,(D5857-E5857)/ D5857)</f>
        <v>0.22418266735858855</v>
      </c>
      <c r="H5857" s="2" t="s">
        <v>5</v>
      </c>
      <c r="I5857" s="6" t="s">
        <v>2300</v>
      </c>
      <c r="J5857" s="2" t="s">
        <v>5</v>
      </c>
      <c r="K5857" s="2" t="s">
        <v>5</v>
      </c>
      <c r="L5857" s="2" t="s">
        <v>5</v>
      </c>
      <c r="M5857" s="2" t="s">
        <v>5</v>
      </c>
      <c r="N5857" s="4">
        <v>0</v>
      </c>
    </row>
    <row r="5858" spans="1:14" x14ac:dyDescent="0.25">
      <c r="A5858" s="2" t="s">
        <v>820</v>
      </c>
      <c r="B5858" s="2" t="s">
        <v>821</v>
      </c>
      <c r="C5858" s="3">
        <v>103.71</v>
      </c>
      <c r="D5858" s="4">
        <v>1555.65</v>
      </c>
      <c r="E5858" s="4">
        <v>622.26</v>
      </c>
      <c r="F5858" s="4">
        <f t="shared" si="323"/>
        <v>933.3900000000001</v>
      </c>
      <c r="G5858" s="5">
        <f t="shared" si="324"/>
        <v>0.6</v>
      </c>
      <c r="H5858" s="2" t="s">
        <v>5</v>
      </c>
      <c r="I5858" s="6" t="s">
        <v>2300</v>
      </c>
      <c r="J5858" s="2" t="s">
        <v>5</v>
      </c>
      <c r="K5858" s="2" t="s">
        <v>5</v>
      </c>
      <c r="L5858" s="2" t="s">
        <v>5</v>
      </c>
      <c r="M5858" s="2" t="s">
        <v>5</v>
      </c>
      <c r="N5858" s="4">
        <v>0</v>
      </c>
    </row>
    <row r="5859" spans="1:14" x14ac:dyDescent="0.25">
      <c r="A5859" s="2" t="s">
        <v>1182</v>
      </c>
      <c r="B5859" s="2" t="s">
        <v>1183</v>
      </c>
      <c r="C5859" s="3">
        <v>1</v>
      </c>
      <c r="D5859" s="4">
        <v>37.06</v>
      </c>
      <c r="E5859" s="4">
        <v>25</v>
      </c>
      <c r="F5859" s="4">
        <f t="shared" si="323"/>
        <v>12.060000000000002</v>
      </c>
      <c r="G5859" s="5">
        <f t="shared" si="324"/>
        <v>0.32541824069077174</v>
      </c>
      <c r="H5859" s="2" t="s">
        <v>5</v>
      </c>
      <c r="I5859" s="6" t="s">
        <v>2300</v>
      </c>
      <c r="J5859" s="2" t="s">
        <v>5</v>
      </c>
      <c r="K5859" s="2" t="s">
        <v>5</v>
      </c>
      <c r="L5859" s="2" t="s">
        <v>5</v>
      </c>
      <c r="M5859" s="2" t="s">
        <v>5</v>
      </c>
      <c r="N5859" s="4">
        <v>0</v>
      </c>
    </row>
    <row r="5860" spans="1:14" x14ac:dyDescent="0.25">
      <c r="A5860" s="2" t="s">
        <v>1478</v>
      </c>
      <c r="B5860" s="2" t="s">
        <v>1479</v>
      </c>
      <c r="C5860" s="3">
        <v>5</v>
      </c>
      <c r="D5860" s="4">
        <v>68.8</v>
      </c>
      <c r="E5860" s="4">
        <v>54.9</v>
      </c>
      <c r="F5860" s="4">
        <f t="shared" si="323"/>
        <v>13.899999999999999</v>
      </c>
      <c r="G5860" s="5">
        <f t="shared" si="324"/>
        <v>0.20203488372093023</v>
      </c>
      <c r="H5860" s="2" t="s">
        <v>5</v>
      </c>
      <c r="I5860" s="6" t="s">
        <v>2300</v>
      </c>
      <c r="J5860" s="2" t="s">
        <v>5</v>
      </c>
      <c r="K5860" s="2" t="s">
        <v>5</v>
      </c>
      <c r="L5860" s="2" t="s">
        <v>5</v>
      </c>
      <c r="M5860" s="2" t="s">
        <v>5</v>
      </c>
      <c r="N5860" s="4">
        <v>0</v>
      </c>
    </row>
    <row r="5861" spans="1:14" x14ac:dyDescent="0.25">
      <c r="A5861" s="2" t="s">
        <v>1478</v>
      </c>
      <c r="B5861" s="2" t="s">
        <v>1479</v>
      </c>
      <c r="C5861" s="3">
        <v>2.5</v>
      </c>
      <c r="D5861" s="4">
        <v>34.4</v>
      </c>
      <c r="E5861" s="4">
        <v>27.45</v>
      </c>
      <c r="F5861" s="4">
        <f t="shared" si="323"/>
        <v>6.9499999999999993</v>
      </c>
      <c r="G5861" s="5">
        <f t="shared" si="324"/>
        <v>0.20203488372093023</v>
      </c>
      <c r="H5861" s="2" t="s">
        <v>5</v>
      </c>
      <c r="I5861" s="6" t="s">
        <v>2300</v>
      </c>
      <c r="J5861" s="2" t="s">
        <v>5</v>
      </c>
      <c r="K5861" s="2" t="s">
        <v>5</v>
      </c>
      <c r="L5861" s="2" t="s">
        <v>5</v>
      </c>
      <c r="M5861" s="2" t="s">
        <v>5</v>
      </c>
      <c r="N5861" s="4">
        <v>0</v>
      </c>
    </row>
    <row r="5862" spans="1:14" x14ac:dyDescent="0.25">
      <c r="A5862" s="2" t="s">
        <v>1478</v>
      </c>
      <c r="B5862" s="2" t="s">
        <v>1479</v>
      </c>
      <c r="C5862" s="3">
        <v>40</v>
      </c>
      <c r="D5862" s="4">
        <v>550.4</v>
      </c>
      <c r="E5862" s="4">
        <v>439.2</v>
      </c>
      <c r="F5862" s="4">
        <f t="shared" si="323"/>
        <v>111.19999999999999</v>
      </c>
      <c r="G5862" s="5">
        <f t="shared" si="324"/>
        <v>0.20203488372093023</v>
      </c>
      <c r="H5862" s="2" t="s">
        <v>5</v>
      </c>
      <c r="I5862" s="6" t="s">
        <v>2300</v>
      </c>
      <c r="J5862" s="2" t="s">
        <v>5</v>
      </c>
      <c r="K5862" s="2" t="s">
        <v>5</v>
      </c>
      <c r="L5862" s="2" t="s">
        <v>5</v>
      </c>
      <c r="M5862" s="2" t="s">
        <v>5</v>
      </c>
      <c r="N5862" s="4">
        <v>0</v>
      </c>
    </row>
    <row r="5863" spans="1:14" x14ac:dyDescent="0.25">
      <c r="A5863" s="2" t="s">
        <v>1721</v>
      </c>
      <c r="B5863" s="2" t="s">
        <v>1722</v>
      </c>
      <c r="C5863" s="3">
        <v>4.09</v>
      </c>
      <c r="D5863" s="4">
        <v>65.194599999999994</v>
      </c>
      <c r="E5863" s="4">
        <v>51.125</v>
      </c>
      <c r="F5863" s="4">
        <f t="shared" si="323"/>
        <v>14.069599999999994</v>
      </c>
      <c r="G5863" s="5">
        <f t="shared" si="324"/>
        <v>0.21580928481806769</v>
      </c>
      <c r="H5863" s="2" t="s">
        <v>5</v>
      </c>
      <c r="I5863" s="6" t="s">
        <v>2300</v>
      </c>
      <c r="J5863" s="2" t="s">
        <v>5</v>
      </c>
      <c r="K5863" s="2" t="s">
        <v>5</v>
      </c>
      <c r="L5863" s="2" t="s">
        <v>5</v>
      </c>
      <c r="M5863" s="2" t="s">
        <v>5</v>
      </c>
      <c r="N5863" s="4">
        <v>0</v>
      </c>
    </row>
    <row r="5864" spans="1:14" x14ac:dyDescent="0.25">
      <c r="A5864" s="2" t="s">
        <v>1721</v>
      </c>
      <c r="B5864" s="2" t="s">
        <v>1722</v>
      </c>
      <c r="C5864" s="3">
        <v>4.1440000000000001</v>
      </c>
      <c r="D5864" s="4">
        <v>66.055359999999993</v>
      </c>
      <c r="E5864" s="4">
        <v>51.8</v>
      </c>
      <c r="F5864" s="4">
        <f t="shared" si="323"/>
        <v>14.255359999999996</v>
      </c>
      <c r="G5864" s="5">
        <f t="shared" si="324"/>
        <v>0.21580928481806771</v>
      </c>
      <c r="H5864" s="2" t="s">
        <v>5</v>
      </c>
      <c r="I5864" s="6" t="s">
        <v>2300</v>
      </c>
      <c r="J5864" s="2" t="s">
        <v>5</v>
      </c>
      <c r="K5864" s="2" t="s">
        <v>5</v>
      </c>
      <c r="L5864" s="2" t="s">
        <v>5</v>
      </c>
      <c r="M5864" s="2" t="s">
        <v>5</v>
      </c>
      <c r="N5864" s="4">
        <v>0</v>
      </c>
    </row>
    <row r="5865" spans="1:14" x14ac:dyDescent="0.25">
      <c r="A5865" s="2" t="s">
        <v>1725</v>
      </c>
      <c r="B5865" s="2" t="s">
        <v>1726</v>
      </c>
      <c r="C5865" s="3">
        <v>20.54</v>
      </c>
      <c r="D5865" s="4">
        <v>305.4298</v>
      </c>
      <c r="E5865" s="4">
        <v>225.94</v>
      </c>
      <c r="F5865" s="4">
        <f t="shared" si="323"/>
        <v>79.489800000000002</v>
      </c>
      <c r="G5865" s="5">
        <f t="shared" si="324"/>
        <v>0.26025554808338941</v>
      </c>
      <c r="H5865" s="2" t="s">
        <v>5</v>
      </c>
      <c r="I5865" s="6" t="s">
        <v>2300</v>
      </c>
      <c r="J5865" s="2" t="s">
        <v>5</v>
      </c>
      <c r="K5865" s="2" t="s">
        <v>5</v>
      </c>
      <c r="L5865" s="2" t="s">
        <v>5</v>
      </c>
      <c r="M5865" s="2" t="s">
        <v>5</v>
      </c>
      <c r="N5865" s="4">
        <v>0</v>
      </c>
    </row>
    <row r="5866" spans="1:14" x14ac:dyDescent="0.25">
      <c r="A5866" s="2" t="s">
        <v>1661</v>
      </c>
      <c r="B5866" s="2" t="s">
        <v>1662</v>
      </c>
      <c r="C5866" s="3">
        <v>4.1459999999999999</v>
      </c>
      <c r="D5866" s="4">
        <v>50.82996</v>
      </c>
      <c r="E5866" s="4">
        <v>50.581200000000003</v>
      </c>
      <c r="F5866" s="4">
        <f t="shared" si="323"/>
        <v>0.24875999999999721</v>
      </c>
      <c r="G5866" s="5">
        <f t="shared" si="324"/>
        <v>4.8939641109297981E-3</v>
      </c>
      <c r="H5866" s="2" t="s">
        <v>5</v>
      </c>
      <c r="I5866" s="6" t="s">
        <v>2300</v>
      </c>
      <c r="J5866" s="2" t="s">
        <v>5</v>
      </c>
      <c r="K5866" s="2" t="s">
        <v>5</v>
      </c>
      <c r="L5866" s="2" t="s">
        <v>5</v>
      </c>
      <c r="M5866" s="2" t="s">
        <v>5</v>
      </c>
      <c r="N5866" s="4">
        <v>0</v>
      </c>
    </row>
    <row r="5867" spans="1:14" x14ac:dyDescent="0.25">
      <c r="A5867" s="2" t="s">
        <v>1661</v>
      </c>
      <c r="B5867" s="2" t="s">
        <v>1662</v>
      </c>
      <c r="C5867" s="3">
        <v>31.245000000000001</v>
      </c>
      <c r="D5867" s="4">
        <v>383.06369999999998</v>
      </c>
      <c r="E5867" s="4">
        <v>381.18900000000002</v>
      </c>
      <c r="F5867" s="4">
        <f t="shared" si="323"/>
        <v>1.8746999999999616</v>
      </c>
      <c r="G5867" s="5">
        <f t="shared" si="324"/>
        <v>4.893964110929753E-3</v>
      </c>
      <c r="H5867" s="2" t="s">
        <v>5</v>
      </c>
      <c r="I5867" s="6" t="s">
        <v>2300</v>
      </c>
      <c r="J5867" s="2" t="s">
        <v>5</v>
      </c>
      <c r="K5867" s="2" t="s">
        <v>5</v>
      </c>
      <c r="L5867" s="2" t="s">
        <v>5</v>
      </c>
      <c r="M5867" s="2" t="s">
        <v>5</v>
      </c>
      <c r="N5867" s="4">
        <v>0</v>
      </c>
    </row>
    <row r="5868" spans="1:14" x14ac:dyDescent="0.25">
      <c r="A5868" s="2" t="s">
        <v>1661</v>
      </c>
      <c r="B5868" s="2" t="s">
        <v>1662</v>
      </c>
      <c r="C5868" s="3">
        <v>10.19</v>
      </c>
      <c r="D5868" s="4">
        <v>124.9294</v>
      </c>
      <c r="E5868" s="4">
        <v>124.318</v>
      </c>
      <c r="F5868" s="4">
        <f t="shared" si="323"/>
        <v>0.61140000000000327</v>
      </c>
      <c r="G5868" s="5">
        <f t="shared" si="324"/>
        <v>4.8939641109298796E-3</v>
      </c>
      <c r="H5868" s="2" t="s">
        <v>5</v>
      </c>
      <c r="I5868" s="6" t="s">
        <v>2300</v>
      </c>
      <c r="J5868" s="2" t="s">
        <v>5</v>
      </c>
      <c r="K5868" s="2" t="s">
        <v>5</v>
      </c>
      <c r="L5868" s="2" t="s">
        <v>5</v>
      </c>
      <c r="M5868" s="2" t="s">
        <v>5</v>
      </c>
      <c r="N5868" s="4">
        <v>0</v>
      </c>
    </row>
    <row r="5869" spans="1:14" x14ac:dyDescent="0.25">
      <c r="A5869" s="2" t="s">
        <v>1661</v>
      </c>
      <c r="B5869" s="2" t="s">
        <v>1662</v>
      </c>
      <c r="C5869" s="3">
        <v>4.12</v>
      </c>
      <c r="D5869" s="4">
        <v>50.511200000000002</v>
      </c>
      <c r="E5869" s="4">
        <v>50.264000000000003</v>
      </c>
      <c r="F5869" s="4">
        <f t="shared" si="323"/>
        <v>0.24719999999999942</v>
      </c>
      <c r="G5869" s="5">
        <f t="shared" si="324"/>
        <v>4.8939641109298415E-3</v>
      </c>
      <c r="H5869" s="2" t="s">
        <v>5</v>
      </c>
      <c r="I5869" s="6" t="s">
        <v>2300</v>
      </c>
      <c r="J5869" s="2" t="s">
        <v>5</v>
      </c>
      <c r="K5869" s="2" t="s">
        <v>5</v>
      </c>
      <c r="L5869" s="2" t="s">
        <v>5</v>
      </c>
      <c r="M5869" s="2" t="s">
        <v>5</v>
      </c>
      <c r="N5869" s="4">
        <v>0</v>
      </c>
    </row>
    <row r="5870" spans="1:14" x14ac:dyDescent="0.25">
      <c r="A5870" s="2" t="s">
        <v>1691</v>
      </c>
      <c r="B5870" s="2" t="s">
        <v>1692</v>
      </c>
      <c r="C5870" s="3">
        <v>8</v>
      </c>
      <c r="D5870" s="4">
        <v>136.08000000000001</v>
      </c>
      <c r="E5870" s="4">
        <v>64</v>
      </c>
      <c r="F5870" s="4">
        <f t="shared" si="323"/>
        <v>72.080000000000013</v>
      </c>
      <c r="G5870" s="5">
        <f t="shared" si="324"/>
        <v>0.52968841857730753</v>
      </c>
      <c r="H5870" s="2" t="s">
        <v>5</v>
      </c>
      <c r="I5870" s="6" t="s">
        <v>2300</v>
      </c>
      <c r="J5870" s="2" t="s">
        <v>5</v>
      </c>
      <c r="K5870" s="2" t="s">
        <v>5</v>
      </c>
      <c r="L5870" s="2" t="s">
        <v>5</v>
      </c>
      <c r="M5870" s="2" t="s">
        <v>5</v>
      </c>
      <c r="N5870" s="4">
        <v>0</v>
      </c>
    </row>
    <row r="5871" spans="1:14" x14ac:dyDescent="0.25">
      <c r="A5871" s="2" t="s">
        <v>2282</v>
      </c>
      <c r="B5871" s="2" t="s">
        <v>2283</v>
      </c>
      <c r="C5871" s="3">
        <v>8.93</v>
      </c>
      <c r="D5871" s="4">
        <v>123.3233</v>
      </c>
      <c r="E5871" s="4">
        <v>100.90900000000001</v>
      </c>
      <c r="F5871" s="4">
        <f t="shared" si="323"/>
        <v>22.414299999999997</v>
      </c>
      <c r="G5871" s="5">
        <f t="shared" si="324"/>
        <v>0.18175235336712525</v>
      </c>
      <c r="H5871" s="2" t="s">
        <v>5</v>
      </c>
      <c r="I5871" s="6" t="s">
        <v>2300</v>
      </c>
      <c r="J5871" s="2" t="s">
        <v>5</v>
      </c>
      <c r="K5871" s="2" t="s">
        <v>5</v>
      </c>
      <c r="L5871" s="2" t="s">
        <v>5</v>
      </c>
      <c r="M5871" s="2" t="s">
        <v>5</v>
      </c>
      <c r="N5871" s="4">
        <v>0</v>
      </c>
    </row>
    <row r="5872" spans="1:14" x14ac:dyDescent="0.25">
      <c r="A5872" s="2" t="s">
        <v>1707</v>
      </c>
      <c r="B5872" s="2" t="s">
        <v>1708</v>
      </c>
      <c r="C5872" s="3">
        <v>19.149999999999999</v>
      </c>
      <c r="D5872" s="4">
        <v>316.54950000000002</v>
      </c>
      <c r="E5872" s="4">
        <v>196.28749999999999</v>
      </c>
      <c r="F5872" s="4">
        <f t="shared" si="323"/>
        <v>120.26200000000003</v>
      </c>
      <c r="G5872" s="5">
        <f t="shared" si="324"/>
        <v>0.37991530550514224</v>
      </c>
      <c r="H5872" s="2" t="s">
        <v>5</v>
      </c>
      <c r="I5872" s="6" t="s">
        <v>2300</v>
      </c>
      <c r="J5872" s="2" t="s">
        <v>5</v>
      </c>
      <c r="K5872" s="2" t="s">
        <v>5</v>
      </c>
      <c r="L5872" s="2" t="s">
        <v>5</v>
      </c>
      <c r="M5872" s="2" t="s">
        <v>5</v>
      </c>
      <c r="N5872" s="4">
        <v>0</v>
      </c>
    </row>
    <row r="5873" spans="1:14" x14ac:dyDescent="0.25">
      <c r="A5873" s="2" t="s">
        <v>1727</v>
      </c>
      <c r="B5873" s="2" t="s">
        <v>1728</v>
      </c>
      <c r="C5873" s="3">
        <v>3</v>
      </c>
      <c r="D5873" s="4">
        <v>47.82</v>
      </c>
      <c r="E5873" s="4">
        <v>37.5</v>
      </c>
      <c r="F5873" s="4">
        <f t="shared" si="323"/>
        <v>10.32</v>
      </c>
      <c r="G5873" s="5">
        <f t="shared" si="324"/>
        <v>0.21580928481806777</v>
      </c>
      <c r="H5873" s="2" t="s">
        <v>5</v>
      </c>
      <c r="I5873" s="6" t="s">
        <v>2300</v>
      </c>
      <c r="J5873" s="2" t="s">
        <v>5</v>
      </c>
      <c r="K5873" s="2" t="s">
        <v>5</v>
      </c>
      <c r="L5873" s="2" t="s">
        <v>5</v>
      </c>
      <c r="M5873" s="2" t="s">
        <v>5</v>
      </c>
      <c r="N5873" s="4">
        <v>0</v>
      </c>
    </row>
    <row r="5874" spans="1:14" x14ac:dyDescent="0.25">
      <c r="A5874" s="2" t="s">
        <v>528</v>
      </c>
      <c r="B5874" s="2" t="s">
        <v>529</v>
      </c>
      <c r="C5874" s="3">
        <v>4</v>
      </c>
      <c r="D5874" s="4">
        <v>380</v>
      </c>
      <c r="E5874" s="4">
        <v>27.6</v>
      </c>
      <c r="F5874" s="4">
        <f t="shared" si="323"/>
        <v>352.4</v>
      </c>
      <c r="G5874" s="5">
        <f t="shared" si="324"/>
        <v>0.92736842105263151</v>
      </c>
      <c r="H5874" s="2" t="s">
        <v>5</v>
      </c>
      <c r="I5874" s="6" t="s">
        <v>2300</v>
      </c>
      <c r="J5874" s="2" t="s">
        <v>5</v>
      </c>
      <c r="K5874" s="2" t="s">
        <v>5</v>
      </c>
      <c r="L5874" s="2" t="s">
        <v>5</v>
      </c>
      <c r="M5874" s="2" t="s">
        <v>5</v>
      </c>
      <c r="N5874" s="4">
        <v>0</v>
      </c>
    </row>
    <row r="5875" spans="1:14" x14ac:dyDescent="0.25">
      <c r="A5875" s="2" t="s">
        <v>532</v>
      </c>
      <c r="B5875" s="2" t="s">
        <v>533</v>
      </c>
      <c r="C5875" s="3">
        <v>42.274999999999999</v>
      </c>
      <c r="D5875" s="4">
        <v>594.80925000000002</v>
      </c>
      <c r="E5875" s="4">
        <v>291.69749999999999</v>
      </c>
      <c r="F5875" s="4">
        <f t="shared" si="323"/>
        <v>303.11175000000003</v>
      </c>
      <c r="G5875" s="5">
        <f t="shared" si="324"/>
        <v>0.50959488272921116</v>
      </c>
      <c r="H5875" s="2" t="s">
        <v>5</v>
      </c>
      <c r="I5875" s="6" t="s">
        <v>2300</v>
      </c>
      <c r="J5875" s="2" t="s">
        <v>5</v>
      </c>
      <c r="K5875" s="2" t="s">
        <v>5</v>
      </c>
      <c r="L5875" s="2" t="s">
        <v>5</v>
      </c>
      <c r="M5875" s="2" t="s">
        <v>5</v>
      </c>
      <c r="N5875" s="4">
        <v>0</v>
      </c>
    </row>
    <row r="5876" spans="1:14" x14ac:dyDescent="0.25">
      <c r="A5876" s="2" t="s">
        <v>1729</v>
      </c>
      <c r="B5876" s="2" t="s">
        <v>1730</v>
      </c>
      <c r="C5876" s="3">
        <v>6.0460000000000003</v>
      </c>
      <c r="D5876" s="4">
        <v>98.489339999999999</v>
      </c>
      <c r="E5876" s="4">
        <v>30.23</v>
      </c>
      <c r="F5876" s="4">
        <f t="shared" si="323"/>
        <v>68.259339999999995</v>
      </c>
      <c r="G5876" s="5">
        <f t="shared" si="324"/>
        <v>0.69306322897483119</v>
      </c>
      <c r="H5876" s="2" t="s">
        <v>5</v>
      </c>
      <c r="I5876" s="6" t="s">
        <v>2300</v>
      </c>
      <c r="J5876" s="2" t="s">
        <v>5</v>
      </c>
      <c r="K5876" s="2" t="s">
        <v>5</v>
      </c>
      <c r="L5876" s="2" t="s">
        <v>5</v>
      </c>
      <c r="M5876" s="2" t="s">
        <v>5</v>
      </c>
      <c r="N5876" s="4">
        <v>0</v>
      </c>
    </row>
    <row r="5877" spans="1:14" x14ac:dyDescent="0.25">
      <c r="A5877" s="2" t="s">
        <v>1731</v>
      </c>
      <c r="B5877" s="2" t="s">
        <v>1732</v>
      </c>
      <c r="C5877" s="3">
        <v>119.82</v>
      </c>
      <c r="D5877" s="4">
        <v>745.28039999999999</v>
      </c>
      <c r="E5877" s="4">
        <v>419.37</v>
      </c>
      <c r="F5877" s="4">
        <f t="shared" si="323"/>
        <v>325.91039999999998</v>
      </c>
      <c r="G5877" s="5">
        <f t="shared" si="324"/>
        <v>0.43729903536977488</v>
      </c>
      <c r="H5877" s="2" t="s">
        <v>5</v>
      </c>
      <c r="I5877" s="6" t="s">
        <v>2300</v>
      </c>
      <c r="J5877" s="2" t="s">
        <v>5</v>
      </c>
      <c r="K5877" s="2" t="s">
        <v>5</v>
      </c>
      <c r="L5877" s="2" t="s">
        <v>5</v>
      </c>
      <c r="M5877" s="2" t="s">
        <v>5</v>
      </c>
      <c r="N5877" s="4">
        <v>0</v>
      </c>
    </row>
    <row r="5878" spans="1:14" x14ac:dyDescent="0.25">
      <c r="A5878" s="2" t="s">
        <v>1731</v>
      </c>
      <c r="B5878" s="2" t="s">
        <v>1732</v>
      </c>
      <c r="C5878" s="3">
        <v>16.170000000000002</v>
      </c>
      <c r="D5878" s="4">
        <v>100.5774</v>
      </c>
      <c r="E5878" s="4">
        <v>56.594999999999999</v>
      </c>
      <c r="F5878" s="4">
        <f t="shared" si="323"/>
        <v>43.982399999999998</v>
      </c>
      <c r="G5878" s="5">
        <f t="shared" si="324"/>
        <v>0.43729903536977494</v>
      </c>
      <c r="H5878" s="2" t="s">
        <v>5</v>
      </c>
      <c r="I5878" s="6" t="s">
        <v>2300</v>
      </c>
      <c r="J5878" s="2" t="s">
        <v>5</v>
      </c>
      <c r="K5878" s="2" t="s">
        <v>5</v>
      </c>
      <c r="L5878" s="2" t="s">
        <v>5</v>
      </c>
      <c r="M5878" s="2" t="s">
        <v>5</v>
      </c>
      <c r="N5878" s="4">
        <v>0</v>
      </c>
    </row>
    <row r="5879" spans="1:14" x14ac:dyDescent="0.25">
      <c r="A5879" s="2" t="s">
        <v>1731</v>
      </c>
      <c r="B5879" s="2" t="s">
        <v>1732</v>
      </c>
      <c r="C5879" s="3">
        <v>9.9700000000000006</v>
      </c>
      <c r="D5879" s="4">
        <v>62.013399999999997</v>
      </c>
      <c r="E5879" s="4">
        <v>34.895000000000003</v>
      </c>
      <c r="F5879" s="4">
        <f t="shared" si="323"/>
        <v>27.118399999999994</v>
      </c>
      <c r="G5879" s="5">
        <f t="shared" si="324"/>
        <v>0.43729903536977482</v>
      </c>
      <c r="H5879" s="2" t="s">
        <v>5</v>
      </c>
      <c r="I5879" s="6" t="s">
        <v>2300</v>
      </c>
      <c r="J5879" s="2" t="s">
        <v>5</v>
      </c>
      <c r="K5879" s="2" t="s">
        <v>5</v>
      </c>
      <c r="L5879" s="2" t="s">
        <v>5</v>
      </c>
      <c r="M5879" s="2" t="s">
        <v>5</v>
      </c>
      <c r="N5879" s="4">
        <v>0</v>
      </c>
    </row>
    <row r="5880" spans="1:14" x14ac:dyDescent="0.25">
      <c r="A5880" s="2" t="s">
        <v>1482</v>
      </c>
      <c r="B5880" s="2" t="s">
        <v>1483</v>
      </c>
      <c r="C5880" s="3">
        <v>3.782</v>
      </c>
      <c r="D5880" s="4">
        <v>39.521900000000002</v>
      </c>
      <c r="E5880" s="4">
        <v>26.095800000000001</v>
      </c>
      <c r="F5880" s="4">
        <f t="shared" si="323"/>
        <v>13.426100000000002</v>
      </c>
      <c r="G5880" s="5">
        <f t="shared" si="324"/>
        <v>0.33971291866028708</v>
      </c>
      <c r="H5880" s="2" t="s">
        <v>5</v>
      </c>
      <c r="I5880" s="6" t="s">
        <v>2300</v>
      </c>
      <c r="J5880" s="2" t="s">
        <v>5</v>
      </c>
      <c r="K5880" s="2" t="s">
        <v>5</v>
      </c>
      <c r="L5880" s="2" t="s">
        <v>5</v>
      </c>
      <c r="M5880" s="2" t="s">
        <v>5</v>
      </c>
      <c r="N5880" s="4">
        <v>0</v>
      </c>
    </row>
    <row r="5881" spans="1:14" x14ac:dyDescent="0.25">
      <c r="A5881" s="2" t="s">
        <v>1482</v>
      </c>
      <c r="B5881" s="2" t="s">
        <v>1483</v>
      </c>
      <c r="C5881" s="3">
        <v>56.62</v>
      </c>
      <c r="D5881" s="4">
        <v>591.67899999999997</v>
      </c>
      <c r="E5881" s="4">
        <v>390.678</v>
      </c>
      <c r="F5881" s="4">
        <f t="shared" si="323"/>
        <v>201.00099999999998</v>
      </c>
      <c r="G5881" s="5">
        <f t="shared" si="324"/>
        <v>0.33971291866028708</v>
      </c>
      <c r="H5881" s="2" t="s">
        <v>5</v>
      </c>
      <c r="I5881" s="6" t="s">
        <v>2300</v>
      </c>
      <c r="J5881" s="2" t="s">
        <v>5</v>
      </c>
      <c r="K5881" s="2" t="s">
        <v>5</v>
      </c>
      <c r="L5881" s="2" t="s">
        <v>5</v>
      </c>
      <c r="M5881" s="2" t="s">
        <v>5</v>
      </c>
      <c r="N5881" s="4">
        <v>0</v>
      </c>
    </row>
    <row r="5882" spans="1:14" x14ac:dyDescent="0.25">
      <c r="A5882" s="2" t="s">
        <v>536</v>
      </c>
      <c r="B5882" s="2" t="s">
        <v>537</v>
      </c>
      <c r="C5882" s="3">
        <v>15.01</v>
      </c>
      <c r="D5882" s="4">
        <v>233.40549999999999</v>
      </c>
      <c r="E5882" s="4">
        <v>112.575</v>
      </c>
      <c r="F5882" s="4">
        <f t="shared" si="323"/>
        <v>120.83049999999999</v>
      </c>
      <c r="G5882" s="5">
        <f t="shared" si="324"/>
        <v>0.51768488745980701</v>
      </c>
      <c r="H5882" s="2" t="s">
        <v>5</v>
      </c>
      <c r="I5882" s="6" t="s">
        <v>2300</v>
      </c>
      <c r="J5882" s="2" t="s">
        <v>5</v>
      </c>
      <c r="K5882" s="2" t="s">
        <v>5</v>
      </c>
      <c r="L5882" s="2" t="s">
        <v>5</v>
      </c>
      <c r="M5882" s="2" t="s">
        <v>5</v>
      </c>
      <c r="N5882" s="4">
        <v>0</v>
      </c>
    </row>
    <row r="5883" spans="1:14" x14ac:dyDescent="0.25">
      <c r="A5883" s="2" t="s">
        <v>536</v>
      </c>
      <c r="B5883" s="2" t="s">
        <v>537</v>
      </c>
      <c r="C5883" s="3">
        <v>5.52</v>
      </c>
      <c r="D5883" s="4">
        <v>85.835999999999999</v>
      </c>
      <c r="E5883" s="4">
        <v>41.4</v>
      </c>
      <c r="F5883" s="4">
        <f t="shared" si="323"/>
        <v>44.436</v>
      </c>
      <c r="G5883" s="5">
        <f t="shared" si="324"/>
        <v>0.51768488745980712</v>
      </c>
      <c r="H5883" s="2" t="s">
        <v>5</v>
      </c>
      <c r="I5883" s="6" t="s">
        <v>2300</v>
      </c>
      <c r="J5883" s="2" t="s">
        <v>5</v>
      </c>
      <c r="K5883" s="2" t="s">
        <v>5</v>
      </c>
      <c r="L5883" s="2" t="s">
        <v>5</v>
      </c>
      <c r="M5883" s="2" t="s">
        <v>5</v>
      </c>
      <c r="N5883" s="4">
        <v>0</v>
      </c>
    </row>
    <row r="5884" spans="1:14" x14ac:dyDescent="0.25">
      <c r="A5884" s="2" t="s">
        <v>1733</v>
      </c>
      <c r="B5884" s="2" t="s">
        <v>1734</v>
      </c>
      <c r="C5884" s="3">
        <v>14.92</v>
      </c>
      <c r="D5884" s="4">
        <v>232.006</v>
      </c>
      <c r="E5884" s="4">
        <v>111.9</v>
      </c>
      <c r="F5884" s="4">
        <f t="shared" si="323"/>
        <v>120.10599999999999</v>
      </c>
      <c r="G5884" s="5">
        <f t="shared" si="324"/>
        <v>0.51768488745980701</v>
      </c>
      <c r="H5884" s="2" t="s">
        <v>5</v>
      </c>
      <c r="I5884" s="6" t="s">
        <v>2300</v>
      </c>
      <c r="J5884" s="2" t="s">
        <v>5</v>
      </c>
      <c r="K5884" s="2" t="s">
        <v>5</v>
      </c>
      <c r="L5884" s="2" t="s">
        <v>5</v>
      </c>
      <c r="M5884" s="2" t="s">
        <v>5</v>
      </c>
      <c r="N5884" s="4">
        <v>0</v>
      </c>
    </row>
    <row r="5885" spans="1:14" x14ac:dyDescent="0.25">
      <c r="A5885" s="2" t="s">
        <v>1665</v>
      </c>
      <c r="B5885" s="2" t="s">
        <v>1666</v>
      </c>
      <c r="C5885" s="3">
        <v>4.26</v>
      </c>
      <c r="D5885" s="4">
        <v>38.638199999999998</v>
      </c>
      <c r="E5885" s="4">
        <v>31.097999999999999</v>
      </c>
      <c r="F5885" s="4">
        <f t="shared" si="323"/>
        <v>7.5401999999999987</v>
      </c>
      <c r="G5885" s="5">
        <f t="shared" si="324"/>
        <v>0.19514884233737595</v>
      </c>
      <c r="H5885" s="2" t="s">
        <v>5</v>
      </c>
      <c r="I5885" s="6" t="s">
        <v>2300</v>
      </c>
      <c r="J5885" s="2" t="s">
        <v>5</v>
      </c>
      <c r="K5885" s="2" t="s">
        <v>5</v>
      </c>
      <c r="L5885" s="2" t="s">
        <v>5</v>
      </c>
      <c r="M5885" s="2" t="s">
        <v>5</v>
      </c>
      <c r="N5885" s="4">
        <v>0</v>
      </c>
    </row>
    <row r="5886" spans="1:14" x14ac:dyDescent="0.25">
      <c r="A5886" s="2" t="s">
        <v>1484</v>
      </c>
      <c r="B5886" s="2" t="s">
        <v>1485</v>
      </c>
      <c r="C5886" s="3">
        <v>24</v>
      </c>
      <c r="D5886" s="4">
        <v>304.08</v>
      </c>
      <c r="E5886" s="4">
        <v>175.2</v>
      </c>
      <c r="F5886" s="4">
        <f t="shared" si="323"/>
        <v>128.88</v>
      </c>
      <c r="G5886" s="5">
        <f t="shared" si="324"/>
        <v>0.4238358326756117</v>
      </c>
      <c r="H5886" s="2" t="s">
        <v>5</v>
      </c>
      <c r="I5886" s="6" t="s">
        <v>2300</v>
      </c>
      <c r="J5886" s="2" t="s">
        <v>5</v>
      </c>
      <c r="K5886" s="2" t="s">
        <v>5</v>
      </c>
      <c r="L5886" s="2" t="s">
        <v>5</v>
      </c>
      <c r="M5886" s="2" t="s">
        <v>5</v>
      </c>
      <c r="N5886" s="4">
        <v>0</v>
      </c>
    </row>
    <row r="5887" spans="1:14" x14ac:dyDescent="0.25">
      <c r="A5887" s="2" t="s">
        <v>1484</v>
      </c>
      <c r="B5887" s="2" t="s">
        <v>1485</v>
      </c>
      <c r="C5887" s="3">
        <v>3.68</v>
      </c>
      <c r="D5887" s="4">
        <v>46.625599999999999</v>
      </c>
      <c r="E5887" s="4">
        <v>26.864000000000001</v>
      </c>
      <c r="F5887" s="4">
        <f t="shared" si="323"/>
        <v>19.761599999999998</v>
      </c>
      <c r="G5887" s="5">
        <f t="shared" si="324"/>
        <v>0.42383583267561165</v>
      </c>
      <c r="H5887" s="2" t="s">
        <v>5</v>
      </c>
      <c r="I5887" s="6" t="s">
        <v>2300</v>
      </c>
      <c r="J5887" s="2" t="s">
        <v>5</v>
      </c>
      <c r="K5887" s="2" t="s">
        <v>5</v>
      </c>
      <c r="L5887" s="2" t="s">
        <v>5</v>
      </c>
      <c r="M5887" s="2" t="s">
        <v>5</v>
      </c>
      <c r="N5887" s="4">
        <v>0</v>
      </c>
    </row>
    <row r="5888" spans="1:14" x14ac:dyDescent="0.25">
      <c r="A5888" s="2" t="s">
        <v>2067</v>
      </c>
      <c r="B5888" s="2" t="s">
        <v>2068</v>
      </c>
      <c r="C5888" s="3">
        <v>7.95</v>
      </c>
      <c r="D5888" s="4">
        <v>123.6225</v>
      </c>
      <c r="E5888" s="4">
        <v>54.854999999999997</v>
      </c>
      <c r="F5888" s="4">
        <f t="shared" si="323"/>
        <v>68.767500000000013</v>
      </c>
      <c r="G5888" s="5">
        <f t="shared" si="324"/>
        <v>0.55627009646302261</v>
      </c>
      <c r="H5888" s="2" t="s">
        <v>5</v>
      </c>
      <c r="I5888" s="6" t="s">
        <v>2300</v>
      </c>
      <c r="J5888" s="2" t="s">
        <v>5</v>
      </c>
      <c r="K5888" s="2" t="s">
        <v>5</v>
      </c>
      <c r="L5888" s="2" t="s">
        <v>5</v>
      </c>
      <c r="M5888" s="2" t="s">
        <v>5</v>
      </c>
      <c r="N5888" s="4">
        <v>0</v>
      </c>
    </row>
    <row r="5889" spans="1:14" x14ac:dyDescent="0.25">
      <c r="A5889" s="2" t="s">
        <v>1735</v>
      </c>
      <c r="B5889" s="2" t="s">
        <v>1736</v>
      </c>
      <c r="C5889" s="3">
        <v>16.059999999999999</v>
      </c>
      <c r="D5889" s="4">
        <v>249.733</v>
      </c>
      <c r="E5889" s="4">
        <v>110.81399999999999</v>
      </c>
      <c r="F5889" s="4">
        <f t="shared" si="323"/>
        <v>138.91900000000001</v>
      </c>
      <c r="G5889" s="5">
        <f t="shared" si="324"/>
        <v>0.5562700964630225</v>
      </c>
      <c r="H5889" s="2" t="s">
        <v>5</v>
      </c>
      <c r="I5889" s="6" t="s">
        <v>2300</v>
      </c>
      <c r="J5889" s="2" t="s">
        <v>5</v>
      </c>
      <c r="K5889" s="2" t="s">
        <v>5</v>
      </c>
      <c r="L5889" s="2" t="s">
        <v>5</v>
      </c>
      <c r="M5889" s="2" t="s">
        <v>5</v>
      </c>
      <c r="N5889" s="4">
        <v>0</v>
      </c>
    </row>
    <row r="5890" spans="1:14" x14ac:dyDescent="0.25">
      <c r="A5890" s="2" t="s">
        <v>1735</v>
      </c>
      <c r="B5890" s="2" t="s">
        <v>1736</v>
      </c>
      <c r="C5890" s="3">
        <v>5.9</v>
      </c>
      <c r="D5890" s="4">
        <v>91.745000000000005</v>
      </c>
      <c r="E5890" s="4">
        <v>40.71</v>
      </c>
      <c r="F5890" s="4">
        <f t="shared" si="323"/>
        <v>51.035000000000004</v>
      </c>
      <c r="G5890" s="5">
        <f t="shared" si="324"/>
        <v>0.5562700964630225</v>
      </c>
      <c r="H5890" s="2" t="s">
        <v>5</v>
      </c>
      <c r="I5890" s="6" t="s">
        <v>2300</v>
      </c>
      <c r="J5890" s="2" t="s">
        <v>5</v>
      </c>
      <c r="K5890" s="2" t="s">
        <v>5</v>
      </c>
      <c r="L5890" s="2" t="s">
        <v>5</v>
      </c>
      <c r="M5890" s="2" t="s">
        <v>5</v>
      </c>
      <c r="N5890" s="4">
        <v>0</v>
      </c>
    </row>
    <row r="5891" spans="1:14" x14ac:dyDescent="0.25">
      <c r="A5891" s="2" t="s">
        <v>1701</v>
      </c>
      <c r="B5891" s="2" t="s">
        <v>1702</v>
      </c>
      <c r="C5891" s="3">
        <v>13.55</v>
      </c>
      <c r="D5891" s="4">
        <v>217.74850000000001</v>
      </c>
      <c r="E5891" s="4">
        <v>93.495000000000005</v>
      </c>
      <c r="F5891" s="4">
        <f t="shared" si="323"/>
        <v>124.2535</v>
      </c>
      <c r="G5891" s="5">
        <f t="shared" si="324"/>
        <v>0.57062850031113876</v>
      </c>
      <c r="H5891" s="2" t="s">
        <v>5</v>
      </c>
      <c r="I5891" s="6" t="s">
        <v>2300</v>
      </c>
      <c r="J5891" s="2" t="s">
        <v>5</v>
      </c>
      <c r="K5891" s="2" t="s">
        <v>5</v>
      </c>
      <c r="L5891" s="2" t="s">
        <v>5</v>
      </c>
      <c r="M5891" s="2" t="s">
        <v>5</v>
      </c>
      <c r="N5891" s="4">
        <v>0</v>
      </c>
    </row>
    <row r="5892" spans="1:14" x14ac:dyDescent="0.25">
      <c r="A5892" s="2" t="s">
        <v>1701</v>
      </c>
      <c r="B5892" s="2" t="s">
        <v>1702</v>
      </c>
      <c r="C5892" s="3">
        <v>5.5</v>
      </c>
      <c r="D5892" s="4">
        <v>88.385000000000005</v>
      </c>
      <c r="E5892" s="4">
        <v>37.950000000000003</v>
      </c>
      <c r="F5892" s="4">
        <f t="shared" si="323"/>
        <v>50.435000000000002</v>
      </c>
      <c r="G5892" s="5">
        <f t="shared" si="324"/>
        <v>0.57062850031113876</v>
      </c>
      <c r="H5892" s="2" t="s">
        <v>5</v>
      </c>
      <c r="I5892" s="6" t="s">
        <v>2300</v>
      </c>
      <c r="J5892" s="2" t="s">
        <v>5</v>
      </c>
      <c r="K5892" s="2" t="s">
        <v>5</v>
      </c>
      <c r="L5892" s="2" t="s">
        <v>5</v>
      </c>
      <c r="M5892" s="2" t="s">
        <v>5</v>
      </c>
      <c r="N5892" s="4">
        <v>0</v>
      </c>
    </row>
    <row r="5893" spans="1:14" x14ac:dyDescent="0.25">
      <c r="A5893" s="2" t="s">
        <v>1701</v>
      </c>
      <c r="B5893" s="2" t="s">
        <v>1702</v>
      </c>
      <c r="C5893" s="3">
        <v>5.44</v>
      </c>
      <c r="D5893" s="4">
        <v>87.4208</v>
      </c>
      <c r="E5893" s="4">
        <v>37.536000000000001</v>
      </c>
      <c r="F5893" s="4">
        <f t="shared" si="323"/>
        <v>49.884799999999998</v>
      </c>
      <c r="G5893" s="5">
        <f t="shared" si="324"/>
        <v>0.57062850031113876</v>
      </c>
      <c r="H5893" s="2" t="s">
        <v>5</v>
      </c>
      <c r="I5893" s="6" t="s">
        <v>2300</v>
      </c>
      <c r="J5893" s="2" t="s">
        <v>5</v>
      </c>
      <c r="K5893" s="2" t="s">
        <v>5</v>
      </c>
      <c r="L5893" s="2" t="s">
        <v>5</v>
      </c>
      <c r="M5893" s="2" t="s">
        <v>5</v>
      </c>
      <c r="N5893" s="4">
        <v>0</v>
      </c>
    </row>
    <row r="5894" spans="1:14" x14ac:dyDescent="0.25">
      <c r="A5894" s="2" t="s">
        <v>538</v>
      </c>
      <c r="B5894" s="2" t="s">
        <v>539</v>
      </c>
      <c r="C5894" s="3">
        <v>4.78</v>
      </c>
      <c r="D5894" s="4">
        <v>22.943999999999999</v>
      </c>
      <c r="E5894" s="4">
        <v>11.95</v>
      </c>
      <c r="F5894" s="4">
        <f t="shared" si="323"/>
        <v>10.994</v>
      </c>
      <c r="G5894" s="5">
        <f t="shared" si="324"/>
        <v>0.47916666666666669</v>
      </c>
      <c r="H5894" s="2" t="s">
        <v>5</v>
      </c>
      <c r="I5894" s="6" t="s">
        <v>2300</v>
      </c>
      <c r="J5894" s="2" t="s">
        <v>5</v>
      </c>
      <c r="K5894" s="2" t="s">
        <v>5</v>
      </c>
      <c r="L5894" s="2" t="s">
        <v>5</v>
      </c>
      <c r="M5894" s="2" t="s">
        <v>5</v>
      </c>
      <c r="N5894" s="4">
        <v>0</v>
      </c>
    </row>
    <row r="5895" spans="1:14" x14ac:dyDescent="0.25">
      <c r="A5895" s="2" t="s">
        <v>538</v>
      </c>
      <c r="B5895" s="2" t="s">
        <v>539</v>
      </c>
      <c r="C5895" s="3">
        <v>16.47</v>
      </c>
      <c r="D5895" s="4">
        <v>79.055999999999997</v>
      </c>
      <c r="E5895" s="4">
        <v>41.174999999999997</v>
      </c>
      <c r="F5895" s="4">
        <f t="shared" si="323"/>
        <v>37.881</v>
      </c>
      <c r="G5895" s="5">
        <f t="shared" si="324"/>
        <v>0.47916666666666669</v>
      </c>
      <c r="H5895" s="2" t="s">
        <v>5</v>
      </c>
      <c r="I5895" s="6" t="s">
        <v>2300</v>
      </c>
      <c r="J5895" s="2" t="s">
        <v>5</v>
      </c>
      <c r="K5895" s="2" t="s">
        <v>5</v>
      </c>
      <c r="L5895" s="2" t="s">
        <v>5</v>
      </c>
      <c r="M5895" s="2" t="s">
        <v>5</v>
      </c>
      <c r="N5895" s="4">
        <v>0</v>
      </c>
    </row>
    <row r="5896" spans="1:14" x14ac:dyDescent="0.25">
      <c r="A5896" s="2" t="s">
        <v>538</v>
      </c>
      <c r="B5896" s="2" t="s">
        <v>539</v>
      </c>
      <c r="C5896" s="3">
        <v>4.78</v>
      </c>
      <c r="D5896" s="4">
        <v>22.943999999999999</v>
      </c>
      <c r="E5896" s="4">
        <v>11.95</v>
      </c>
      <c r="F5896" s="4">
        <f t="shared" si="323"/>
        <v>10.994</v>
      </c>
      <c r="G5896" s="5">
        <f t="shared" si="324"/>
        <v>0.47916666666666669</v>
      </c>
      <c r="H5896" s="2" t="s">
        <v>5</v>
      </c>
      <c r="I5896" s="6" t="s">
        <v>2300</v>
      </c>
      <c r="J5896" s="2" t="s">
        <v>5</v>
      </c>
      <c r="K5896" s="2" t="s">
        <v>5</v>
      </c>
      <c r="L5896" s="2" t="s">
        <v>5</v>
      </c>
      <c r="M5896" s="2" t="s">
        <v>5</v>
      </c>
      <c r="N5896" s="4">
        <v>0</v>
      </c>
    </row>
    <row r="5897" spans="1:14" x14ac:dyDescent="0.25">
      <c r="A5897" s="2" t="s">
        <v>538</v>
      </c>
      <c r="B5897" s="2" t="s">
        <v>539</v>
      </c>
      <c r="C5897" s="3">
        <v>10.115</v>
      </c>
      <c r="D5897" s="4">
        <v>48.552</v>
      </c>
      <c r="E5897" s="4">
        <v>25.287500000000001</v>
      </c>
      <c r="F5897" s="4">
        <f t="shared" si="323"/>
        <v>23.264499999999998</v>
      </c>
      <c r="G5897" s="5">
        <f t="shared" si="324"/>
        <v>0.47916666666666663</v>
      </c>
      <c r="H5897" s="2" t="s">
        <v>5</v>
      </c>
      <c r="I5897" s="6" t="s">
        <v>2300</v>
      </c>
      <c r="J5897" s="2" t="s">
        <v>5</v>
      </c>
      <c r="K5897" s="2" t="s">
        <v>5</v>
      </c>
      <c r="L5897" s="2" t="s">
        <v>5</v>
      </c>
      <c r="M5897" s="2" t="s">
        <v>5</v>
      </c>
      <c r="N5897" s="4">
        <v>0</v>
      </c>
    </row>
    <row r="5898" spans="1:14" x14ac:dyDescent="0.25">
      <c r="A5898" s="2" t="s">
        <v>540</v>
      </c>
      <c r="B5898" s="2" t="s">
        <v>541</v>
      </c>
      <c r="C5898" s="3">
        <v>12.585000000000001</v>
      </c>
      <c r="D5898" s="4">
        <v>576.39300000000003</v>
      </c>
      <c r="E5898" s="4">
        <v>352.38</v>
      </c>
      <c r="F5898" s="4">
        <f t="shared" si="323"/>
        <v>224.01300000000003</v>
      </c>
      <c r="G5898" s="5">
        <f t="shared" si="324"/>
        <v>0.388646288209607</v>
      </c>
      <c r="H5898" s="2" t="s">
        <v>5</v>
      </c>
      <c r="I5898" s="6" t="s">
        <v>2300</v>
      </c>
      <c r="J5898" s="2" t="s">
        <v>5</v>
      </c>
      <c r="K5898" s="2" t="s">
        <v>5</v>
      </c>
      <c r="L5898" s="2" t="s">
        <v>5</v>
      </c>
      <c r="M5898" s="2" t="s">
        <v>5</v>
      </c>
      <c r="N5898" s="4">
        <v>0</v>
      </c>
    </row>
    <row r="5899" spans="1:14" x14ac:dyDescent="0.25">
      <c r="A5899" s="2" t="s">
        <v>540</v>
      </c>
      <c r="B5899" s="2" t="s">
        <v>541</v>
      </c>
      <c r="C5899" s="3">
        <v>4.2699999999999996</v>
      </c>
      <c r="D5899" s="4">
        <v>195.566</v>
      </c>
      <c r="E5899" s="4">
        <v>119.56</v>
      </c>
      <c r="F5899" s="4">
        <f t="shared" si="323"/>
        <v>76.006</v>
      </c>
      <c r="G5899" s="5">
        <f t="shared" si="324"/>
        <v>0.388646288209607</v>
      </c>
      <c r="H5899" s="2" t="s">
        <v>5</v>
      </c>
      <c r="I5899" s="6" t="s">
        <v>2300</v>
      </c>
      <c r="J5899" s="2" t="s">
        <v>5</v>
      </c>
      <c r="K5899" s="2" t="s">
        <v>5</v>
      </c>
      <c r="L5899" s="2" t="s">
        <v>5</v>
      </c>
      <c r="M5899" s="2" t="s">
        <v>5</v>
      </c>
      <c r="N5899" s="4">
        <v>0</v>
      </c>
    </row>
    <row r="5900" spans="1:14" x14ac:dyDescent="0.25">
      <c r="A5900" s="2" t="s">
        <v>540</v>
      </c>
      <c r="B5900" s="2" t="s">
        <v>541</v>
      </c>
      <c r="C5900" s="3">
        <v>8.4049999999999994</v>
      </c>
      <c r="D5900" s="4">
        <v>384.94900000000001</v>
      </c>
      <c r="E5900" s="4">
        <v>235.34</v>
      </c>
      <c r="F5900" s="4">
        <f t="shared" si="323"/>
        <v>149.60900000000001</v>
      </c>
      <c r="G5900" s="5">
        <f t="shared" si="324"/>
        <v>0.388646288209607</v>
      </c>
      <c r="H5900" s="2" t="s">
        <v>5</v>
      </c>
      <c r="I5900" s="6" t="s">
        <v>2300</v>
      </c>
      <c r="J5900" s="2" t="s">
        <v>5</v>
      </c>
      <c r="K5900" s="2" t="s">
        <v>5</v>
      </c>
      <c r="L5900" s="2" t="s">
        <v>5</v>
      </c>
      <c r="M5900" s="2" t="s">
        <v>5</v>
      </c>
      <c r="N5900" s="4">
        <v>0</v>
      </c>
    </row>
    <row r="5901" spans="1:14" x14ac:dyDescent="0.25">
      <c r="A5901" s="2" t="s">
        <v>1711</v>
      </c>
      <c r="B5901" s="2" t="s">
        <v>1712</v>
      </c>
      <c r="C5901" s="3">
        <v>5.1139999999999999</v>
      </c>
      <c r="D5901" s="4">
        <v>234.22120000000001</v>
      </c>
      <c r="E5901" s="4">
        <v>143.19200000000001</v>
      </c>
      <c r="F5901" s="4">
        <f t="shared" si="323"/>
        <v>91.029200000000003</v>
      </c>
      <c r="G5901" s="5">
        <f t="shared" si="324"/>
        <v>0.388646288209607</v>
      </c>
      <c r="H5901" s="2" t="s">
        <v>5</v>
      </c>
      <c r="I5901" s="6" t="s">
        <v>2300</v>
      </c>
      <c r="J5901" s="2" t="s">
        <v>5</v>
      </c>
      <c r="K5901" s="2" t="s">
        <v>5</v>
      </c>
      <c r="L5901" s="2" t="s">
        <v>5</v>
      </c>
      <c r="M5901" s="2" t="s">
        <v>5</v>
      </c>
      <c r="N5901" s="4">
        <v>0</v>
      </c>
    </row>
    <row r="5902" spans="1:14" x14ac:dyDescent="0.25">
      <c r="A5902" s="2" t="s">
        <v>1751</v>
      </c>
      <c r="B5902" s="2" t="s">
        <v>1752</v>
      </c>
      <c r="C5902" s="3">
        <v>5.59</v>
      </c>
      <c r="D5902" s="4">
        <v>113.5329</v>
      </c>
      <c r="E5902" s="4">
        <v>75.465000000000003</v>
      </c>
      <c r="F5902" s="4">
        <f t="shared" si="323"/>
        <v>38.067899999999995</v>
      </c>
      <c r="G5902" s="5">
        <f t="shared" si="324"/>
        <v>0.33530280649926142</v>
      </c>
      <c r="H5902" s="2" t="s">
        <v>5</v>
      </c>
      <c r="I5902" s="6" t="s">
        <v>2300</v>
      </c>
      <c r="J5902" s="2" t="s">
        <v>5</v>
      </c>
      <c r="K5902" s="2" t="s">
        <v>5</v>
      </c>
      <c r="L5902" s="2" t="s">
        <v>5</v>
      </c>
      <c r="M5902" s="2" t="s">
        <v>5</v>
      </c>
      <c r="N5902" s="4">
        <v>0</v>
      </c>
    </row>
    <row r="5903" spans="1:14" x14ac:dyDescent="0.25">
      <c r="A5903" s="2" t="s">
        <v>542</v>
      </c>
      <c r="B5903" s="2" t="s">
        <v>543</v>
      </c>
      <c r="C5903" s="3">
        <v>8</v>
      </c>
      <c r="D5903" s="4">
        <v>115.2</v>
      </c>
      <c r="E5903" s="4">
        <v>80</v>
      </c>
      <c r="F5903" s="4">
        <f t="shared" si="323"/>
        <v>35.200000000000003</v>
      </c>
      <c r="G5903" s="5">
        <f t="shared" si="324"/>
        <v>0.30555555555555558</v>
      </c>
      <c r="H5903" s="2" t="s">
        <v>5</v>
      </c>
      <c r="I5903" s="6" t="s">
        <v>2300</v>
      </c>
      <c r="J5903" s="2" t="s">
        <v>5</v>
      </c>
      <c r="K5903" s="2" t="s">
        <v>5</v>
      </c>
      <c r="L5903" s="2" t="s">
        <v>5</v>
      </c>
      <c r="M5903" s="2" t="s">
        <v>5</v>
      </c>
      <c r="N5903" s="4">
        <v>0</v>
      </c>
    </row>
    <row r="5904" spans="1:14" x14ac:dyDescent="0.25">
      <c r="A5904" s="2" t="s">
        <v>542</v>
      </c>
      <c r="B5904" s="2" t="s">
        <v>543</v>
      </c>
      <c r="C5904" s="3">
        <v>4</v>
      </c>
      <c r="D5904" s="4">
        <v>57.6</v>
      </c>
      <c r="E5904" s="4">
        <v>40</v>
      </c>
      <c r="F5904" s="4">
        <f t="shared" si="323"/>
        <v>17.600000000000001</v>
      </c>
      <c r="G5904" s="5">
        <f t="shared" si="324"/>
        <v>0.30555555555555558</v>
      </c>
      <c r="H5904" s="2" t="s">
        <v>5</v>
      </c>
      <c r="I5904" s="6" t="s">
        <v>2300</v>
      </c>
      <c r="J5904" s="2" t="s">
        <v>5</v>
      </c>
      <c r="K5904" s="2" t="s">
        <v>5</v>
      </c>
      <c r="L5904" s="2" t="s">
        <v>5</v>
      </c>
      <c r="M5904" s="2" t="s">
        <v>5</v>
      </c>
      <c r="N5904" s="4">
        <v>0</v>
      </c>
    </row>
    <row r="5905" spans="1:14" x14ac:dyDescent="0.25">
      <c r="A5905" s="2" t="s">
        <v>542</v>
      </c>
      <c r="B5905" s="2" t="s">
        <v>543</v>
      </c>
      <c r="C5905" s="3">
        <v>4</v>
      </c>
      <c r="D5905" s="4">
        <v>57.6</v>
      </c>
      <c r="E5905" s="4">
        <v>40</v>
      </c>
      <c r="F5905" s="4">
        <f t="shared" si="323"/>
        <v>17.600000000000001</v>
      </c>
      <c r="G5905" s="5">
        <f t="shared" si="324"/>
        <v>0.30555555555555558</v>
      </c>
      <c r="H5905" s="2" t="s">
        <v>5</v>
      </c>
      <c r="I5905" s="6" t="s">
        <v>2300</v>
      </c>
      <c r="J5905" s="2" t="s">
        <v>5</v>
      </c>
      <c r="K5905" s="2" t="s">
        <v>5</v>
      </c>
      <c r="L5905" s="2" t="s">
        <v>5</v>
      </c>
      <c r="M5905" s="2" t="s">
        <v>5</v>
      </c>
      <c r="N5905" s="4">
        <v>0</v>
      </c>
    </row>
    <row r="5906" spans="1:14" x14ac:dyDescent="0.25">
      <c r="A5906" s="2" t="s">
        <v>1737</v>
      </c>
      <c r="B5906" s="2" t="s">
        <v>1738</v>
      </c>
      <c r="C5906" s="3">
        <v>3.1</v>
      </c>
      <c r="D5906" s="4">
        <v>69.254000000000005</v>
      </c>
      <c r="E5906" s="4">
        <v>51.15</v>
      </c>
      <c r="F5906" s="4">
        <f t="shared" si="323"/>
        <v>18.104000000000006</v>
      </c>
      <c r="G5906" s="5">
        <f t="shared" si="324"/>
        <v>0.26141450313339309</v>
      </c>
      <c r="H5906" s="2" t="s">
        <v>5</v>
      </c>
      <c r="I5906" s="6" t="s">
        <v>2300</v>
      </c>
      <c r="J5906" s="2" t="s">
        <v>5</v>
      </c>
      <c r="K5906" s="2" t="s">
        <v>5</v>
      </c>
      <c r="L5906" s="2" t="s">
        <v>5</v>
      </c>
      <c r="M5906" s="2" t="s">
        <v>5</v>
      </c>
      <c r="N5906" s="4">
        <v>0</v>
      </c>
    </row>
    <row r="5907" spans="1:14" x14ac:dyDescent="0.25">
      <c r="A5907" s="2" t="s">
        <v>2082</v>
      </c>
      <c r="B5907" s="2" t="s">
        <v>2083</v>
      </c>
      <c r="C5907" s="3">
        <v>12.28</v>
      </c>
      <c r="D5907" s="4">
        <v>392.22320000000002</v>
      </c>
      <c r="E5907" s="4">
        <v>288.58</v>
      </c>
      <c r="F5907" s="4">
        <f t="shared" si="323"/>
        <v>103.64320000000004</v>
      </c>
      <c r="G5907" s="5">
        <f t="shared" si="324"/>
        <v>0.26424546023794621</v>
      </c>
      <c r="H5907" s="2" t="s">
        <v>5</v>
      </c>
      <c r="I5907" s="6" t="s">
        <v>2300</v>
      </c>
      <c r="J5907" s="2" t="s">
        <v>5</v>
      </c>
      <c r="K5907" s="2" t="s">
        <v>5</v>
      </c>
      <c r="L5907" s="2" t="s">
        <v>5</v>
      </c>
      <c r="M5907" s="2" t="s">
        <v>5</v>
      </c>
      <c r="N5907" s="4">
        <v>0</v>
      </c>
    </row>
    <row r="5908" spans="1:14" x14ac:dyDescent="0.25">
      <c r="A5908" s="2" t="s">
        <v>1506</v>
      </c>
      <c r="B5908" s="2" t="s">
        <v>1507</v>
      </c>
      <c r="C5908" s="3">
        <v>17.445</v>
      </c>
      <c r="D5908" s="4">
        <v>315.23115000000001</v>
      </c>
      <c r="E5908" s="4">
        <v>287.84249999999997</v>
      </c>
      <c r="F5908" s="4">
        <f t="shared" si="323"/>
        <v>27.388650000000041</v>
      </c>
      <c r="G5908" s="5">
        <f t="shared" si="324"/>
        <v>8.6884338682899964E-2</v>
      </c>
      <c r="H5908" s="2" t="s">
        <v>5</v>
      </c>
      <c r="I5908" s="6" t="s">
        <v>2300</v>
      </c>
      <c r="J5908" s="2" t="s">
        <v>5</v>
      </c>
      <c r="K5908" s="2" t="s">
        <v>5</v>
      </c>
      <c r="L5908" s="2" t="s">
        <v>5</v>
      </c>
      <c r="M5908" s="2" t="s">
        <v>5</v>
      </c>
      <c r="N5908" s="4">
        <v>0</v>
      </c>
    </row>
    <row r="5909" spans="1:14" x14ac:dyDescent="0.25">
      <c r="A5909" s="2" t="s">
        <v>1506</v>
      </c>
      <c r="B5909" s="2" t="s">
        <v>1507</v>
      </c>
      <c r="C5909" s="3">
        <v>7.54</v>
      </c>
      <c r="D5909" s="4">
        <v>136.24780000000001</v>
      </c>
      <c r="E5909" s="4">
        <v>124.41</v>
      </c>
      <c r="F5909" s="4">
        <f t="shared" si="323"/>
        <v>11.837800000000016</v>
      </c>
      <c r="G5909" s="5">
        <f t="shared" si="324"/>
        <v>8.6884338682899936E-2</v>
      </c>
      <c r="H5909" s="2" t="s">
        <v>5</v>
      </c>
      <c r="I5909" s="6" t="s">
        <v>2300</v>
      </c>
      <c r="J5909" s="2" t="s">
        <v>5</v>
      </c>
      <c r="K5909" s="2" t="s">
        <v>5</v>
      </c>
      <c r="L5909" s="2" t="s">
        <v>5</v>
      </c>
      <c r="M5909" s="2" t="s">
        <v>5</v>
      </c>
      <c r="N5909" s="4">
        <v>0</v>
      </c>
    </row>
    <row r="5910" spans="1:14" x14ac:dyDescent="0.25">
      <c r="A5910" s="2" t="s">
        <v>1713</v>
      </c>
      <c r="B5910" s="2" t="s">
        <v>1714</v>
      </c>
      <c r="C5910" s="3">
        <v>20.32</v>
      </c>
      <c r="D5910" s="4">
        <v>356.20960000000002</v>
      </c>
      <c r="E5910" s="4">
        <v>344.42399999999998</v>
      </c>
      <c r="F5910" s="4">
        <f t="shared" si="323"/>
        <v>11.785600000000045</v>
      </c>
      <c r="G5910" s="5">
        <f t="shared" si="324"/>
        <v>3.3086138049058883E-2</v>
      </c>
      <c r="H5910" s="2" t="s">
        <v>5</v>
      </c>
      <c r="I5910" s="6" t="s">
        <v>2300</v>
      </c>
      <c r="J5910" s="2" t="s">
        <v>5</v>
      </c>
      <c r="K5910" s="2" t="s">
        <v>5</v>
      </c>
      <c r="L5910" s="2" t="s">
        <v>5</v>
      </c>
      <c r="M5910" s="2" t="s">
        <v>5</v>
      </c>
      <c r="N5910" s="4">
        <v>0</v>
      </c>
    </row>
    <row r="5911" spans="1:14" x14ac:dyDescent="0.25">
      <c r="A5911" s="2" t="s">
        <v>1715</v>
      </c>
      <c r="B5911" s="2" t="s">
        <v>1716</v>
      </c>
      <c r="C5911" s="3">
        <v>4.12</v>
      </c>
      <c r="D5911" s="4">
        <v>79.516000000000005</v>
      </c>
      <c r="E5911" s="4">
        <v>62.83</v>
      </c>
      <c r="F5911" s="4">
        <f t="shared" si="323"/>
        <v>16.686000000000007</v>
      </c>
      <c r="G5911" s="5">
        <f t="shared" si="324"/>
        <v>0.20984455958549231</v>
      </c>
      <c r="H5911" s="2" t="s">
        <v>5</v>
      </c>
      <c r="I5911" s="6" t="s">
        <v>2300</v>
      </c>
      <c r="J5911" s="2" t="s">
        <v>5</v>
      </c>
      <c r="K5911" s="2" t="s">
        <v>5</v>
      </c>
      <c r="L5911" s="2" t="s">
        <v>5</v>
      </c>
      <c r="M5911" s="2" t="s">
        <v>5</v>
      </c>
      <c r="N5911" s="4">
        <v>0</v>
      </c>
    </row>
    <row r="5912" spans="1:14" x14ac:dyDescent="0.25">
      <c r="A5912" s="2" t="s">
        <v>1715</v>
      </c>
      <c r="B5912" s="2" t="s">
        <v>1716</v>
      </c>
      <c r="C5912" s="3">
        <v>30.94</v>
      </c>
      <c r="D5912" s="4">
        <v>597.14200000000005</v>
      </c>
      <c r="E5912" s="4">
        <v>471.83499999999998</v>
      </c>
      <c r="F5912" s="4">
        <f t="shared" si="323"/>
        <v>125.30700000000007</v>
      </c>
      <c r="G5912" s="5">
        <f t="shared" si="324"/>
        <v>0.20984455958549234</v>
      </c>
      <c r="H5912" s="2" t="s">
        <v>5</v>
      </c>
      <c r="I5912" s="6" t="s">
        <v>2300</v>
      </c>
      <c r="J5912" s="2" t="s">
        <v>5</v>
      </c>
      <c r="K5912" s="2" t="s">
        <v>5</v>
      </c>
      <c r="L5912" s="2" t="s">
        <v>5</v>
      </c>
      <c r="M5912" s="2" t="s">
        <v>5</v>
      </c>
      <c r="N5912" s="4">
        <v>0</v>
      </c>
    </row>
    <row r="5913" spans="1:14" x14ac:dyDescent="0.25">
      <c r="A5913" s="2" t="s">
        <v>1695</v>
      </c>
      <c r="B5913" s="2" t="s">
        <v>1696</v>
      </c>
      <c r="C5913" s="3">
        <v>7.2249999999999996</v>
      </c>
      <c r="D5913" s="4">
        <v>80.92</v>
      </c>
      <c r="E5913" s="4">
        <v>52.7425</v>
      </c>
      <c r="F5913" s="4">
        <f t="shared" si="323"/>
        <v>28.177500000000002</v>
      </c>
      <c r="G5913" s="5">
        <f t="shared" si="324"/>
        <v>0.34821428571428575</v>
      </c>
      <c r="H5913" s="2" t="s">
        <v>5</v>
      </c>
      <c r="I5913" s="6" t="s">
        <v>2300</v>
      </c>
      <c r="J5913" s="2" t="s">
        <v>5</v>
      </c>
      <c r="K5913" s="2" t="s">
        <v>5</v>
      </c>
      <c r="L5913" s="2" t="s">
        <v>5</v>
      </c>
      <c r="M5913" s="2" t="s">
        <v>5</v>
      </c>
      <c r="N5913" s="4">
        <v>0</v>
      </c>
    </row>
    <row r="5914" spans="1:14" x14ac:dyDescent="0.25">
      <c r="A5914" s="2" t="s">
        <v>1695</v>
      </c>
      <c r="B5914" s="2" t="s">
        <v>1696</v>
      </c>
      <c r="C5914" s="3">
        <v>14.61</v>
      </c>
      <c r="D5914" s="4">
        <v>163.63200000000001</v>
      </c>
      <c r="E5914" s="4">
        <v>106.65300000000001</v>
      </c>
      <c r="F5914" s="4">
        <f t="shared" si="323"/>
        <v>56.978999999999999</v>
      </c>
      <c r="G5914" s="5">
        <f t="shared" si="324"/>
        <v>0.3482142857142857</v>
      </c>
      <c r="H5914" s="2" t="s">
        <v>5</v>
      </c>
      <c r="I5914" s="6" t="s">
        <v>2300</v>
      </c>
      <c r="J5914" s="2" t="s">
        <v>5</v>
      </c>
      <c r="K5914" s="2" t="s">
        <v>5</v>
      </c>
      <c r="L5914" s="2" t="s">
        <v>5</v>
      </c>
      <c r="M5914" s="2" t="s">
        <v>5</v>
      </c>
      <c r="N5914" s="4">
        <v>0</v>
      </c>
    </row>
    <row r="5915" spans="1:14" x14ac:dyDescent="0.25">
      <c r="A5915" s="2" t="s">
        <v>1669</v>
      </c>
      <c r="B5915" s="2" t="s">
        <v>1670</v>
      </c>
      <c r="C5915" s="3">
        <v>4</v>
      </c>
      <c r="D5915" s="4">
        <v>42.44</v>
      </c>
      <c r="E5915" s="4">
        <v>28.4</v>
      </c>
      <c r="F5915" s="4">
        <f t="shared" si="323"/>
        <v>14.04</v>
      </c>
      <c r="G5915" s="5">
        <f t="shared" si="324"/>
        <v>0.33081998114985861</v>
      </c>
      <c r="H5915" s="2" t="s">
        <v>5</v>
      </c>
      <c r="I5915" s="6" t="s">
        <v>2300</v>
      </c>
      <c r="J5915" s="2" t="s">
        <v>5</v>
      </c>
      <c r="K5915" s="2" t="s">
        <v>5</v>
      </c>
      <c r="L5915" s="2" t="s">
        <v>5</v>
      </c>
      <c r="M5915" s="2" t="s">
        <v>5</v>
      </c>
      <c r="N5915" s="4">
        <v>0</v>
      </c>
    </row>
    <row r="5916" spans="1:14" x14ac:dyDescent="0.25">
      <c r="A5916" s="2" t="s">
        <v>2084</v>
      </c>
      <c r="B5916" s="2" t="s">
        <v>2085</v>
      </c>
      <c r="C5916" s="3">
        <v>10</v>
      </c>
      <c r="D5916" s="4">
        <v>273.7</v>
      </c>
      <c r="E5916" s="4">
        <v>175</v>
      </c>
      <c r="F5916" s="4">
        <f t="shared" si="323"/>
        <v>98.699999999999989</v>
      </c>
      <c r="G5916" s="5">
        <f t="shared" si="324"/>
        <v>0.36061381074168797</v>
      </c>
      <c r="H5916" s="2" t="s">
        <v>5</v>
      </c>
      <c r="I5916" s="6" t="s">
        <v>2300</v>
      </c>
      <c r="J5916" s="2" t="s">
        <v>5</v>
      </c>
      <c r="K5916" s="2" t="s">
        <v>5</v>
      </c>
      <c r="L5916" s="2" t="s">
        <v>5</v>
      </c>
      <c r="M5916" s="2" t="s">
        <v>5</v>
      </c>
      <c r="N5916" s="4">
        <v>0</v>
      </c>
    </row>
    <row r="5917" spans="1:14" x14ac:dyDescent="0.25">
      <c r="A5917" s="2" t="s">
        <v>1739</v>
      </c>
      <c r="B5917" s="2" t="s">
        <v>1740</v>
      </c>
      <c r="C5917" s="3">
        <v>1.93</v>
      </c>
      <c r="D5917" s="4">
        <v>17.505099999999999</v>
      </c>
      <c r="E5917" s="4">
        <v>13.702999999999999</v>
      </c>
      <c r="F5917" s="4">
        <f t="shared" si="323"/>
        <v>3.8020999999999994</v>
      </c>
      <c r="G5917" s="5">
        <f t="shared" si="324"/>
        <v>0.21719955898566701</v>
      </c>
      <c r="H5917" s="2" t="s">
        <v>5</v>
      </c>
      <c r="I5917" s="6" t="s">
        <v>2300</v>
      </c>
      <c r="J5917" s="2" t="s">
        <v>5</v>
      </c>
      <c r="K5917" s="2" t="s">
        <v>5</v>
      </c>
      <c r="L5917" s="2" t="s">
        <v>5</v>
      </c>
      <c r="M5917" s="2" t="s">
        <v>5</v>
      </c>
      <c r="N5917" s="4">
        <v>0</v>
      </c>
    </row>
    <row r="5918" spans="1:14" x14ac:dyDescent="0.25">
      <c r="A5918" s="2" t="s">
        <v>1741</v>
      </c>
      <c r="B5918" s="2" t="s">
        <v>1742</v>
      </c>
      <c r="C5918" s="3">
        <v>14.744999999999999</v>
      </c>
      <c r="D5918" s="4">
        <v>612.35985000000005</v>
      </c>
      <c r="E5918" s="4">
        <v>346.50749999999999</v>
      </c>
      <c r="F5918" s="4">
        <f t="shared" si="323"/>
        <v>265.85235000000006</v>
      </c>
      <c r="G5918" s="5">
        <f t="shared" si="324"/>
        <v>0.43414399229472678</v>
      </c>
      <c r="H5918" s="2" t="s">
        <v>5</v>
      </c>
      <c r="I5918" s="6" t="s">
        <v>2300</v>
      </c>
      <c r="J5918" s="2" t="s">
        <v>5</v>
      </c>
      <c r="K5918" s="2" t="s">
        <v>5</v>
      </c>
      <c r="L5918" s="2" t="s">
        <v>5</v>
      </c>
      <c r="M5918" s="2" t="s">
        <v>5</v>
      </c>
      <c r="N5918" s="4">
        <v>0</v>
      </c>
    </row>
    <row r="5919" spans="1:14" x14ac:dyDescent="0.25">
      <c r="A5919" s="2" t="s">
        <v>544</v>
      </c>
      <c r="B5919" s="2" t="s">
        <v>545</v>
      </c>
      <c r="C5919" s="3">
        <v>29.87</v>
      </c>
      <c r="D5919" s="4">
        <v>1304.4229</v>
      </c>
      <c r="E5919" s="4">
        <v>925.97</v>
      </c>
      <c r="F5919" s="4">
        <f t="shared" si="323"/>
        <v>378.4529</v>
      </c>
      <c r="G5919" s="5">
        <f t="shared" si="324"/>
        <v>0.29013052438745135</v>
      </c>
      <c r="H5919" s="2" t="s">
        <v>5</v>
      </c>
      <c r="I5919" s="6" t="s">
        <v>2300</v>
      </c>
      <c r="J5919" s="2" t="s">
        <v>5</v>
      </c>
      <c r="K5919" s="2" t="s">
        <v>5</v>
      </c>
      <c r="L5919" s="2" t="s">
        <v>5</v>
      </c>
      <c r="M5919" s="2" t="s">
        <v>5</v>
      </c>
      <c r="N5919" s="4">
        <v>0</v>
      </c>
    </row>
    <row r="5920" spans="1:14" x14ac:dyDescent="0.25">
      <c r="A5920" s="2" t="s">
        <v>544</v>
      </c>
      <c r="B5920" s="2" t="s">
        <v>545</v>
      </c>
      <c r="C5920" s="3">
        <v>6.0750000000000002</v>
      </c>
      <c r="D5920" s="4">
        <v>265.29525000000001</v>
      </c>
      <c r="E5920" s="4">
        <v>188.32499999999999</v>
      </c>
      <c r="F5920" s="4">
        <f t="shared" si="323"/>
        <v>76.970250000000021</v>
      </c>
      <c r="G5920" s="5">
        <f t="shared" si="324"/>
        <v>0.29013052438745141</v>
      </c>
      <c r="H5920" s="2" t="s">
        <v>5</v>
      </c>
      <c r="I5920" s="6" t="s">
        <v>2300</v>
      </c>
      <c r="J5920" s="2" t="s">
        <v>5</v>
      </c>
      <c r="K5920" s="2" t="s">
        <v>5</v>
      </c>
      <c r="L5920" s="2" t="s">
        <v>5</v>
      </c>
      <c r="M5920" s="2" t="s">
        <v>5</v>
      </c>
      <c r="N5920" s="4">
        <v>0</v>
      </c>
    </row>
    <row r="5921" spans="1:14" x14ac:dyDescent="0.25">
      <c r="A5921" s="2" t="s">
        <v>544</v>
      </c>
      <c r="B5921" s="2" t="s">
        <v>545</v>
      </c>
      <c r="C5921" s="3">
        <v>6.1550000000000002</v>
      </c>
      <c r="D5921" s="4">
        <v>268.78885000000002</v>
      </c>
      <c r="E5921" s="4">
        <v>190.80500000000001</v>
      </c>
      <c r="F5921" s="4">
        <f t="shared" ref="F5921:F5984" si="325">D5921-E5921</f>
        <v>77.983850000000018</v>
      </c>
      <c r="G5921" s="5">
        <f t="shared" ref="G5921:G5967" si="326">IF(((D5921)=0),0,(D5921-E5921)/ D5921)</f>
        <v>0.29013052438745141</v>
      </c>
      <c r="H5921" s="2" t="s">
        <v>5</v>
      </c>
      <c r="I5921" s="6" t="s">
        <v>2300</v>
      </c>
      <c r="J5921" s="2" t="s">
        <v>5</v>
      </c>
      <c r="K5921" s="2" t="s">
        <v>5</v>
      </c>
      <c r="L5921" s="2" t="s">
        <v>5</v>
      </c>
      <c r="M5921" s="2" t="s">
        <v>5</v>
      </c>
      <c r="N5921" s="4">
        <v>0</v>
      </c>
    </row>
    <row r="5922" spans="1:14" x14ac:dyDescent="0.25">
      <c r="A5922" s="2" t="s">
        <v>544</v>
      </c>
      <c r="B5922" s="2" t="s">
        <v>545</v>
      </c>
      <c r="C5922" s="3">
        <v>9.8550000000000004</v>
      </c>
      <c r="D5922" s="4">
        <v>430.36784999999998</v>
      </c>
      <c r="E5922" s="4">
        <v>305.505</v>
      </c>
      <c r="F5922" s="4">
        <f t="shared" si="325"/>
        <v>124.86284999999998</v>
      </c>
      <c r="G5922" s="5">
        <f t="shared" si="326"/>
        <v>0.29013052438745129</v>
      </c>
      <c r="H5922" s="2" t="s">
        <v>5</v>
      </c>
      <c r="I5922" s="6" t="s">
        <v>2300</v>
      </c>
      <c r="J5922" s="2" t="s">
        <v>5</v>
      </c>
      <c r="K5922" s="2" t="s">
        <v>5</v>
      </c>
      <c r="L5922" s="2" t="s">
        <v>5</v>
      </c>
      <c r="M5922" s="2" t="s">
        <v>5</v>
      </c>
      <c r="N5922" s="4">
        <v>0</v>
      </c>
    </row>
    <row r="5923" spans="1:14" x14ac:dyDescent="0.25">
      <c r="A5923" s="2" t="s">
        <v>544</v>
      </c>
      <c r="B5923" s="2" t="s">
        <v>545</v>
      </c>
      <c r="C5923" s="3">
        <v>12.31</v>
      </c>
      <c r="D5923" s="4">
        <v>537.57770000000005</v>
      </c>
      <c r="E5923" s="4">
        <v>381.61</v>
      </c>
      <c r="F5923" s="4">
        <f t="shared" si="325"/>
        <v>155.96770000000004</v>
      </c>
      <c r="G5923" s="5">
        <f t="shared" si="326"/>
        <v>0.29013052438745141</v>
      </c>
      <c r="H5923" s="2" t="s">
        <v>5</v>
      </c>
      <c r="I5923" s="6" t="s">
        <v>2300</v>
      </c>
      <c r="J5923" s="2" t="s">
        <v>5</v>
      </c>
      <c r="K5923" s="2" t="s">
        <v>5</v>
      </c>
      <c r="L5923" s="2" t="s">
        <v>5</v>
      </c>
      <c r="M5923" s="2" t="s">
        <v>5</v>
      </c>
      <c r="N5923" s="4">
        <v>0</v>
      </c>
    </row>
    <row r="5924" spans="1:14" x14ac:dyDescent="0.25">
      <c r="A5924" s="2" t="s">
        <v>544</v>
      </c>
      <c r="B5924" s="2" t="s">
        <v>545</v>
      </c>
      <c r="C5924" s="3">
        <v>18.315000000000001</v>
      </c>
      <c r="D5924" s="4">
        <v>799.81605000000002</v>
      </c>
      <c r="E5924" s="4">
        <v>567.76499999999999</v>
      </c>
      <c r="F5924" s="4">
        <f t="shared" si="325"/>
        <v>232.05105000000003</v>
      </c>
      <c r="G5924" s="5">
        <f t="shared" si="326"/>
        <v>0.29013052438745135</v>
      </c>
      <c r="H5924" s="2" t="s">
        <v>5</v>
      </c>
      <c r="I5924" s="6" t="s">
        <v>2300</v>
      </c>
      <c r="J5924" s="2" t="s">
        <v>5</v>
      </c>
      <c r="K5924" s="2" t="s">
        <v>5</v>
      </c>
      <c r="L5924" s="2" t="s">
        <v>5</v>
      </c>
      <c r="M5924" s="2" t="s">
        <v>5</v>
      </c>
      <c r="N5924" s="4">
        <v>0</v>
      </c>
    </row>
    <row r="5925" spans="1:14" x14ac:dyDescent="0.25">
      <c r="A5925" s="2" t="s">
        <v>544</v>
      </c>
      <c r="B5925" s="2" t="s">
        <v>545</v>
      </c>
      <c r="C5925" s="3">
        <v>6.2</v>
      </c>
      <c r="D5925" s="4">
        <v>270.75400000000002</v>
      </c>
      <c r="E5925" s="4">
        <v>192.2</v>
      </c>
      <c r="F5925" s="4">
        <f t="shared" si="325"/>
        <v>78.55400000000003</v>
      </c>
      <c r="G5925" s="5">
        <f t="shared" si="326"/>
        <v>0.29013052438745141</v>
      </c>
      <c r="H5925" s="2" t="s">
        <v>5</v>
      </c>
      <c r="I5925" s="6" t="s">
        <v>2300</v>
      </c>
      <c r="J5925" s="2" t="s">
        <v>5</v>
      </c>
      <c r="K5925" s="2" t="s">
        <v>5</v>
      </c>
      <c r="L5925" s="2" t="s">
        <v>5</v>
      </c>
      <c r="M5925" s="2" t="s">
        <v>5</v>
      </c>
      <c r="N5925" s="4">
        <v>0</v>
      </c>
    </row>
    <row r="5926" spans="1:14" x14ac:dyDescent="0.25">
      <c r="A5926" s="2" t="s">
        <v>1743</v>
      </c>
      <c r="B5926" s="2" t="s">
        <v>1744</v>
      </c>
      <c r="C5926" s="3">
        <v>13.35</v>
      </c>
      <c r="D5926" s="4">
        <v>275.67750000000001</v>
      </c>
      <c r="E5926" s="4">
        <v>217.60499999999999</v>
      </c>
      <c r="F5926" s="4">
        <f t="shared" si="325"/>
        <v>58.072500000000019</v>
      </c>
      <c r="G5926" s="5">
        <f t="shared" si="326"/>
        <v>0.21065375302663444</v>
      </c>
      <c r="H5926" s="2" t="s">
        <v>5</v>
      </c>
      <c r="I5926" s="6" t="s">
        <v>2300</v>
      </c>
      <c r="J5926" s="2" t="s">
        <v>5</v>
      </c>
      <c r="K5926" s="2" t="s">
        <v>5</v>
      </c>
      <c r="L5926" s="2" t="s">
        <v>5</v>
      </c>
      <c r="M5926" s="2" t="s">
        <v>5</v>
      </c>
      <c r="N5926" s="4">
        <v>0</v>
      </c>
    </row>
    <row r="5927" spans="1:14" x14ac:dyDescent="0.25">
      <c r="A5927" s="2" t="s">
        <v>1486</v>
      </c>
      <c r="B5927" s="2" t="s">
        <v>1487</v>
      </c>
      <c r="C5927" s="3">
        <v>6.0549999999999997</v>
      </c>
      <c r="D5927" s="4">
        <v>146.59155000000001</v>
      </c>
      <c r="E5927" s="4">
        <v>84.77</v>
      </c>
      <c r="F5927" s="4">
        <f t="shared" si="325"/>
        <v>61.821550000000016</v>
      </c>
      <c r="G5927" s="5">
        <f t="shared" si="326"/>
        <v>0.42172655927302777</v>
      </c>
      <c r="H5927" s="2" t="s">
        <v>5</v>
      </c>
      <c r="I5927" s="6" t="s">
        <v>2300</v>
      </c>
      <c r="J5927" s="2" t="s">
        <v>5</v>
      </c>
      <c r="K5927" s="2" t="s">
        <v>5</v>
      </c>
      <c r="L5927" s="2" t="s">
        <v>5</v>
      </c>
      <c r="M5927" s="2" t="s">
        <v>5</v>
      </c>
      <c r="N5927" s="4">
        <v>0</v>
      </c>
    </row>
    <row r="5928" spans="1:14" x14ac:dyDescent="0.25">
      <c r="A5928" s="2" t="s">
        <v>1486</v>
      </c>
      <c r="B5928" s="2" t="s">
        <v>1487</v>
      </c>
      <c r="C5928" s="3">
        <v>60.075000000000003</v>
      </c>
      <c r="D5928" s="4">
        <v>1454.4157499999999</v>
      </c>
      <c r="E5928" s="4">
        <v>841.05</v>
      </c>
      <c r="F5928" s="4">
        <f t="shared" si="325"/>
        <v>613.36574999999993</v>
      </c>
      <c r="G5928" s="5">
        <f t="shared" si="326"/>
        <v>0.42172655927302766</v>
      </c>
      <c r="H5928" s="2" t="s">
        <v>5</v>
      </c>
      <c r="I5928" s="6" t="s">
        <v>2300</v>
      </c>
      <c r="J5928" s="2" t="s">
        <v>5</v>
      </c>
      <c r="K5928" s="2" t="s">
        <v>5</v>
      </c>
      <c r="L5928" s="2" t="s">
        <v>5</v>
      </c>
      <c r="M5928" s="2" t="s">
        <v>5</v>
      </c>
      <c r="N5928" s="4">
        <v>0</v>
      </c>
    </row>
    <row r="5929" spans="1:14" x14ac:dyDescent="0.25">
      <c r="A5929" s="2" t="s">
        <v>1486</v>
      </c>
      <c r="B5929" s="2" t="s">
        <v>1487</v>
      </c>
      <c r="C5929" s="3">
        <v>6.2320000000000002</v>
      </c>
      <c r="D5929" s="4">
        <v>150.87672000000001</v>
      </c>
      <c r="E5929" s="4">
        <v>87.248000000000005</v>
      </c>
      <c r="F5929" s="4">
        <f t="shared" si="325"/>
        <v>63.628720000000001</v>
      </c>
      <c r="G5929" s="5">
        <f t="shared" si="326"/>
        <v>0.42172655927302766</v>
      </c>
      <c r="H5929" s="2" t="s">
        <v>5</v>
      </c>
      <c r="I5929" s="6" t="s">
        <v>2300</v>
      </c>
      <c r="J5929" s="2" t="s">
        <v>5</v>
      </c>
      <c r="K5929" s="2" t="s">
        <v>5</v>
      </c>
      <c r="L5929" s="2" t="s">
        <v>5</v>
      </c>
      <c r="M5929" s="2" t="s">
        <v>5</v>
      </c>
      <c r="N5929" s="4">
        <v>0</v>
      </c>
    </row>
    <row r="5930" spans="1:14" x14ac:dyDescent="0.25">
      <c r="A5930" s="2" t="s">
        <v>1486</v>
      </c>
      <c r="B5930" s="2" t="s">
        <v>1487</v>
      </c>
      <c r="C5930" s="3">
        <v>39.354999999999997</v>
      </c>
      <c r="D5930" s="4">
        <v>952.78454999999997</v>
      </c>
      <c r="E5930" s="4">
        <v>550.97</v>
      </c>
      <c r="F5930" s="4">
        <f t="shared" si="325"/>
        <v>401.81454999999994</v>
      </c>
      <c r="G5930" s="5">
        <f t="shared" si="326"/>
        <v>0.4217265592730276</v>
      </c>
      <c r="H5930" s="2" t="s">
        <v>5</v>
      </c>
      <c r="I5930" s="6" t="s">
        <v>2300</v>
      </c>
      <c r="J5930" s="2" t="s">
        <v>5</v>
      </c>
      <c r="K5930" s="2" t="s">
        <v>5</v>
      </c>
      <c r="L5930" s="2" t="s">
        <v>5</v>
      </c>
      <c r="M5930" s="2" t="s">
        <v>5</v>
      </c>
      <c r="N5930" s="4">
        <v>0</v>
      </c>
    </row>
    <row r="5931" spans="1:14" x14ac:dyDescent="0.25">
      <c r="A5931" s="2" t="s">
        <v>1486</v>
      </c>
      <c r="B5931" s="2" t="s">
        <v>1487</v>
      </c>
      <c r="C5931" s="3">
        <v>6.3</v>
      </c>
      <c r="D5931" s="4">
        <v>152.523</v>
      </c>
      <c r="E5931" s="4">
        <v>88.2</v>
      </c>
      <c r="F5931" s="4">
        <f t="shared" si="325"/>
        <v>64.322999999999993</v>
      </c>
      <c r="G5931" s="5">
        <f t="shared" si="326"/>
        <v>0.42172655927302766</v>
      </c>
      <c r="H5931" s="2" t="s">
        <v>5</v>
      </c>
      <c r="I5931" s="6" t="s">
        <v>2300</v>
      </c>
      <c r="J5931" s="2" t="s">
        <v>5</v>
      </c>
      <c r="K5931" s="2" t="s">
        <v>5</v>
      </c>
      <c r="L5931" s="2" t="s">
        <v>5</v>
      </c>
      <c r="M5931" s="2" t="s">
        <v>5</v>
      </c>
      <c r="N5931" s="4">
        <v>0</v>
      </c>
    </row>
    <row r="5932" spans="1:14" x14ac:dyDescent="0.25">
      <c r="A5932" s="2" t="s">
        <v>1486</v>
      </c>
      <c r="B5932" s="2" t="s">
        <v>1487</v>
      </c>
      <c r="C5932" s="3">
        <v>16.373999999999999</v>
      </c>
      <c r="D5932" s="4">
        <v>396.41453999999999</v>
      </c>
      <c r="E5932" s="4">
        <v>229.23599999999999</v>
      </c>
      <c r="F5932" s="4">
        <f t="shared" si="325"/>
        <v>167.17854</v>
      </c>
      <c r="G5932" s="5">
        <f t="shared" si="326"/>
        <v>0.42172655927302766</v>
      </c>
      <c r="H5932" s="2" t="s">
        <v>5</v>
      </c>
      <c r="I5932" s="6" t="s">
        <v>2300</v>
      </c>
      <c r="J5932" s="2" t="s">
        <v>5</v>
      </c>
      <c r="K5932" s="2" t="s">
        <v>5</v>
      </c>
      <c r="L5932" s="2" t="s">
        <v>5</v>
      </c>
      <c r="M5932" s="2" t="s">
        <v>5</v>
      </c>
      <c r="N5932" s="4">
        <v>0</v>
      </c>
    </row>
    <row r="5933" spans="1:14" x14ac:dyDescent="0.25">
      <c r="A5933" s="2" t="s">
        <v>2071</v>
      </c>
      <c r="B5933" s="2" t="s">
        <v>2072</v>
      </c>
      <c r="C5933" s="3">
        <v>13.37</v>
      </c>
      <c r="D5933" s="4">
        <v>256.57029999999997</v>
      </c>
      <c r="E5933" s="4">
        <v>187.18</v>
      </c>
      <c r="F5933" s="4">
        <f t="shared" si="325"/>
        <v>69.390299999999968</v>
      </c>
      <c r="G5933" s="5">
        <f t="shared" si="326"/>
        <v>0.27045336112558616</v>
      </c>
      <c r="H5933" s="2" t="s">
        <v>5</v>
      </c>
      <c r="I5933" s="6" t="s">
        <v>2300</v>
      </c>
      <c r="J5933" s="2" t="s">
        <v>5</v>
      </c>
      <c r="K5933" s="2" t="s">
        <v>5</v>
      </c>
      <c r="L5933" s="2" t="s">
        <v>5</v>
      </c>
      <c r="M5933" s="2" t="s">
        <v>5</v>
      </c>
      <c r="N5933" s="4">
        <v>0</v>
      </c>
    </row>
    <row r="5934" spans="1:14" x14ac:dyDescent="0.25">
      <c r="A5934" s="2" t="s">
        <v>2086</v>
      </c>
      <c r="B5934" s="2" t="s">
        <v>2087</v>
      </c>
      <c r="C5934" s="3">
        <v>5.9649999999999999</v>
      </c>
      <c r="D5934" s="4">
        <v>232.21745000000001</v>
      </c>
      <c r="E5934" s="4">
        <v>104.3875</v>
      </c>
      <c r="F5934" s="4">
        <f t="shared" si="325"/>
        <v>127.82995000000001</v>
      </c>
      <c r="G5934" s="5">
        <f t="shared" si="326"/>
        <v>0.55047521191882864</v>
      </c>
      <c r="H5934" s="2" t="s">
        <v>5</v>
      </c>
      <c r="I5934" s="6" t="s">
        <v>2300</v>
      </c>
      <c r="J5934" s="2" t="s">
        <v>5</v>
      </c>
      <c r="K5934" s="2" t="s">
        <v>5</v>
      </c>
      <c r="L5934" s="2" t="s">
        <v>5</v>
      </c>
      <c r="M5934" s="2" t="s">
        <v>5</v>
      </c>
      <c r="N5934" s="4">
        <v>0</v>
      </c>
    </row>
    <row r="5935" spans="1:14" x14ac:dyDescent="0.25">
      <c r="A5935" s="2" t="s">
        <v>546</v>
      </c>
      <c r="B5935" s="2" t="s">
        <v>547</v>
      </c>
      <c r="C5935" s="3">
        <v>15.897</v>
      </c>
      <c r="D5935" s="4">
        <v>398.37882000000002</v>
      </c>
      <c r="E5935" s="4">
        <v>230.50649999999999</v>
      </c>
      <c r="F5935" s="4">
        <f t="shared" si="325"/>
        <v>167.87232000000003</v>
      </c>
      <c r="G5935" s="5">
        <f t="shared" si="326"/>
        <v>0.42138866719872314</v>
      </c>
      <c r="H5935" s="2" t="s">
        <v>5</v>
      </c>
      <c r="I5935" s="6" t="s">
        <v>2300</v>
      </c>
      <c r="J5935" s="2" t="s">
        <v>5</v>
      </c>
      <c r="K5935" s="2" t="s">
        <v>5</v>
      </c>
      <c r="L5935" s="2" t="s">
        <v>5</v>
      </c>
      <c r="M5935" s="2" t="s">
        <v>5</v>
      </c>
      <c r="N5935" s="4">
        <v>0</v>
      </c>
    </row>
    <row r="5936" spans="1:14" x14ac:dyDescent="0.25">
      <c r="A5936" s="2" t="s">
        <v>546</v>
      </c>
      <c r="B5936" s="2" t="s">
        <v>547</v>
      </c>
      <c r="C5936" s="3">
        <v>10.77</v>
      </c>
      <c r="D5936" s="4">
        <v>269.89620000000002</v>
      </c>
      <c r="E5936" s="4">
        <v>156.16499999999999</v>
      </c>
      <c r="F5936" s="4">
        <f t="shared" si="325"/>
        <v>113.73120000000003</v>
      </c>
      <c r="G5936" s="5">
        <f t="shared" si="326"/>
        <v>0.42138866719872314</v>
      </c>
      <c r="H5936" s="2" t="s">
        <v>5</v>
      </c>
      <c r="I5936" s="6" t="s">
        <v>2300</v>
      </c>
      <c r="J5936" s="2" t="s">
        <v>5</v>
      </c>
      <c r="K5936" s="2" t="s">
        <v>5</v>
      </c>
      <c r="L5936" s="2" t="s">
        <v>5</v>
      </c>
      <c r="M5936" s="2" t="s">
        <v>5</v>
      </c>
      <c r="N5936" s="4">
        <v>0</v>
      </c>
    </row>
    <row r="5937" spans="1:14" x14ac:dyDescent="0.25">
      <c r="A5937" s="2" t="s">
        <v>546</v>
      </c>
      <c r="B5937" s="2" t="s">
        <v>547</v>
      </c>
      <c r="C5937" s="3">
        <v>26.547999999999998</v>
      </c>
      <c r="D5937" s="4">
        <v>665.29287999999997</v>
      </c>
      <c r="E5937" s="4">
        <v>384.94600000000003</v>
      </c>
      <c r="F5937" s="4">
        <f t="shared" si="325"/>
        <v>280.34687999999994</v>
      </c>
      <c r="G5937" s="5">
        <f t="shared" si="326"/>
        <v>0.42138866719872298</v>
      </c>
      <c r="H5937" s="2" t="s">
        <v>5</v>
      </c>
      <c r="I5937" s="6" t="s">
        <v>2300</v>
      </c>
      <c r="J5937" s="2" t="s">
        <v>5</v>
      </c>
      <c r="K5937" s="2" t="s">
        <v>5</v>
      </c>
      <c r="L5937" s="2" t="s">
        <v>5</v>
      </c>
      <c r="M5937" s="2" t="s">
        <v>5</v>
      </c>
      <c r="N5937" s="4">
        <v>0</v>
      </c>
    </row>
    <row r="5938" spans="1:14" x14ac:dyDescent="0.25">
      <c r="A5938" s="2" t="s">
        <v>546</v>
      </c>
      <c r="B5938" s="2" t="s">
        <v>547</v>
      </c>
      <c r="C5938" s="3">
        <v>10.6</v>
      </c>
      <c r="D5938" s="4">
        <v>265.63600000000002</v>
      </c>
      <c r="E5938" s="4">
        <v>153.69999999999999</v>
      </c>
      <c r="F5938" s="4">
        <f t="shared" si="325"/>
        <v>111.93600000000004</v>
      </c>
      <c r="G5938" s="5">
        <f t="shared" si="326"/>
        <v>0.42138866719872314</v>
      </c>
      <c r="H5938" s="2" t="s">
        <v>5</v>
      </c>
      <c r="I5938" s="6" t="s">
        <v>2300</v>
      </c>
      <c r="J5938" s="2" t="s">
        <v>5</v>
      </c>
      <c r="K5938" s="2" t="s">
        <v>5</v>
      </c>
      <c r="L5938" s="2" t="s">
        <v>5</v>
      </c>
      <c r="M5938" s="2" t="s">
        <v>5</v>
      </c>
      <c r="N5938" s="4">
        <v>0</v>
      </c>
    </row>
    <row r="5939" spans="1:14" x14ac:dyDescent="0.25">
      <c r="A5939" s="2" t="s">
        <v>546</v>
      </c>
      <c r="B5939" s="2" t="s">
        <v>547</v>
      </c>
      <c r="C5939" s="3">
        <v>66.349999999999994</v>
      </c>
      <c r="D5939" s="4">
        <v>1662.731</v>
      </c>
      <c r="E5939" s="4">
        <v>962.07500000000005</v>
      </c>
      <c r="F5939" s="4">
        <f t="shared" si="325"/>
        <v>700.65599999999995</v>
      </c>
      <c r="G5939" s="5">
        <f t="shared" si="326"/>
        <v>0.42138866719872303</v>
      </c>
      <c r="H5939" s="2" t="s">
        <v>5</v>
      </c>
      <c r="I5939" s="6" t="s">
        <v>2300</v>
      </c>
      <c r="J5939" s="2" t="s">
        <v>5</v>
      </c>
      <c r="K5939" s="2" t="s">
        <v>5</v>
      </c>
      <c r="L5939" s="2" t="s">
        <v>5</v>
      </c>
      <c r="M5939" s="2" t="s">
        <v>5</v>
      </c>
      <c r="N5939" s="4">
        <v>0</v>
      </c>
    </row>
    <row r="5940" spans="1:14" x14ac:dyDescent="0.25">
      <c r="A5940" s="2" t="s">
        <v>546</v>
      </c>
      <c r="B5940" s="2" t="s">
        <v>547</v>
      </c>
      <c r="C5940" s="3">
        <v>31.54</v>
      </c>
      <c r="D5940" s="4">
        <v>790.39239999999995</v>
      </c>
      <c r="E5940" s="4">
        <v>457.33</v>
      </c>
      <c r="F5940" s="4">
        <f t="shared" si="325"/>
        <v>333.06239999999997</v>
      </c>
      <c r="G5940" s="5">
        <f t="shared" si="326"/>
        <v>0.42138866719872303</v>
      </c>
      <c r="H5940" s="2" t="s">
        <v>5</v>
      </c>
      <c r="I5940" s="6" t="s">
        <v>2300</v>
      </c>
      <c r="J5940" s="2" t="s">
        <v>5</v>
      </c>
      <c r="K5940" s="2" t="s">
        <v>5</v>
      </c>
      <c r="L5940" s="2" t="s">
        <v>5</v>
      </c>
      <c r="M5940" s="2" t="s">
        <v>5</v>
      </c>
      <c r="N5940" s="4">
        <v>0</v>
      </c>
    </row>
    <row r="5941" spans="1:14" x14ac:dyDescent="0.25">
      <c r="A5941" s="2" t="s">
        <v>1671</v>
      </c>
      <c r="B5941" s="2" t="s">
        <v>1672</v>
      </c>
      <c r="C5941" s="3">
        <v>10.035</v>
      </c>
      <c r="D5941" s="4">
        <v>251.47710000000001</v>
      </c>
      <c r="E5941" s="4">
        <v>145.50749999999999</v>
      </c>
      <c r="F5941" s="4">
        <f t="shared" si="325"/>
        <v>105.96960000000001</v>
      </c>
      <c r="G5941" s="5">
        <f t="shared" si="326"/>
        <v>0.42138866719872309</v>
      </c>
      <c r="H5941" s="2" t="s">
        <v>5</v>
      </c>
      <c r="I5941" s="6" t="s">
        <v>2300</v>
      </c>
      <c r="J5941" s="2" t="s">
        <v>5</v>
      </c>
      <c r="K5941" s="2" t="s">
        <v>5</v>
      </c>
      <c r="L5941" s="2" t="s">
        <v>5</v>
      </c>
      <c r="M5941" s="2" t="s">
        <v>5</v>
      </c>
      <c r="N5941" s="4">
        <v>0</v>
      </c>
    </row>
    <row r="5942" spans="1:14" x14ac:dyDescent="0.25">
      <c r="A5942" s="2" t="s">
        <v>2284</v>
      </c>
      <c r="B5942" s="2" t="s">
        <v>2285</v>
      </c>
      <c r="C5942" s="3">
        <v>15.265000000000001</v>
      </c>
      <c r="D5942" s="4">
        <v>243.32409999999999</v>
      </c>
      <c r="E5942" s="4">
        <v>190.8125</v>
      </c>
      <c r="F5942" s="4">
        <f t="shared" si="325"/>
        <v>52.511599999999987</v>
      </c>
      <c r="G5942" s="5">
        <f t="shared" si="326"/>
        <v>0.21580928481806771</v>
      </c>
      <c r="H5942" s="2" t="s">
        <v>5</v>
      </c>
      <c r="I5942" s="6" t="s">
        <v>2300</v>
      </c>
      <c r="J5942" s="2" t="s">
        <v>5</v>
      </c>
      <c r="K5942" s="2" t="s">
        <v>5</v>
      </c>
      <c r="L5942" s="2" t="s">
        <v>5</v>
      </c>
      <c r="M5942" s="2" t="s">
        <v>5</v>
      </c>
      <c r="N5942" s="4">
        <v>0</v>
      </c>
    </row>
    <row r="5943" spans="1:14" x14ac:dyDescent="0.25">
      <c r="A5943" s="2" t="s">
        <v>2284</v>
      </c>
      <c r="B5943" s="2" t="s">
        <v>2285</v>
      </c>
      <c r="C5943" s="3">
        <v>2.4740000000000002</v>
      </c>
      <c r="D5943" s="4">
        <v>39.435560000000002</v>
      </c>
      <c r="E5943" s="4">
        <v>30.925000000000001</v>
      </c>
      <c r="F5943" s="4">
        <f t="shared" si="325"/>
        <v>8.5105600000000017</v>
      </c>
      <c r="G5943" s="5">
        <f t="shared" si="326"/>
        <v>0.21580928481806777</v>
      </c>
      <c r="H5943" s="2" t="s">
        <v>5</v>
      </c>
      <c r="I5943" s="6" t="s">
        <v>2300</v>
      </c>
      <c r="J5943" s="2" t="s">
        <v>5</v>
      </c>
      <c r="K5943" s="2" t="s">
        <v>5</v>
      </c>
      <c r="L5943" s="2" t="s">
        <v>5</v>
      </c>
      <c r="M5943" s="2" t="s">
        <v>5</v>
      </c>
      <c r="N5943" s="4">
        <v>0</v>
      </c>
    </row>
    <row r="5944" spans="1:14" x14ac:dyDescent="0.25">
      <c r="A5944" s="2" t="s">
        <v>1673</v>
      </c>
      <c r="B5944" s="2" t="s">
        <v>1674</v>
      </c>
      <c r="C5944" s="3">
        <v>12.44</v>
      </c>
      <c r="D5944" s="4">
        <v>198.2936</v>
      </c>
      <c r="E5944" s="4">
        <v>155.5</v>
      </c>
      <c r="F5944" s="4">
        <f t="shared" si="325"/>
        <v>42.793599999999998</v>
      </c>
      <c r="G5944" s="5">
        <f t="shared" si="326"/>
        <v>0.21580928481806774</v>
      </c>
      <c r="H5944" s="2" t="s">
        <v>5</v>
      </c>
      <c r="I5944" s="6" t="s">
        <v>2300</v>
      </c>
      <c r="J5944" s="2" t="s">
        <v>5</v>
      </c>
      <c r="K5944" s="2" t="s">
        <v>5</v>
      </c>
      <c r="L5944" s="2" t="s">
        <v>5</v>
      </c>
      <c r="M5944" s="2" t="s">
        <v>5</v>
      </c>
      <c r="N5944" s="4">
        <v>0</v>
      </c>
    </row>
    <row r="5945" spans="1:14" x14ac:dyDescent="0.25">
      <c r="A5945" s="2" t="s">
        <v>1673</v>
      </c>
      <c r="B5945" s="2" t="s">
        <v>1674</v>
      </c>
      <c r="C5945" s="3">
        <v>6.2249999999999996</v>
      </c>
      <c r="D5945" s="4">
        <v>99.226500000000001</v>
      </c>
      <c r="E5945" s="4">
        <v>77.8125</v>
      </c>
      <c r="F5945" s="4">
        <f t="shared" si="325"/>
        <v>21.414000000000001</v>
      </c>
      <c r="G5945" s="5">
        <f t="shared" si="326"/>
        <v>0.21580928481806777</v>
      </c>
      <c r="H5945" s="2" t="s">
        <v>5</v>
      </c>
      <c r="I5945" s="6" t="s">
        <v>2300</v>
      </c>
      <c r="J5945" s="2" t="s">
        <v>5</v>
      </c>
      <c r="K5945" s="2" t="s">
        <v>5</v>
      </c>
      <c r="L5945" s="2" t="s">
        <v>5</v>
      </c>
      <c r="M5945" s="2" t="s">
        <v>5</v>
      </c>
      <c r="N5945" s="4">
        <v>0</v>
      </c>
    </row>
    <row r="5946" spans="1:14" x14ac:dyDescent="0.25">
      <c r="A5946" s="2" t="s">
        <v>1510</v>
      </c>
      <c r="B5946" s="2" t="s">
        <v>1511</v>
      </c>
      <c r="C5946" s="3">
        <v>9.7899999999999991</v>
      </c>
      <c r="D5946" s="4">
        <v>333.5453</v>
      </c>
      <c r="E5946" s="4">
        <v>215.38</v>
      </c>
      <c r="F5946" s="4">
        <f t="shared" si="325"/>
        <v>118.1653</v>
      </c>
      <c r="G5946" s="5">
        <f t="shared" si="326"/>
        <v>0.35427061931317877</v>
      </c>
      <c r="H5946" s="2" t="s">
        <v>5</v>
      </c>
      <c r="I5946" s="6" t="s">
        <v>2300</v>
      </c>
      <c r="J5946" s="2" t="s">
        <v>5</v>
      </c>
      <c r="K5946" s="2" t="s">
        <v>5</v>
      </c>
      <c r="L5946" s="2" t="s">
        <v>5</v>
      </c>
      <c r="M5946" s="2" t="s">
        <v>5</v>
      </c>
      <c r="N5946" s="4">
        <v>0</v>
      </c>
    </row>
    <row r="5947" spans="1:14" x14ac:dyDescent="0.25">
      <c r="A5947" s="2" t="s">
        <v>1510</v>
      </c>
      <c r="B5947" s="2" t="s">
        <v>1511</v>
      </c>
      <c r="C5947" s="3">
        <v>2.4820000000000002</v>
      </c>
      <c r="D5947" s="4">
        <v>84.56174</v>
      </c>
      <c r="E5947" s="4">
        <v>54.603999999999999</v>
      </c>
      <c r="F5947" s="4">
        <f t="shared" si="325"/>
        <v>29.957740000000001</v>
      </c>
      <c r="G5947" s="5">
        <f t="shared" si="326"/>
        <v>0.35427061931317877</v>
      </c>
      <c r="H5947" s="2" t="s">
        <v>5</v>
      </c>
      <c r="I5947" s="6" t="s">
        <v>2300</v>
      </c>
      <c r="J5947" s="2" t="s">
        <v>5</v>
      </c>
      <c r="K5947" s="2" t="s">
        <v>5</v>
      </c>
      <c r="L5947" s="2" t="s">
        <v>5</v>
      </c>
      <c r="M5947" s="2" t="s">
        <v>5</v>
      </c>
      <c r="N5947" s="4">
        <v>0</v>
      </c>
    </row>
    <row r="5948" spans="1:14" x14ac:dyDescent="0.25">
      <c r="A5948" s="2" t="s">
        <v>1510</v>
      </c>
      <c r="B5948" s="2" t="s">
        <v>1511</v>
      </c>
      <c r="C5948" s="3">
        <v>4.8639999999999999</v>
      </c>
      <c r="D5948" s="4">
        <v>165.71647999999999</v>
      </c>
      <c r="E5948" s="4">
        <v>107.008</v>
      </c>
      <c r="F5948" s="4">
        <f t="shared" si="325"/>
        <v>58.708479999999994</v>
      </c>
      <c r="G5948" s="5">
        <f t="shared" si="326"/>
        <v>0.35427061931317871</v>
      </c>
      <c r="H5948" s="2" t="s">
        <v>5</v>
      </c>
      <c r="I5948" s="6" t="s">
        <v>2300</v>
      </c>
      <c r="J5948" s="2" t="s">
        <v>5</v>
      </c>
      <c r="K5948" s="2" t="s">
        <v>5</v>
      </c>
      <c r="L5948" s="2" t="s">
        <v>5</v>
      </c>
      <c r="M5948" s="2" t="s">
        <v>5</v>
      </c>
      <c r="N5948" s="4">
        <v>0</v>
      </c>
    </row>
    <row r="5949" spans="1:14" x14ac:dyDescent="0.25">
      <c r="A5949" s="2" t="s">
        <v>2290</v>
      </c>
      <c r="B5949" s="2" t="s">
        <v>2291</v>
      </c>
      <c r="C5949" s="3">
        <v>4.9039999999999999</v>
      </c>
      <c r="D5949" s="4">
        <v>177.5248</v>
      </c>
      <c r="E5949" s="4">
        <v>102.98399999999999</v>
      </c>
      <c r="F5949" s="4">
        <f t="shared" si="325"/>
        <v>74.540800000000004</v>
      </c>
      <c r="G5949" s="5">
        <f t="shared" si="326"/>
        <v>0.41988950276243098</v>
      </c>
      <c r="H5949" s="2" t="s">
        <v>5</v>
      </c>
      <c r="I5949" s="6" t="s">
        <v>2300</v>
      </c>
      <c r="J5949" s="2" t="s">
        <v>5</v>
      </c>
      <c r="K5949" s="2" t="s">
        <v>5</v>
      </c>
      <c r="L5949" s="2" t="s">
        <v>5</v>
      </c>
      <c r="M5949" s="2" t="s">
        <v>5</v>
      </c>
      <c r="N5949" s="4">
        <v>0</v>
      </c>
    </row>
    <row r="5950" spans="1:14" x14ac:dyDescent="0.25">
      <c r="A5950" s="2" t="s">
        <v>548</v>
      </c>
      <c r="B5950" s="2" t="s">
        <v>549</v>
      </c>
      <c r="C5950" s="3">
        <v>15.1</v>
      </c>
      <c r="D5950" s="4">
        <v>556.28399999999999</v>
      </c>
      <c r="E5950" s="4">
        <v>369.95</v>
      </c>
      <c r="F5950" s="4">
        <f t="shared" si="325"/>
        <v>186.334</v>
      </c>
      <c r="G5950" s="5">
        <f t="shared" si="326"/>
        <v>0.33496199782844738</v>
      </c>
      <c r="H5950" s="2" t="s">
        <v>5</v>
      </c>
      <c r="I5950" s="6" t="s">
        <v>2300</v>
      </c>
      <c r="J5950" s="2" t="s">
        <v>5</v>
      </c>
      <c r="K5950" s="2" t="s">
        <v>5</v>
      </c>
      <c r="L5950" s="2" t="s">
        <v>5</v>
      </c>
      <c r="M5950" s="2" t="s">
        <v>5</v>
      </c>
      <c r="N5950" s="4">
        <v>0</v>
      </c>
    </row>
    <row r="5951" spans="1:14" x14ac:dyDescent="0.25">
      <c r="A5951" s="2" t="s">
        <v>548</v>
      </c>
      <c r="B5951" s="2" t="s">
        <v>549</v>
      </c>
      <c r="C5951" s="3">
        <v>12.26</v>
      </c>
      <c r="D5951" s="4">
        <v>451.65839999999997</v>
      </c>
      <c r="E5951" s="4">
        <v>300.37</v>
      </c>
      <c r="F5951" s="4">
        <f t="shared" si="325"/>
        <v>151.28839999999997</v>
      </c>
      <c r="G5951" s="5">
        <f t="shared" si="326"/>
        <v>0.33496199782844727</v>
      </c>
      <c r="H5951" s="2" t="s">
        <v>5</v>
      </c>
      <c r="I5951" s="6" t="s">
        <v>2300</v>
      </c>
      <c r="J5951" s="2" t="s">
        <v>5</v>
      </c>
      <c r="K5951" s="2" t="s">
        <v>5</v>
      </c>
      <c r="L5951" s="2" t="s">
        <v>5</v>
      </c>
      <c r="M5951" s="2" t="s">
        <v>5</v>
      </c>
      <c r="N5951" s="4">
        <v>0</v>
      </c>
    </row>
    <row r="5952" spans="1:14" x14ac:dyDescent="0.25">
      <c r="A5952" s="2" t="s">
        <v>2088</v>
      </c>
      <c r="B5952" s="2" t="s">
        <v>2089</v>
      </c>
      <c r="C5952" s="3">
        <v>10</v>
      </c>
      <c r="D5952" s="4">
        <v>133.30000000000001</v>
      </c>
      <c r="E5952" s="4">
        <v>105</v>
      </c>
      <c r="F5952" s="4">
        <f t="shared" si="325"/>
        <v>28.300000000000011</v>
      </c>
      <c r="G5952" s="5">
        <f t="shared" si="326"/>
        <v>0.21230307576894231</v>
      </c>
      <c r="H5952" s="2" t="s">
        <v>5</v>
      </c>
      <c r="I5952" s="6" t="s">
        <v>2300</v>
      </c>
      <c r="J5952" s="2" t="s">
        <v>5</v>
      </c>
      <c r="K5952" s="2" t="s">
        <v>5</v>
      </c>
      <c r="L5952" s="2" t="s">
        <v>5</v>
      </c>
      <c r="M5952" s="2" t="s">
        <v>5</v>
      </c>
      <c r="N5952" s="4">
        <v>0</v>
      </c>
    </row>
    <row r="5953" spans="1:14" x14ac:dyDescent="0.25">
      <c r="A5953" s="2" t="s">
        <v>550</v>
      </c>
      <c r="B5953" s="2" t="s">
        <v>551</v>
      </c>
      <c r="C5953" s="3">
        <v>11.57</v>
      </c>
      <c r="D5953" s="4">
        <v>363.99220000000003</v>
      </c>
      <c r="E5953" s="4">
        <v>271.89499999999998</v>
      </c>
      <c r="F5953" s="4">
        <f t="shared" si="325"/>
        <v>92.097200000000043</v>
      </c>
      <c r="G5953" s="5">
        <f t="shared" si="326"/>
        <v>0.25301970756516223</v>
      </c>
      <c r="H5953" s="2" t="s">
        <v>5</v>
      </c>
      <c r="I5953" s="6" t="s">
        <v>2300</v>
      </c>
      <c r="J5953" s="2" t="s">
        <v>5</v>
      </c>
      <c r="K5953" s="2" t="s">
        <v>5</v>
      </c>
      <c r="L5953" s="2" t="s">
        <v>5</v>
      </c>
      <c r="M5953" s="2" t="s">
        <v>5</v>
      </c>
      <c r="N5953" s="4">
        <v>0</v>
      </c>
    </row>
    <row r="5954" spans="1:14" x14ac:dyDescent="0.25">
      <c r="A5954" s="2" t="s">
        <v>550</v>
      </c>
      <c r="B5954" s="2" t="s">
        <v>551</v>
      </c>
      <c r="C5954" s="3">
        <v>7.5049999999999999</v>
      </c>
      <c r="D5954" s="4">
        <v>236.10730000000001</v>
      </c>
      <c r="E5954" s="4">
        <v>176.36750000000001</v>
      </c>
      <c r="F5954" s="4">
        <f t="shared" si="325"/>
        <v>59.739800000000002</v>
      </c>
      <c r="G5954" s="5">
        <f t="shared" si="326"/>
        <v>0.25301970756516212</v>
      </c>
      <c r="H5954" s="2" t="s">
        <v>5</v>
      </c>
      <c r="I5954" s="6" t="s">
        <v>2300</v>
      </c>
      <c r="J5954" s="2" t="s">
        <v>5</v>
      </c>
      <c r="K5954" s="2" t="s">
        <v>5</v>
      </c>
      <c r="L5954" s="2" t="s">
        <v>5</v>
      </c>
      <c r="M5954" s="2" t="s">
        <v>5</v>
      </c>
      <c r="N5954" s="4">
        <v>0</v>
      </c>
    </row>
    <row r="5955" spans="1:14" x14ac:dyDescent="0.25">
      <c r="A5955" s="2" t="s">
        <v>550</v>
      </c>
      <c r="B5955" s="2" t="s">
        <v>551</v>
      </c>
      <c r="C5955" s="3">
        <v>4.3</v>
      </c>
      <c r="D5955" s="4">
        <v>135.27799999999999</v>
      </c>
      <c r="E5955" s="4">
        <v>101.05</v>
      </c>
      <c r="F5955" s="4">
        <f t="shared" si="325"/>
        <v>34.227999999999994</v>
      </c>
      <c r="G5955" s="5">
        <f t="shared" si="326"/>
        <v>0.25301970756516207</v>
      </c>
      <c r="H5955" s="2" t="s">
        <v>5</v>
      </c>
      <c r="I5955" s="6" t="s">
        <v>2300</v>
      </c>
      <c r="J5955" s="2" t="s">
        <v>5</v>
      </c>
      <c r="K5955" s="2" t="s">
        <v>5</v>
      </c>
      <c r="L5955" s="2" t="s">
        <v>5</v>
      </c>
      <c r="M5955" s="2" t="s">
        <v>5</v>
      </c>
      <c r="N5955" s="4">
        <v>0</v>
      </c>
    </row>
    <row r="5956" spans="1:14" x14ac:dyDescent="0.25">
      <c r="A5956" s="2" t="s">
        <v>550</v>
      </c>
      <c r="B5956" s="2" t="s">
        <v>551</v>
      </c>
      <c r="C5956" s="3">
        <v>2.9940000000000002</v>
      </c>
      <c r="D5956" s="4">
        <v>94.191239999999993</v>
      </c>
      <c r="E5956" s="4">
        <v>70.358999999999995</v>
      </c>
      <c r="F5956" s="4">
        <f t="shared" si="325"/>
        <v>23.832239999999999</v>
      </c>
      <c r="G5956" s="5">
        <f t="shared" si="326"/>
        <v>0.25301970756516212</v>
      </c>
      <c r="H5956" s="2" t="s">
        <v>5</v>
      </c>
      <c r="I5956" s="6" t="s">
        <v>2300</v>
      </c>
      <c r="J5956" s="2" t="s">
        <v>5</v>
      </c>
      <c r="K5956" s="2" t="s">
        <v>5</v>
      </c>
      <c r="L5956" s="2" t="s">
        <v>5</v>
      </c>
      <c r="M5956" s="2" t="s">
        <v>5</v>
      </c>
      <c r="N5956" s="4">
        <v>0</v>
      </c>
    </row>
    <row r="5957" spans="1:14" x14ac:dyDescent="0.25">
      <c r="A5957" s="2" t="s">
        <v>550</v>
      </c>
      <c r="B5957" s="2" t="s">
        <v>551</v>
      </c>
      <c r="C5957" s="3">
        <v>4.5199999999999996</v>
      </c>
      <c r="D5957" s="4">
        <v>142.19919999999999</v>
      </c>
      <c r="E5957" s="4">
        <v>106.22</v>
      </c>
      <c r="F5957" s="4">
        <f t="shared" si="325"/>
        <v>35.979199999999992</v>
      </c>
      <c r="G5957" s="5">
        <f t="shared" si="326"/>
        <v>0.25301970756516207</v>
      </c>
      <c r="H5957" s="2" t="s">
        <v>5</v>
      </c>
      <c r="I5957" s="6" t="s">
        <v>2300</v>
      </c>
      <c r="J5957" s="2" t="s">
        <v>5</v>
      </c>
      <c r="K5957" s="2" t="s">
        <v>5</v>
      </c>
      <c r="L5957" s="2" t="s">
        <v>5</v>
      </c>
      <c r="M5957" s="2" t="s">
        <v>5</v>
      </c>
      <c r="N5957" s="4">
        <v>0</v>
      </c>
    </row>
    <row r="5958" spans="1:14" x14ac:dyDescent="0.25">
      <c r="A5958" s="2" t="s">
        <v>550</v>
      </c>
      <c r="B5958" s="2" t="s">
        <v>551</v>
      </c>
      <c r="C5958" s="3">
        <v>16.2</v>
      </c>
      <c r="D5958" s="4">
        <v>509.65199999999999</v>
      </c>
      <c r="E5958" s="4">
        <v>380.7</v>
      </c>
      <c r="F5958" s="4">
        <f t="shared" si="325"/>
        <v>128.952</v>
      </c>
      <c r="G5958" s="5">
        <f t="shared" si="326"/>
        <v>0.25301970756516212</v>
      </c>
      <c r="H5958" s="2" t="s">
        <v>5</v>
      </c>
      <c r="I5958" s="6" t="s">
        <v>2300</v>
      </c>
      <c r="J5958" s="2" t="s">
        <v>5</v>
      </c>
      <c r="K5958" s="2" t="s">
        <v>5</v>
      </c>
      <c r="L5958" s="2" t="s">
        <v>5</v>
      </c>
      <c r="M5958" s="2" t="s">
        <v>5</v>
      </c>
      <c r="N5958" s="4">
        <v>0</v>
      </c>
    </row>
    <row r="5959" spans="1:14" x14ac:dyDescent="0.25">
      <c r="A5959" s="2" t="s">
        <v>550</v>
      </c>
      <c r="B5959" s="2" t="s">
        <v>551</v>
      </c>
      <c r="C5959" s="3">
        <v>14.51</v>
      </c>
      <c r="D5959" s="4">
        <v>456.4846</v>
      </c>
      <c r="E5959" s="4">
        <v>340.98500000000001</v>
      </c>
      <c r="F5959" s="4">
        <f t="shared" si="325"/>
        <v>115.49959999999999</v>
      </c>
      <c r="G5959" s="5">
        <f t="shared" si="326"/>
        <v>0.25301970756516207</v>
      </c>
      <c r="H5959" s="2" t="s">
        <v>5</v>
      </c>
      <c r="I5959" s="6" t="s">
        <v>2300</v>
      </c>
      <c r="J5959" s="2" t="s">
        <v>5</v>
      </c>
      <c r="K5959" s="2" t="s">
        <v>5</v>
      </c>
      <c r="L5959" s="2" t="s">
        <v>5</v>
      </c>
      <c r="M5959" s="2" t="s">
        <v>5</v>
      </c>
      <c r="N5959" s="4">
        <v>0</v>
      </c>
    </row>
    <row r="5960" spans="1:14" x14ac:dyDescent="0.25">
      <c r="A5960" s="2" t="s">
        <v>550</v>
      </c>
      <c r="B5960" s="2" t="s">
        <v>551</v>
      </c>
      <c r="C5960" s="3">
        <v>19.100000000000001</v>
      </c>
      <c r="D5960" s="4">
        <v>600.88599999999997</v>
      </c>
      <c r="E5960" s="4">
        <v>448.85</v>
      </c>
      <c r="F5960" s="4">
        <f t="shared" si="325"/>
        <v>152.03599999999994</v>
      </c>
      <c r="G5960" s="5">
        <f t="shared" si="326"/>
        <v>0.25301970756516201</v>
      </c>
      <c r="H5960" s="2" t="s">
        <v>5</v>
      </c>
      <c r="I5960" s="6" t="s">
        <v>2300</v>
      </c>
      <c r="J5960" s="2" t="s">
        <v>5</v>
      </c>
      <c r="K5960" s="2" t="s">
        <v>5</v>
      </c>
      <c r="L5960" s="2" t="s">
        <v>5</v>
      </c>
      <c r="M5960" s="2" t="s">
        <v>5</v>
      </c>
      <c r="N5960" s="4">
        <v>0</v>
      </c>
    </row>
    <row r="5961" spans="1:14" x14ac:dyDescent="0.25">
      <c r="A5961" s="2" t="s">
        <v>550</v>
      </c>
      <c r="B5961" s="2" t="s">
        <v>551</v>
      </c>
      <c r="C5961" s="3">
        <v>2.92</v>
      </c>
      <c r="D5961" s="4">
        <v>91.863200000000006</v>
      </c>
      <c r="E5961" s="4">
        <v>68.62</v>
      </c>
      <c r="F5961" s="4">
        <f t="shared" si="325"/>
        <v>23.243200000000002</v>
      </c>
      <c r="G5961" s="5">
        <f t="shared" si="326"/>
        <v>0.25301970756516212</v>
      </c>
      <c r="H5961" s="2" t="s">
        <v>5</v>
      </c>
      <c r="I5961" s="6" t="s">
        <v>2300</v>
      </c>
      <c r="J5961" s="2" t="s">
        <v>5</v>
      </c>
      <c r="K5961" s="2" t="s">
        <v>5</v>
      </c>
      <c r="L5961" s="2" t="s">
        <v>5</v>
      </c>
      <c r="M5961" s="2" t="s">
        <v>5</v>
      </c>
      <c r="N5961" s="4">
        <v>0</v>
      </c>
    </row>
    <row r="5962" spans="1:14" x14ac:dyDescent="0.25">
      <c r="A5962" s="2" t="s">
        <v>1745</v>
      </c>
      <c r="B5962" s="2" t="s">
        <v>1746</v>
      </c>
      <c r="C5962" s="3">
        <v>3.78</v>
      </c>
      <c r="D5962" s="4">
        <v>116.6508</v>
      </c>
      <c r="E5962" s="4">
        <v>77.489999999999995</v>
      </c>
      <c r="F5962" s="4">
        <f t="shared" si="325"/>
        <v>39.160800000000009</v>
      </c>
      <c r="G5962" s="5">
        <f t="shared" si="326"/>
        <v>0.33570965651328588</v>
      </c>
      <c r="H5962" s="2" t="s">
        <v>5</v>
      </c>
      <c r="I5962" s="6" t="s">
        <v>2300</v>
      </c>
      <c r="J5962" s="2" t="s">
        <v>5</v>
      </c>
      <c r="K5962" s="2" t="s">
        <v>5</v>
      </c>
      <c r="L5962" s="2" t="s">
        <v>5</v>
      </c>
      <c r="M5962" s="2" t="s">
        <v>5</v>
      </c>
      <c r="N5962" s="4">
        <v>0</v>
      </c>
    </row>
    <row r="5963" spans="1:14" x14ac:dyDescent="0.25">
      <c r="A5963" s="2" t="s">
        <v>1745</v>
      </c>
      <c r="B5963" s="2" t="s">
        <v>1746</v>
      </c>
      <c r="C5963" s="3">
        <v>6.34</v>
      </c>
      <c r="D5963" s="4">
        <v>195.6524</v>
      </c>
      <c r="E5963" s="4">
        <v>129.97</v>
      </c>
      <c r="F5963" s="4">
        <f t="shared" si="325"/>
        <v>65.682400000000001</v>
      </c>
      <c r="G5963" s="5">
        <f t="shared" si="326"/>
        <v>0.33570965651328583</v>
      </c>
      <c r="H5963" s="2" t="s">
        <v>5</v>
      </c>
      <c r="I5963" s="6" t="s">
        <v>2300</v>
      </c>
      <c r="J5963" s="2" t="s">
        <v>5</v>
      </c>
      <c r="K5963" s="2" t="s">
        <v>5</v>
      </c>
      <c r="L5963" s="2" t="s">
        <v>5</v>
      </c>
      <c r="M5963" s="2" t="s">
        <v>5</v>
      </c>
      <c r="N5963" s="4">
        <v>0</v>
      </c>
    </row>
    <row r="5964" spans="1:14" x14ac:dyDescent="0.25">
      <c r="A5964" s="2" t="s">
        <v>1697</v>
      </c>
      <c r="B5964" s="2" t="s">
        <v>1698</v>
      </c>
      <c r="C5964" s="3">
        <v>20.59</v>
      </c>
      <c r="D5964" s="4">
        <v>635.40740000000005</v>
      </c>
      <c r="E5964" s="4">
        <v>422.09500000000003</v>
      </c>
      <c r="F5964" s="4">
        <f t="shared" si="325"/>
        <v>213.31240000000003</v>
      </c>
      <c r="G5964" s="5">
        <f t="shared" si="326"/>
        <v>0.33570965651328583</v>
      </c>
      <c r="H5964" s="2" t="s">
        <v>5</v>
      </c>
      <c r="I5964" s="6" t="s">
        <v>2300</v>
      </c>
      <c r="J5964" s="2" t="s">
        <v>5</v>
      </c>
      <c r="K5964" s="2" t="s">
        <v>5</v>
      </c>
      <c r="L5964" s="2" t="s">
        <v>5</v>
      </c>
      <c r="M5964" s="2" t="s">
        <v>5</v>
      </c>
      <c r="N5964" s="4">
        <v>0</v>
      </c>
    </row>
    <row r="5965" spans="1:14" x14ac:dyDescent="0.25">
      <c r="A5965" s="2" t="s">
        <v>1717</v>
      </c>
      <c r="B5965" s="2" t="s">
        <v>1718</v>
      </c>
      <c r="C5965" s="3">
        <v>6.6849999999999996</v>
      </c>
      <c r="D5965" s="4">
        <v>206.29910000000001</v>
      </c>
      <c r="E5965" s="4">
        <v>137.04249999999999</v>
      </c>
      <c r="F5965" s="4">
        <f t="shared" si="325"/>
        <v>69.25660000000002</v>
      </c>
      <c r="G5965" s="5">
        <f t="shared" si="326"/>
        <v>0.33570965651328588</v>
      </c>
      <c r="H5965" s="2" t="s">
        <v>5</v>
      </c>
      <c r="I5965" s="6" t="s">
        <v>2300</v>
      </c>
      <c r="J5965" s="2" t="s">
        <v>5</v>
      </c>
      <c r="K5965" s="2" t="s">
        <v>5</v>
      </c>
      <c r="L5965" s="2" t="s">
        <v>5</v>
      </c>
      <c r="M5965" s="2" t="s">
        <v>5</v>
      </c>
      <c r="N5965" s="4">
        <v>0</v>
      </c>
    </row>
    <row r="5966" spans="1:14" x14ac:dyDescent="0.25">
      <c r="A5966" s="2" t="s">
        <v>1717</v>
      </c>
      <c r="B5966" s="2" t="s">
        <v>1718</v>
      </c>
      <c r="C5966" s="3">
        <v>4.1340000000000003</v>
      </c>
      <c r="D5966" s="4">
        <v>127.57523999999999</v>
      </c>
      <c r="E5966" s="4">
        <v>84.747</v>
      </c>
      <c r="F5966" s="4">
        <f t="shared" si="325"/>
        <v>42.828239999999994</v>
      </c>
      <c r="G5966" s="5">
        <f t="shared" si="326"/>
        <v>0.33570965651328577</v>
      </c>
      <c r="H5966" s="2" t="s">
        <v>5</v>
      </c>
      <c r="I5966" s="6" t="s">
        <v>2300</v>
      </c>
      <c r="J5966" s="2" t="s">
        <v>5</v>
      </c>
      <c r="K5966" s="2" t="s">
        <v>5</v>
      </c>
      <c r="L5966" s="2" t="s">
        <v>5</v>
      </c>
      <c r="M5966" s="2" t="s">
        <v>5</v>
      </c>
      <c r="N5966" s="4">
        <v>0</v>
      </c>
    </row>
    <row r="5967" spans="1:14" x14ac:dyDescent="0.25">
      <c r="A5967" s="2" t="s">
        <v>2292</v>
      </c>
      <c r="B5967" s="2" t="s">
        <v>2293</v>
      </c>
      <c r="C5967" s="3">
        <v>12.19</v>
      </c>
      <c r="D5967" s="4">
        <v>376.18340000000001</v>
      </c>
      <c r="E5967" s="4">
        <v>249.89500000000001</v>
      </c>
      <c r="F5967" s="4">
        <f t="shared" si="325"/>
        <v>126.2884</v>
      </c>
      <c r="G5967" s="5">
        <f t="shared" si="326"/>
        <v>0.33570965651328577</v>
      </c>
      <c r="H5967" s="2" t="s">
        <v>5</v>
      </c>
      <c r="I5967" s="6" t="s">
        <v>2300</v>
      </c>
      <c r="J5967" s="2" t="s">
        <v>5</v>
      </c>
      <c r="K5967" s="2" t="s">
        <v>5</v>
      </c>
      <c r="L5967" s="2" t="s">
        <v>5</v>
      </c>
      <c r="M5967" s="2" t="s">
        <v>5</v>
      </c>
      <c r="N5967" s="4">
        <v>0</v>
      </c>
    </row>
    <row r="5969" spans="1:14" x14ac:dyDescent="0.25">
      <c r="A5969" s="13" t="s">
        <v>59</v>
      </c>
      <c r="B5969" s="21"/>
      <c r="C5969" s="22">
        <f>SUM(C3550:C5968)</f>
        <v>90768.29099999991</v>
      </c>
      <c r="D5969" s="23">
        <f>SUM(D3550:D5968)</f>
        <v>1158072.6552520024</v>
      </c>
      <c r="E5969" s="23">
        <f>SUM(E3550:E5968)</f>
        <v>794004.01925999962</v>
      </c>
      <c r="F5969" s="23">
        <f>D5969-E5969</f>
        <v>364068.63599200279</v>
      </c>
      <c r="G5969" s="24">
        <f>IF(((D5969)=0),0,(D5969-E5969)/ D5969)</f>
        <v>0.31437460710336834</v>
      </c>
      <c r="H5969" s="21"/>
      <c r="I5969" s="21"/>
      <c r="J5969" s="21"/>
      <c r="K5969" s="21"/>
      <c r="L5969" s="21"/>
      <c r="M5969" s="21"/>
      <c r="N5969" s="21"/>
    </row>
    <row r="5972" spans="1:14" x14ac:dyDescent="0.25">
      <c r="A5972" s="13" t="s">
        <v>2301</v>
      </c>
      <c r="B5972" s="21"/>
      <c r="C5972" s="22">
        <f>SUM(C5:C5971)/4</f>
        <v>90768.290999999866</v>
      </c>
      <c r="D5972" s="23">
        <f>SUM(D5:D5971)/4</f>
        <v>1158072.6552520008</v>
      </c>
      <c r="E5972" s="23">
        <f>SUM(E5:E5971)/4</f>
        <v>794004.01926000114</v>
      </c>
      <c r="F5972" s="23">
        <f>D5972-E5972</f>
        <v>364068.63599199965</v>
      </c>
      <c r="G5972" s="24">
        <f>IF(((D5972)=0),0,(D5972-E5972)/ D5972)</f>
        <v>0.31437460710336607</v>
      </c>
      <c r="H5972" s="21"/>
      <c r="I5972" s="21"/>
      <c r="J5972" s="21"/>
      <c r="K5972" s="21"/>
      <c r="L5972" s="21"/>
      <c r="M5972" s="21"/>
      <c r="N597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Cockings</dc:creator>
  <cp:lastModifiedBy>Aaron Cockings</cp:lastModifiedBy>
  <dcterms:created xsi:type="dcterms:W3CDTF">2025-11-09T03:52:13Z</dcterms:created>
  <dcterms:modified xsi:type="dcterms:W3CDTF">2025-11-09T03:57:46Z</dcterms:modified>
</cp:coreProperties>
</file>